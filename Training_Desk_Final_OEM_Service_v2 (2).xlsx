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 activeTab="7"/>
  </bookViews>
  <sheets>
    <sheet name="Dashboard" sheetId="1" r:id="rId1"/>
    <sheet name="Refresher" sheetId="2" r:id="rId2"/>
    <sheet name="First_Aid" sheetId="3" r:id="rId3"/>
    <sheet name="Fire_Fighting" sheetId="4" r:id="rId4"/>
    <sheet name="Supervisor" sheetId="5" r:id="rId5"/>
    <sheet name="OEM_Training" sheetId="6" r:id="rId6"/>
    <sheet name="Service_Training" sheetId="7" r:id="rId7"/>
    <sheet name="Compliance" sheetId="8" r:id="rId8"/>
  </sheets>
  <definedNames>
    <definedName name="_xlnm._FilterDatabase" localSheetId="3" hidden="1">Fire_Fighting!$A$3:$G$479</definedName>
    <definedName name="_xlnm._FilterDatabase" localSheetId="2" hidden="1">First_Aid!$A$3:$H$477</definedName>
    <definedName name="_xlnm._FilterDatabase" localSheetId="5" hidden="1">OEM_Training!$A$3:$H$255</definedName>
    <definedName name="_xlnm._FilterDatabase" localSheetId="1" hidden="1">Refresher!$A$3:$G$307</definedName>
    <definedName name="_xlnm._FilterDatabase" localSheetId="6" hidden="1">Service_Training!$A$3:$J$62</definedName>
    <definedName name="_xlnm._FilterDatabase" localSheetId="4" hidden="1">Supervisor!$A$3:$G$47</definedName>
  </definedNames>
  <calcPr calcId="124519"/>
</workbook>
</file>

<file path=xl/calcChain.xml><?xml version="1.0" encoding="utf-8"?>
<calcChain xmlns="http://schemas.openxmlformats.org/spreadsheetml/2006/main">
  <c r="B8" i="8"/>
  <c r="B7"/>
  <c r="B6"/>
  <c r="B5"/>
  <c r="F47" i="5"/>
  <c r="G47" s="1"/>
  <c r="F46"/>
  <c r="G46" s="1"/>
  <c r="F45"/>
  <c r="G45" s="1"/>
  <c r="F44"/>
  <c r="G44" s="1"/>
  <c r="F43"/>
  <c r="G43" s="1"/>
  <c r="F42"/>
  <c r="G42" s="1"/>
  <c r="F41"/>
  <c r="G41" s="1"/>
  <c r="F40"/>
  <c r="G40" s="1"/>
  <c r="F39"/>
  <c r="G39" s="1"/>
  <c r="F38"/>
  <c r="G38" s="1"/>
  <c r="F37"/>
  <c r="G37" s="1"/>
  <c r="F36"/>
  <c r="G36" s="1"/>
  <c r="F35"/>
  <c r="G35" s="1"/>
  <c r="F34"/>
  <c r="G34" s="1"/>
  <c r="F33"/>
  <c r="G33" s="1"/>
  <c r="F32"/>
  <c r="G32" s="1"/>
  <c r="F31"/>
  <c r="G31" s="1"/>
  <c r="F30"/>
  <c r="G30" s="1"/>
  <c r="F29"/>
  <c r="G29" s="1"/>
  <c r="F28"/>
  <c r="G28" s="1"/>
  <c r="F27"/>
  <c r="G27" s="1"/>
  <c r="F26"/>
  <c r="G26" s="1"/>
  <c r="F25"/>
  <c r="G25" s="1"/>
  <c r="F24"/>
  <c r="G24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F12"/>
  <c r="G12" s="1"/>
  <c r="F11"/>
  <c r="G11" s="1"/>
  <c r="F10"/>
  <c r="G10" s="1"/>
  <c r="F9"/>
  <c r="G9" s="1"/>
  <c r="F8"/>
  <c r="G8" s="1"/>
  <c r="F7"/>
  <c r="G7" s="1"/>
  <c r="F6"/>
  <c r="G6" s="1"/>
  <c r="F5"/>
  <c r="G5" s="1"/>
  <c r="F4"/>
  <c r="G4" s="1"/>
  <c r="F479" i="4"/>
  <c r="G479" s="1"/>
  <c r="F478"/>
  <c r="G478" s="1"/>
  <c r="F477"/>
  <c r="G477" s="1"/>
  <c r="F476"/>
  <c r="G476" s="1"/>
  <c r="F475"/>
  <c r="G475" s="1"/>
  <c r="F474"/>
  <c r="G474" s="1"/>
  <c r="F473"/>
  <c r="G473" s="1"/>
  <c r="F472"/>
  <c r="G472" s="1"/>
  <c r="F471"/>
  <c r="G471" s="1"/>
  <c r="F470"/>
  <c r="G470" s="1"/>
  <c r="F469"/>
  <c r="G469" s="1"/>
  <c r="F468"/>
  <c r="G468" s="1"/>
  <c r="F467"/>
  <c r="G467" s="1"/>
  <c r="F466"/>
  <c r="G466" s="1"/>
  <c r="F465"/>
  <c r="G465" s="1"/>
  <c r="F464"/>
  <c r="G464" s="1"/>
  <c r="F463"/>
  <c r="G463" s="1"/>
  <c r="F462"/>
  <c r="G462" s="1"/>
  <c r="F461"/>
  <c r="G461" s="1"/>
  <c r="F460"/>
  <c r="G460" s="1"/>
  <c r="F459"/>
  <c r="G459" s="1"/>
  <c r="F458"/>
  <c r="G458" s="1"/>
  <c r="F457"/>
  <c r="G457" s="1"/>
  <c r="F456"/>
  <c r="G456" s="1"/>
  <c r="F455"/>
  <c r="G455" s="1"/>
  <c r="F454"/>
  <c r="G454" s="1"/>
  <c r="F453"/>
  <c r="G453" s="1"/>
  <c r="F452"/>
  <c r="G452" s="1"/>
  <c r="F451"/>
  <c r="G451" s="1"/>
  <c r="F450"/>
  <c r="G450" s="1"/>
  <c r="F449"/>
  <c r="G449" s="1"/>
  <c r="F448"/>
  <c r="G448" s="1"/>
  <c r="F447"/>
  <c r="G447" s="1"/>
  <c r="F446"/>
  <c r="G446" s="1"/>
  <c r="F445"/>
  <c r="G445" s="1"/>
  <c r="F444"/>
  <c r="G444" s="1"/>
  <c r="F443"/>
  <c r="G443" s="1"/>
  <c r="F442"/>
  <c r="G442" s="1"/>
  <c r="F441"/>
  <c r="G441" s="1"/>
  <c r="F440"/>
  <c r="G440" s="1"/>
  <c r="F439"/>
  <c r="G439" s="1"/>
  <c r="F438"/>
  <c r="G438" s="1"/>
  <c r="F437"/>
  <c r="G437" s="1"/>
  <c r="F436"/>
  <c r="G436" s="1"/>
  <c r="F435"/>
  <c r="G435" s="1"/>
  <c r="F434"/>
  <c r="G434" s="1"/>
  <c r="F433"/>
  <c r="G433" s="1"/>
  <c r="F432"/>
  <c r="G432" s="1"/>
  <c r="F431"/>
  <c r="G431" s="1"/>
  <c r="F430"/>
  <c r="G430" s="1"/>
  <c r="F429"/>
  <c r="G429" s="1"/>
  <c r="F428"/>
  <c r="G428" s="1"/>
  <c r="F427"/>
  <c r="G427" s="1"/>
  <c r="F426"/>
  <c r="G426" s="1"/>
  <c r="F425"/>
  <c r="G425" s="1"/>
  <c r="F424"/>
  <c r="G424" s="1"/>
  <c r="F423"/>
  <c r="G423" s="1"/>
  <c r="F422"/>
  <c r="G422" s="1"/>
  <c r="F421"/>
  <c r="G421" s="1"/>
  <c r="F420"/>
  <c r="G420" s="1"/>
  <c r="F419"/>
  <c r="G419" s="1"/>
  <c r="F418"/>
  <c r="G418" s="1"/>
  <c r="F417"/>
  <c r="G417" s="1"/>
  <c r="F416"/>
  <c r="G416" s="1"/>
  <c r="F415"/>
  <c r="G415" s="1"/>
  <c r="F414"/>
  <c r="G414" s="1"/>
  <c r="F413"/>
  <c r="G413" s="1"/>
  <c r="F412"/>
  <c r="G412" s="1"/>
  <c r="F411"/>
  <c r="G411" s="1"/>
  <c r="F410"/>
  <c r="G410" s="1"/>
  <c r="F409"/>
  <c r="G409" s="1"/>
  <c r="F408"/>
  <c r="G408" s="1"/>
  <c r="F407"/>
  <c r="G407" s="1"/>
  <c r="F406"/>
  <c r="G406" s="1"/>
  <c r="F405"/>
  <c r="G405" s="1"/>
  <c r="F404"/>
  <c r="G404" s="1"/>
  <c r="F403"/>
  <c r="G403" s="1"/>
  <c r="F402"/>
  <c r="G402" s="1"/>
  <c r="F401"/>
  <c r="G401" s="1"/>
  <c r="F400"/>
  <c r="G400" s="1"/>
  <c r="F399"/>
  <c r="G399" s="1"/>
  <c r="F398"/>
  <c r="G398" s="1"/>
  <c r="F397"/>
  <c r="G397" s="1"/>
  <c r="F396"/>
  <c r="G396" s="1"/>
  <c r="F395"/>
  <c r="G395" s="1"/>
  <c r="F394"/>
  <c r="G394" s="1"/>
  <c r="F393"/>
  <c r="G393" s="1"/>
  <c r="F392"/>
  <c r="G392" s="1"/>
  <c r="F391"/>
  <c r="G391" s="1"/>
  <c r="F390"/>
  <c r="G390" s="1"/>
  <c r="F389"/>
  <c r="G389" s="1"/>
  <c r="F388"/>
  <c r="G388" s="1"/>
  <c r="F387"/>
  <c r="G387" s="1"/>
  <c r="F386"/>
  <c r="G386" s="1"/>
  <c r="F385"/>
  <c r="G385" s="1"/>
  <c r="F384"/>
  <c r="G384" s="1"/>
  <c r="F383"/>
  <c r="G383" s="1"/>
  <c r="F382"/>
  <c r="G382" s="1"/>
  <c r="F381"/>
  <c r="G381" s="1"/>
  <c r="F380"/>
  <c r="G380" s="1"/>
  <c r="F379"/>
  <c r="G379" s="1"/>
  <c r="F378"/>
  <c r="G378" s="1"/>
  <c r="F377"/>
  <c r="G377" s="1"/>
  <c r="F376"/>
  <c r="G376" s="1"/>
  <c r="F375"/>
  <c r="G375" s="1"/>
  <c r="F374"/>
  <c r="G374" s="1"/>
  <c r="F373"/>
  <c r="G373" s="1"/>
  <c r="F372"/>
  <c r="G372" s="1"/>
  <c r="F371"/>
  <c r="G371" s="1"/>
  <c r="F370"/>
  <c r="G370" s="1"/>
  <c r="F369"/>
  <c r="G369" s="1"/>
  <c r="F368"/>
  <c r="G368" s="1"/>
  <c r="F367"/>
  <c r="G367" s="1"/>
  <c r="F366"/>
  <c r="G366" s="1"/>
  <c r="F365"/>
  <c r="G365" s="1"/>
  <c r="F364"/>
  <c r="G364" s="1"/>
  <c r="F363"/>
  <c r="G363" s="1"/>
  <c r="F362"/>
  <c r="G362" s="1"/>
  <c r="F361"/>
  <c r="G361" s="1"/>
  <c r="F360"/>
  <c r="G360" s="1"/>
  <c r="F359"/>
  <c r="G359" s="1"/>
  <c r="F358"/>
  <c r="G358" s="1"/>
  <c r="F357"/>
  <c r="G357" s="1"/>
  <c r="F356"/>
  <c r="G356" s="1"/>
  <c r="F355"/>
  <c r="G355" s="1"/>
  <c r="F354"/>
  <c r="G354" s="1"/>
  <c r="F353"/>
  <c r="G353" s="1"/>
  <c r="F352"/>
  <c r="G352" s="1"/>
  <c r="F351"/>
  <c r="G351" s="1"/>
  <c r="F350"/>
  <c r="G350" s="1"/>
  <c r="F349"/>
  <c r="G349" s="1"/>
  <c r="F348"/>
  <c r="G348" s="1"/>
  <c r="F347"/>
  <c r="G347" s="1"/>
  <c r="F346"/>
  <c r="G346" s="1"/>
  <c r="F345"/>
  <c r="G345" s="1"/>
  <c r="F344"/>
  <c r="G344" s="1"/>
  <c r="F343"/>
  <c r="G343" s="1"/>
  <c r="F342"/>
  <c r="G342" s="1"/>
  <c r="F341"/>
  <c r="G341" s="1"/>
  <c r="F340"/>
  <c r="G340" s="1"/>
  <c r="F339"/>
  <c r="G339" s="1"/>
  <c r="F338"/>
  <c r="G338" s="1"/>
  <c r="F337"/>
  <c r="G337" s="1"/>
  <c r="F336"/>
  <c r="G336" s="1"/>
  <c r="F335"/>
  <c r="G335" s="1"/>
  <c r="F334"/>
  <c r="G334" s="1"/>
  <c r="F333"/>
  <c r="G333" s="1"/>
  <c r="F332"/>
  <c r="G332" s="1"/>
  <c r="F331"/>
  <c r="G331" s="1"/>
  <c r="F330"/>
  <c r="G330" s="1"/>
  <c r="F329"/>
  <c r="G329" s="1"/>
  <c r="F328"/>
  <c r="G328" s="1"/>
  <c r="F327"/>
  <c r="G327" s="1"/>
  <c r="F326"/>
  <c r="G326" s="1"/>
  <c r="F325"/>
  <c r="G325" s="1"/>
  <c r="F324"/>
  <c r="G324" s="1"/>
  <c r="F323"/>
  <c r="G323" s="1"/>
  <c r="F322"/>
  <c r="G322" s="1"/>
  <c r="F321"/>
  <c r="G321" s="1"/>
  <c r="F320"/>
  <c r="G320" s="1"/>
  <c r="F319"/>
  <c r="G319" s="1"/>
  <c r="F318"/>
  <c r="G318" s="1"/>
  <c r="F317"/>
  <c r="G317" s="1"/>
  <c r="F316"/>
  <c r="G316" s="1"/>
  <c r="F315"/>
  <c r="G315" s="1"/>
  <c r="F314"/>
  <c r="G314" s="1"/>
  <c r="F313"/>
  <c r="G313" s="1"/>
  <c r="F312"/>
  <c r="G312" s="1"/>
  <c r="F311"/>
  <c r="G311" s="1"/>
  <c r="F310"/>
  <c r="G310" s="1"/>
  <c r="F309"/>
  <c r="G309" s="1"/>
  <c r="F308"/>
  <c r="G308" s="1"/>
  <c r="F307"/>
  <c r="G307" s="1"/>
  <c r="F306"/>
  <c r="G306" s="1"/>
  <c r="F305"/>
  <c r="G305" s="1"/>
  <c r="F304"/>
  <c r="G304" s="1"/>
  <c r="F303"/>
  <c r="G303" s="1"/>
  <c r="F302"/>
  <c r="G302" s="1"/>
  <c r="F301"/>
  <c r="G301" s="1"/>
  <c r="F300"/>
  <c r="G300" s="1"/>
  <c r="F299"/>
  <c r="G299" s="1"/>
  <c r="F298"/>
  <c r="G298" s="1"/>
  <c r="F297"/>
  <c r="G297" s="1"/>
  <c r="F296"/>
  <c r="G296" s="1"/>
  <c r="F295"/>
  <c r="G295" s="1"/>
  <c r="F294"/>
  <c r="G294" s="1"/>
  <c r="F293"/>
  <c r="G293" s="1"/>
  <c r="F292"/>
  <c r="G292" s="1"/>
  <c r="F291"/>
  <c r="G291" s="1"/>
  <c r="F290"/>
  <c r="G290" s="1"/>
  <c r="F289"/>
  <c r="G289" s="1"/>
  <c r="F288"/>
  <c r="G288" s="1"/>
  <c r="F287"/>
  <c r="G287" s="1"/>
  <c r="F286"/>
  <c r="G286" s="1"/>
  <c r="F285"/>
  <c r="G285" s="1"/>
  <c r="F284"/>
  <c r="G284" s="1"/>
  <c r="F283"/>
  <c r="G283" s="1"/>
  <c r="F282"/>
  <c r="G282" s="1"/>
  <c r="F281"/>
  <c r="G281" s="1"/>
  <c r="F280"/>
  <c r="G280" s="1"/>
  <c r="F279"/>
  <c r="G279" s="1"/>
  <c r="F278"/>
  <c r="G278" s="1"/>
  <c r="F277"/>
  <c r="G277" s="1"/>
  <c r="F276"/>
  <c r="G276" s="1"/>
  <c r="F275"/>
  <c r="G275" s="1"/>
  <c r="F274"/>
  <c r="G274" s="1"/>
  <c r="F273"/>
  <c r="G273" s="1"/>
  <c r="F272"/>
  <c r="G272" s="1"/>
  <c r="F271"/>
  <c r="G271" s="1"/>
  <c r="F270"/>
  <c r="G270" s="1"/>
  <c r="F269"/>
  <c r="G269" s="1"/>
  <c r="F268"/>
  <c r="G268" s="1"/>
  <c r="F267"/>
  <c r="G267" s="1"/>
  <c r="F266"/>
  <c r="G266" s="1"/>
  <c r="F265"/>
  <c r="G265" s="1"/>
  <c r="F264"/>
  <c r="G264" s="1"/>
  <c r="F263"/>
  <c r="G263" s="1"/>
  <c r="F262"/>
  <c r="G262" s="1"/>
  <c r="F261"/>
  <c r="G261" s="1"/>
  <c r="F260"/>
  <c r="G260" s="1"/>
  <c r="F259"/>
  <c r="G259" s="1"/>
  <c r="F258"/>
  <c r="G258" s="1"/>
  <c r="F257"/>
  <c r="G257" s="1"/>
  <c r="F256"/>
  <c r="G256" s="1"/>
  <c r="F255"/>
  <c r="G255" s="1"/>
  <c r="F254"/>
  <c r="G254" s="1"/>
  <c r="F253"/>
  <c r="G253" s="1"/>
  <c r="F252"/>
  <c r="G252" s="1"/>
  <c r="F251"/>
  <c r="G251" s="1"/>
  <c r="F250"/>
  <c r="G250" s="1"/>
  <c r="F249"/>
  <c r="G249" s="1"/>
  <c r="F248"/>
  <c r="G248" s="1"/>
  <c r="F247"/>
  <c r="G247" s="1"/>
  <c r="F246"/>
  <c r="G246" s="1"/>
  <c r="F245"/>
  <c r="G245" s="1"/>
  <c r="F244"/>
  <c r="G244" s="1"/>
  <c r="F243"/>
  <c r="G243" s="1"/>
  <c r="F242"/>
  <c r="G242" s="1"/>
  <c r="F241"/>
  <c r="G241" s="1"/>
  <c r="F240"/>
  <c r="G240" s="1"/>
  <c r="F239"/>
  <c r="G239" s="1"/>
  <c r="F238"/>
  <c r="G238" s="1"/>
  <c r="F237"/>
  <c r="G237" s="1"/>
  <c r="F236"/>
  <c r="G236" s="1"/>
  <c r="F235"/>
  <c r="G235" s="1"/>
  <c r="F234"/>
  <c r="G234" s="1"/>
  <c r="F233"/>
  <c r="G233" s="1"/>
  <c r="F232"/>
  <c r="G232" s="1"/>
  <c r="F231"/>
  <c r="G231" s="1"/>
  <c r="F230"/>
  <c r="G230" s="1"/>
  <c r="F229"/>
  <c r="G229" s="1"/>
  <c r="F228"/>
  <c r="G228" s="1"/>
  <c r="F227"/>
  <c r="G227" s="1"/>
  <c r="F226"/>
  <c r="G226" s="1"/>
  <c r="F225"/>
  <c r="G225" s="1"/>
  <c r="F224"/>
  <c r="G224" s="1"/>
  <c r="F223"/>
  <c r="G223" s="1"/>
  <c r="F222"/>
  <c r="G222" s="1"/>
  <c r="F221"/>
  <c r="G221" s="1"/>
  <c r="F220"/>
  <c r="G220" s="1"/>
  <c r="F219"/>
  <c r="G219" s="1"/>
  <c r="F218"/>
  <c r="G218" s="1"/>
  <c r="F217"/>
  <c r="G217" s="1"/>
  <c r="F216"/>
  <c r="G216" s="1"/>
  <c r="F215"/>
  <c r="G215" s="1"/>
  <c r="F214"/>
  <c r="G214" s="1"/>
  <c r="F213"/>
  <c r="G213" s="1"/>
  <c r="F212"/>
  <c r="G212" s="1"/>
  <c r="F211"/>
  <c r="G211" s="1"/>
  <c r="F210"/>
  <c r="G210" s="1"/>
  <c r="F209"/>
  <c r="G209" s="1"/>
  <c r="F208"/>
  <c r="G208" s="1"/>
  <c r="F207"/>
  <c r="G207" s="1"/>
  <c r="F206"/>
  <c r="G206" s="1"/>
  <c r="F205"/>
  <c r="G205" s="1"/>
  <c r="F204"/>
  <c r="G204" s="1"/>
  <c r="F203"/>
  <c r="G203" s="1"/>
  <c r="F202"/>
  <c r="G202" s="1"/>
  <c r="F201"/>
  <c r="G201" s="1"/>
  <c r="F200"/>
  <c r="G200" s="1"/>
  <c r="F199"/>
  <c r="G199" s="1"/>
  <c r="F198"/>
  <c r="G198" s="1"/>
  <c r="F197"/>
  <c r="G197" s="1"/>
  <c r="F196"/>
  <c r="G196" s="1"/>
  <c r="F195"/>
  <c r="G195" s="1"/>
  <c r="F194"/>
  <c r="G194" s="1"/>
  <c r="F193"/>
  <c r="G193" s="1"/>
  <c r="F192"/>
  <c r="G192" s="1"/>
  <c r="F191"/>
  <c r="G191" s="1"/>
  <c r="F190"/>
  <c r="G190" s="1"/>
  <c r="F189"/>
  <c r="G189" s="1"/>
  <c r="F188"/>
  <c r="G188" s="1"/>
  <c r="F187"/>
  <c r="G187" s="1"/>
  <c r="F186"/>
  <c r="G186" s="1"/>
  <c r="F185"/>
  <c r="G185" s="1"/>
  <c r="F184"/>
  <c r="G184" s="1"/>
  <c r="F183"/>
  <c r="G183" s="1"/>
  <c r="F182"/>
  <c r="G182" s="1"/>
  <c r="F181"/>
  <c r="G181" s="1"/>
  <c r="F180"/>
  <c r="G180" s="1"/>
  <c r="F179"/>
  <c r="G179" s="1"/>
  <c r="F178"/>
  <c r="G178" s="1"/>
  <c r="F177"/>
  <c r="G177" s="1"/>
  <c r="F176"/>
  <c r="G176" s="1"/>
  <c r="F175"/>
  <c r="G175" s="1"/>
  <c r="F174"/>
  <c r="G174" s="1"/>
  <c r="F173"/>
  <c r="G173" s="1"/>
  <c r="F172"/>
  <c r="G172" s="1"/>
  <c r="F171"/>
  <c r="G171" s="1"/>
  <c r="F170"/>
  <c r="G170" s="1"/>
  <c r="F169"/>
  <c r="G169" s="1"/>
  <c r="F168"/>
  <c r="G168" s="1"/>
  <c r="F167"/>
  <c r="G167" s="1"/>
  <c r="F166"/>
  <c r="G166" s="1"/>
  <c r="F165"/>
  <c r="G165" s="1"/>
  <c r="F164"/>
  <c r="G164" s="1"/>
  <c r="F163"/>
  <c r="G163" s="1"/>
  <c r="F162"/>
  <c r="G162" s="1"/>
  <c r="F161"/>
  <c r="G161" s="1"/>
  <c r="F160"/>
  <c r="G160" s="1"/>
  <c r="F159"/>
  <c r="G159" s="1"/>
  <c r="F158"/>
  <c r="G158" s="1"/>
  <c r="F157"/>
  <c r="G157" s="1"/>
  <c r="F156"/>
  <c r="G156" s="1"/>
  <c r="F155"/>
  <c r="G155" s="1"/>
  <c r="F154"/>
  <c r="G154" s="1"/>
  <c r="F153"/>
  <c r="G153" s="1"/>
  <c r="F152"/>
  <c r="G152" s="1"/>
  <c r="F151"/>
  <c r="G151" s="1"/>
  <c r="F150"/>
  <c r="G150" s="1"/>
  <c r="F149"/>
  <c r="G149" s="1"/>
  <c r="G148"/>
  <c r="F148"/>
  <c r="F147"/>
  <c r="G147" s="1"/>
  <c r="F146"/>
  <c r="G146" s="1"/>
  <c r="F145"/>
  <c r="G145" s="1"/>
  <c r="F144"/>
  <c r="G144" s="1"/>
  <c r="F143"/>
  <c r="G143" s="1"/>
  <c r="F142"/>
  <c r="G142" s="1"/>
  <c r="F141"/>
  <c r="G141" s="1"/>
  <c r="G140"/>
  <c r="F140"/>
  <c r="F139"/>
  <c r="G139" s="1"/>
  <c r="F138"/>
  <c r="G138" s="1"/>
  <c r="F137"/>
  <c r="G137" s="1"/>
  <c r="F136"/>
  <c r="G136" s="1"/>
  <c r="F135"/>
  <c r="G135" s="1"/>
  <c r="F134"/>
  <c r="G134" s="1"/>
  <c r="F133"/>
  <c r="G133" s="1"/>
  <c r="G132"/>
  <c r="F132"/>
  <c r="F131"/>
  <c r="G131" s="1"/>
  <c r="F130"/>
  <c r="G130" s="1"/>
  <c r="F129"/>
  <c r="G129" s="1"/>
  <c r="F128"/>
  <c r="G128" s="1"/>
  <c r="F127"/>
  <c r="G127" s="1"/>
  <c r="F126"/>
  <c r="G126" s="1"/>
  <c r="F125"/>
  <c r="G125" s="1"/>
  <c r="G124"/>
  <c r="F124"/>
  <c r="F123"/>
  <c r="G123" s="1"/>
  <c r="F122"/>
  <c r="G122" s="1"/>
  <c r="F121"/>
  <c r="G121" s="1"/>
  <c r="F120"/>
  <c r="G120" s="1"/>
  <c r="F119"/>
  <c r="G119" s="1"/>
  <c r="F118"/>
  <c r="G118" s="1"/>
  <c r="F117"/>
  <c r="G117" s="1"/>
  <c r="G116"/>
  <c r="F116"/>
  <c r="F115"/>
  <c r="G115" s="1"/>
  <c r="F114"/>
  <c r="G114" s="1"/>
  <c r="F113"/>
  <c r="G113" s="1"/>
  <c r="F112"/>
  <c r="G112" s="1"/>
  <c r="F111"/>
  <c r="G111" s="1"/>
  <c r="F110"/>
  <c r="G110" s="1"/>
  <c r="F109"/>
  <c r="G109" s="1"/>
  <c r="G108"/>
  <c r="F108"/>
  <c r="F107"/>
  <c r="G107" s="1"/>
  <c r="F106"/>
  <c r="G106" s="1"/>
  <c r="F105"/>
  <c r="G105" s="1"/>
  <c r="F104"/>
  <c r="G104" s="1"/>
  <c r="F103"/>
  <c r="G103" s="1"/>
  <c r="F102"/>
  <c r="G102" s="1"/>
  <c r="F101"/>
  <c r="G101" s="1"/>
  <c r="G100"/>
  <c r="F100"/>
  <c r="F99"/>
  <c r="G99" s="1"/>
  <c r="F98"/>
  <c r="G98" s="1"/>
  <c r="F97"/>
  <c r="G97" s="1"/>
  <c r="F96"/>
  <c r="G96" s="1"/>
  <c r="F95"/>
  <c r="G95" s="1"/>
  <c r="F94"/>
  <c r="G94" s="1"/>
  <c r="F93"/>
  <c r="G93" s="1"/>
  <c r="G92"/>
  <c r="F92"/>
  <c r="F91"/>
  <c r="G91" s="1"/>
  <c r="F90"/>
  <c r="G90" s="1"/>
  <c r="F89"/>
  <c r="G89" s="1"/>
  <c r="F88"/>
  <c r="G88" s="1"/>
  <c r="F87"/>
  <c r="G87" s="1"/>
  <c r="F86"/>
  <c r="G86" s="1"/>
  <c r="F85"/>
  <c r="G85" s="1"/>
  <c r="G84"/>
  <c r="F84"/>
  <c r="F83"/>
  <c r="G83" s="1"/>
  <c r="F82"/>
  <c r="G82" s="1"/>
  <c r="F81"/>
  <c r="G81" s="1"/>
  <c r="F80"/>
  <c r="G80" s="1"/>
  <c r="F79"/>
  <c r="G79" s="1"/>
  <c r="F78"/>
  <c r="G78" s="1"/>
  <c r="F77"/>
  <c r="G77" s="1"/>
  <c r="G76"/>
  <c r="F76"/>
  <c r="F75"/>
  <c r="G75" s="1"/>
  <c r="F74"/>
  <c r="G74" s="1"/>
  <c r="F73"/>
  <c r="G73" s="1"/>
  <c r="F72"/>
  <c r="G72" s="1"/>
  <c r="F71"/>
  <c r="G71" s="1"/>
  <c r="F70"/>
  <c r="G70" s="1"/>
  <c r="F69"/>
  <c r="G69" s="1"/>
  <c r="G68"/>
  <c r="F68"/>
  <c r="F67"/>
  <c r="G67" s="1"/>
  <c r="F66"/>
  <c r="G66" s="1"/>
  <c r="F65"/>
  <c r="G65" s="1"/>
  <c r="F64"/>
  <c r="G64" s="1"/>
  <c r="F63"/>
  <c r="G63" s="1"/>
  <c r="F62"/>
  <c r="G62" s="1"/>
  <c r="F61"/>
  <c r="G61" s="1"/>
  <c r="G60"/>
  <c r="F60"/>
  <c r="F59"/>
  <c r="G59" s="1"/>
  <c r="F58"/>
  <c r="G58" s="1"/>
  <c r="F57"/>
  <c r="G57" s="1"/>
  <c r="F56"/>
  <c r="G56" s="1"/>
  <c r="F55"/>
  <c r="G55" s="1"/>
  <c r="F54"/>
  <c r="G54" s="1"/>
  <c r="F53"/>
  <c r="G53" s="1"/>
  <c r="G52"/>
  <c r="F52"/>
  <c r="F51"/>
  <c r="G51" s="1"/>
  <c r="F50"/>
  <c r="G50" s="1"/>
  <c r="F49"/>
  <c r="G49" s="1"/>
  <c r="F48"/>
  <c r="G48" s="1"/>
  <c r="F47"/>
  <c r="G47" s="1"/>
  <c r="F46"/>
  <c r="G46" s="1"/>
  <c r="F45"/>
  <c r="G45" s="1"/>
  <c r="G44"/>
  <c r="F44"/>
  <c r="F43"/>
  <c r="G43" s="1"/>
  <c r="F42"/>
  <c r="G42" s="1"/>
  <c r="F41"/>
  <c r="G41" s="1"/>
  <c r="F40"/>
  <c r="G40" s="1"/>
  <c r="F39"/>
  <c r="G39" s="1"/>
  <c r="F38"/>
  <c r="G38" s="1"/>
  <c r="F37"/>
  <c r="G37" s="1"/>
  <c r="G36"/>
  <c r="F36"/>
  <c r="F35"/>
  <c r="G35" s="1"/>
  <c r="F34"/>
  <c r="G34" s="1"/>
  <c r="F33"/>
  <c r="G33" s="1"/>
  <c r="F32"/>
  <c r="G32" s="1"/>
  <c r="F31"/>
  <c r="G31" s="1"/>
  <c r="F30"/>
  <c r="G30" s="1"/>
  <c r="F29"/>
  <c r="G29" s="1"/>
  <c r="G28"/>
  <c r="F28"/>
  <c r="F27"/>
  <c r="G27" s="1"/>
  <c r="F26"/>
  <c r="G26" s="1"/>
  <c r="F25"/>
  <c r="G25" s="1"/>
  <c r="F24"/>
  <c r="G24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F12"/>
  <c r="G12" s="1"/>
  <c r="F11"/>
  <c r="G11" s="1"/>
  <c r="F10"/>
  <c r="G10" s="1"/>
  <c r="F9"/>
  <c r="G9" s="1"/>
  <c r="F8"/>
  <c r="G8" s="1"/>
  <c r="F7"/>
  <c r="G7" s="1"/>
  <c r="F6"/>
  <c r="G6" s="1"/>
  <c r="F5"/>
  <c r="G5" s="1"/>
  <c r="F4"/>
  <c r="G4" s="1"/>
  <c r="G477" i="3"/>
  <c r="H477" s="1"/>
  <c r="G476"/>
  <c r="H476" s="1"/>
  <c r="G475"/>
  <c r="H475" s="1"/>
  <c r="G474"/>
  <c r="H474" s="1"/>
  <c r="G473"/>
  <c r="H473" s="1"/>
  <c r="G472"/>
  <c r="H472" s="1"/>
  <c r="G471"/>
  <c r="H471" s="1"/>
  <c r="G470"/>
  <c r="H470" s="1"/>
  <c r="G469"/>
  <c r="H469" s="1"/>
  <c r="G468"/>
  <c r="H468" s="1"/>
  <c r="G467"/>
  <c r="H467" s="1"/>
  <c r="G466"/>
  <c r="H466" s="1"/>
  <c r="G465"/>
  <c r="H465" s="1"/>
  <c r="G464"/>
  <c r="H464" s="1"/>
  <c r="G463"/>
  <c r="H463" s="1"/>
  <c r="G462"/>
  <c r="H462" s="1"/>
  <c r="G461"/>
  <c r="H461" s="1"/>
  <c r="G460"/>
  <c r="H460" s="1"/>
  <c r="G459"/>
  <c r="H459" s="1"/>
  <c r="G458"/>
  <c r="H458" s="1"/>
  <c r="G457"/>
  <c r="H457" s="1"/>
  <c r="G456"/>
  <c r="H456" s="1"/>
  <c r="G455"/>
  <c r="H455" s="1"/>
  <c r="G454"/>
  <c r="H454" s="1"/>
  <c r="G453"/>
  <c r="H453" s="1"/>
  <c r="G452"/>
  <c r="H452" s="1"/>
  <c r="G451"/>
  <c r="H451" s="1"/>
  <c r="G450"/>
  <c r="H450" s="1"/>
  <c r="G449"/>
  <c r="H449" s="1"/>
  <c r="G448"/>
  <c r="H448" s="1"/>
  <c r="G447"/>
  <c r="H447" s="1"/>
  <c r="G446"/>
  <c r="H446" s="1"/>
  <c r="G445"/>
  <c r="H445" s="1"/>
  <c r="G444"/>
  <c r="H444" s="1"/>
  <c r="G443"/>
  <c r="H443" s="1"/>
  <c r="G442"/>
  <c r="H442" s="1"/>
  <c r="G441"/>
  <c r="H441" s="1"/>
  <c r="G440"/>
  <c r="H440" s="1"/>
  <c r="G439"/>
  <c r="H439" s="1"/>
  <c r="G438"/>
  <c r="H438" s="1"/>
  <c r="G437"/>
  <c r="H437" s="1"/>
  <c r="G436"/>
  <c r="H436" s="1"/>
  <c r="G435"/>
  <c r="H435" s="1"/>
  <c r="G434"/>
  <c r="H434" s="1"/>
  <c r="G433"/>
  <c r="H433" s="1"/>
  <c r="G432"/>
  <c r="H432" s="1"/>
  <c r="G431"/>
  <c r="H431" s="1"/>
  <c r="G430"/>
  <c r="H430" s="1"/>
  <c r="G429"/>
  <c r="H429" s="1"/>
  <c r="G428"/>
  <c r="H428" s="1"/>
  <c r="G427"/>
  <c r="H427" s="1"/>
  <c r="G426"/>
  <c r="H426" s="1"/>
  <c r="G425"/>
  <c r="H425" s="1"/>
  <c r="G424"/>
  <c r="H424" s="1"/>
  <c r="G423"/>
  <c r="H423" s="1"/>
  <c r="G422"/>
  <c r="H422" s="1"/>
  <c r="G421"/>
  <c r="H421" s="1"/>
  <c r="G420"/>
  <c r="H420" s="1"/>
  <c r="G419"/>
  <c r="H419" s="1"/>
  <c r="G418"/>
  <c r="H418" s="1"/>
  <c r="G417"/>
  <c r="H417" s="1"/>
  <c r="G416"/>
  <c r="H416" s="1"/>
  <c r="G415"/>
  <c r="H415" s="1"/>
  <c r="G414"/>
  <c r="H414" s="1"/>
  <c r="G413"/>
  <c r="H413" s="1"/>
  <c r="G412"/>
  <c r="H412" s="1"/>
  <c r="G411"/>
  <c r="H411" s="1"/>
  <c r="G410"/>
  <c r="H410" s="1"/>
  <c r="G409"/>
  <c r="H409" s="1"/>
  <c r="G408"/>
  <c r="H408" s="1"/>
  <c r="G407"/>
  <c r="H407" s="1"/>
  <c r="G406"/>
  <c r="H406" s="1"/>
  <c r="G405"/>
  <c r="H405" s="1"/>
  <c r="G404"/>
  <c r="H404" s="1"/>
  <c r="G403"/>
  <c r="H403" s="1"/>
  <c r="G402"/>
  <c r="H402" s="1"/>
  <c r="G401"/>
  <c r="H401" s="1"/>
  <c r="G400"/>
  <c r="H400" s="1"/>
  <c r="G399"/>
  <c r="H399" s="1"/>
  <c r="G398"/>
  <c r="H398" s="1"/>
  <c r="G397"/>
  <c r="H397" s="1"/>
  <c r="G396"/>
  <c r="H396" s="1"/>
  <c r="G395"/>
  <c r="H395" s="1"/>
  <c r="G394"/>
  <c r="H394" s="1"/>
  <c r="G393"/>
  <c r="H393" s="1"/>
  <c r="G392"/>
  <c r="H392" s="1"/>
  <c r="G391"/>
  <c r="H391" s="1"/>
  <c r="G390"/>
  <c r="H390" s="1"/>
  <c r="G389"/>
  <c r="H389" s="1"/>
  <c r="G388"/>
  <c r="H388" s="1"/>
  <c r="G387"/>
  <c r="H387" s="1"/>
  <c r="G386"/>
  <c r="H386" s="1"/>
  <c r="G385"/>
  <c r="H385" s="1"/>
  <c r="G384"/>
  <c r="H384" s="1"/>
  <c r="G383"/>
  <c r="H383" s="1"/>
  <c r="G382"/>
  <c r="H382" s="1"/>
  <c r="G381"/>
  <c r="H381" s="1"/>
  <c r="G380"/>
  <c r="H380" s="1"/>
  <c r="G379"/>
  <c r="H379" s="1"/>
  <c r="G378"/>
  <c r="H378" s="1"/>
  <c r="G377"/>
  <c r="H377" s="1"/>
  <c r="G376"/>
  <c r="H376" s="1"/>
  <c r="G375"/>
  <c r="H375" s="1"/>
  <c r="G374"/>
  <c r="H374" s="1"/>
  <c r="G373"/>
  <c r="H373" s="1"/>
  <c r="G372"/>
  <c r="H372" s="1"/>
  <c r="G371"/>
  <c r="H371" s="1"/>
  <c r="G370"/>
  <c r="H370" s="1"/>
  <c r="G369"/>
  <c r="H369" s="1"/>
  <c r="G368"/>
  <c r="H368" s="1"/>
  <c r="G367"/>
  <c r="H367" s="1"/>
  <c r="G366"/>
  <c r="H366" s="1"/>
  <c r="G365"/>
  <c r="H365" s="1"/>
  <c r="G364"/>
  <c r="H364" s="1"/>
  <c r="G363"/>
  <c r="H363" s="1"/>
  <c r="G362"/>
  <c r="H362" s="1"/>
  <c r="G361"/>
  <c r="H361" s="1"/>
  <c r="G360"/>
  <c r="H360" s="1"/>
  <c r="G359"/>
  <c r="H359" s="1"/>
  <c r="G358"/>
  <c r="H358" s="1"/>
  <c r="G357"/>
  <c r="H357" s="1"/>
  <c r="G356"/>
  <c r="H356" s="1"/>
  <c r="G355"/>
  <c r="H355" s="1"/>
  <c r="G354"/>
  <c r="H354" s="1"/>
  <c r="G353"/>
  <c r="H353" s="1"/>
  <c r="G352"/>
  <c r="H352" s="1"/>
  <c r="G351"/>
  <c r="H351" s="1"/>
  <c r="G350"/>
  <c r="H350" s="1"/>
  <c r="G349"/>
  <c r="H349" s="1"/>
  <c r="G348"/>
  <c r="H348" s="1"/>
  <c r="G347"/>
  <c r="H347" s="1"/>
  <c r="G346"/>
  <c r="H346" s="1"/>
  <c r="G345"/>
  <c r="H345" s="1"/>
  <c r="G344"/>
  <c r="H344" s="1"/>
  <c r="G343"/>
  <c r="H343" s="1"/>
  <c r="G342"/>
  <c r="H342" s="1"/>
  <c r="G341"/>
  <c r="H341" s="1"/>
  <c r="G340"/>
  <c r="H340" s="1"/>
  <c r="G339"/>
  <c r="H339" s="1"/>
  <c r="G338"/>
  <c r="H338" s="1"/>
  <c r="G337"/>
  <c r="H337" s="1"/>
  <c r="G336"/>
  <c r="H336" s="1"/>
  <c r="G335"/>
  <c r="H335" s="1"/>
  <c r="G334"/>
  <c r="H334" s="1"/>
  <c r="G333"/>
  <c r="H333" s="1"/>
  <c r="G332"/>
  <c r="H332" s="1"/>
  <c r="G331"/>
  <c r="H331" s="1"/>
  <c r="G330"/>
  <c r="H330" s="1"/>
  <c r="G329"/>
  <c r="H329" s="1"/>
  <c r="G328"/>
  <c r="H328" s="1"/>
  <c r="G327"/>
  <c r="H327" s="1"/>
  <c r="G326"/>
  <c r="H326" s="1"/>
  <c r="G325"/>
  <c r="H325" s="1"/>
  <c r="G324"/>
  <c r="H324" s="1"/>
  <c r="G323"/>
  <c r="H323" s="1"/>
  <c r="G322"/>
  <c r="H322" s="1"/>
  <c r="G321"/>
  <c r="H321" s="1"/>
  <c r="G320"/>
  <c r="H320" s="1"/>
  <c r="G319"/>
  <c r="H319" s="1"/>
  <c r="G318"/>
  <c r="H318" s="1"/>
  <c r="G317"/>
  <c r="H317" s="1"/>
  <c r="G316"/>
  <c r="H316" s="1"/>
  <c r="G315"/>
  <c r="H315" s="1"/>
  <c r="G314"/>
  <c r="H314" s="1"/>
  <c r="G313"/>
  <c r="H313" s="1"/>
  <c r="G312"/>
  <c r="H312" s="1"/>
  <c r="G311"/>
  <c r="H311" s="1"/>
  <c r="G310"/>
  <c r="H310" s="1"/>
  <c r="G309"/>
  <c r="H309" s="1"/>
  <c r="G308"/>
  <c r="H308" s="1"/>
  <c r="G307"/>
  <c r="H307" s="1"/>
  <c r="G306"/>
  <c r="H306" s="1"/>
  <c r="G305"/>
  <c r="H305" s="1"/>
  <c r="G304"/>
  <c r="H304" s="1"/>
  <c r="G303"/>
  <c r="H303" s="1"/>
  <c r="G302"/>
  <c r="H302" s="1"/>
  <c r="G301"/>
  <c r="H301" s="1"/>
  <c r="G300"/>
  <c r="H300" s="1"/>
  <c r="G299"/>
  <c r="H299" s="1"/>
  <c r="G298"/>
  <c r="H298" s="1"/>
  <c r="G297"/>
  <c r="H297" s="1"/>
  <c r="G296"/>
  <c r="H296" s="1"/>
  <c r="G295"/>
  <c r="H295" s="1"/>
  <c r="G294"/>
  <c r="H294" s="1"/>
  <c r="G293"/>
  <c r="H293" s="1"/>
  <c r="G292"/>
  <c r="H292" s="1"/>
  <c r="G291"/>
  <c r="H291" s="1"/>
  <c r="G290"/>
  <c r="H290" s="1"/>
  <c r="G289"/>
  <c r="H289" s="1"/>
  <c r="G288"/>
  <c r="H288" s="1"/>
  <c r="G287"/>
  <c r="H287" s="1"/>
  <c r="G286"/>
  <c r="H286" s="1"/>
  <c r="G285"/>
  <c r="H285" s="1"/>
  <c r="G284"/>
  <c r="H284" s="1"/>
  <c r="G283"/>
  <c r="H283" s="1"/>
  <c r="G282"/>
  <c r="H282" s="1"/>
  <c r="G281"/>
  <c r="H281" s="1"/>
  <c r="G280"/>
  <c r="H280" s="1"/>
  <c r="G279"/>
  <c r="H279" s="1"/>
  <c r="G278"/>
  <c r="H278" s="1"/>
  <c r="G277"/>
  <c r="H277" s="1"/>
  <c r="G276"/>
  <c r="H276" s="1"/>
  <c r="G275"/>
  <c r="H275" s="1"/>
  <c r="G274"/>
  <c r="H274" s="1"/>
  <c r="G273"/>
  <c r="H273" s="1"/>
  <c r="G272"/>
  <c r="H272" s="1"/>
  <c r="G271"/>
  <c r="H271" s="1"/>
  <c r="G270"/>
  <c r="H270" s="1"/>
  <c r="G269"/>
  <c r="H269" s="1"/>
  <c r="G268"/>
  <c r="H268" s="1"/>
  <c r="G267"/>
  <c r="H267" s="1"/>
  <c r="G266"/>
  <c r="H266" s="1"/>
  <c r="G265"/>
  <c r="H265" s="1"/>
  <c r="G264"/>
  <c r="H264" s="1"/>
  <c r="G263"/>
  <c r="H263" s="1"/>
  <c r="G262"/>
  <c r="H262" s="1"/>
  <c r="G261"/>
  <c r="H261" s="1"/>
  <c r="G260"/>
  <c r="H260" s="1"/>
  <c r="G259"/>
  <c r="H259" s="1"/>
  <c r="G258"/>
  <c r="H258" s="1"/>
  <c r="G257"/>
  <c r="H257" s="1"/>
  <c r="G256"/>
  <c r="H256" s="1"/>
  <c r="G255"/>
  <c r="H255" s="1"/>
  <c r="G254"/>
  <c r="H254" s="1"/>
  <c r="G253"/>
  <c r="H253" s="1"/>
  <c r="G252"/>
  <c r="H252" s="1"/>
  <c r="G251"/>
  <c r="H251" s="1"/>
  <c r="G250"/>
  <c r="H250" s="1"/>
  <c r="G249"/>
  <c r="H249" s="1"/>
  <c r="G248"/>
  <c r="H248" s="1"/>
  <c r="G247"/>
  <c r="H247" s="1"/>
  <c r="G246"/>
  <c r="H246" s="1"/>
  <c r="G245"/>
  <c r="H245" s="1"/>
  <c r="G244"/>
  <c r="H244" s="1"/>
  <c r="G243"/>
  <c r="H243" s="1"/>
  <c r="G242"/>
  <c r="H242" s="1"/>
  <c r="G241"/>
  <c r="H241" s="1"/>
  <c r="G240"/>
  <c r="H240" s="1"/>
  <c r="G239"/>
  <c r="H239" s="1"/>
  <c r="G238"/>
  <c r="H238" s="1"/>
  <c r="G237"/>
  <c r="H237" s="1"/>
  <c r="G236"/>
  <c r="H236" s="1"/>
  <c r="G235"/>
  <c r="H235" s="1"/>
  <c r="G234"/>
  <c r="H234" s="1"/>
  <c r="G233"/>
  <c r="H233" s="1"/>
  <c r="G232"/>
  <c r="H232" s="1"/>
  <c r="G231"/>
  <c r="H231" s="1"/>
  <c r="G230"/>
  <c r="H230" s="1"/>
  <c r="G229"/>
  <c r="H229" s="1"/>
  <c r="G228"/>
  <c r="H228" s="1"/>
  <c r="G227"/>
  <c r="H227" s="1"/>
  <c r="G226"/>
  <c r="H226" s="1"/>
  <c r="G225"/>
  <c r="H225" s="1"/>
  <c r="G224"/>
  <c r="H224" s="1"/>
  <c r="G223"/>
  <c r="H223" s="1"/>
  <c r="G222"/>
  <c r="H222" s="1"/>
  <c r="G221"/>
  <c r="H221" s="1"/>
  <c r="G220"/>
  <c r="H220" s="1"/>
  <c r="G219"/>
  <c r="H219" s="1"/>
  <c r="G218"/>
  <c r="H218" s="1"/>
  <c r="G217"/>
  <c r="H217" s="1"/>
  <c r="G216"/>
  <c r="H216" s="1"/>
  <c r="G215"/>
  <c r="H215" s="1"/>
  <c r="G214"/>
  <c r="H214" s="1"/>
  <c r="G213"/>
  <c r="H213" s="1"/>
  <c r="G212"/>
  <c r="H212" s="1"/>
  <c r="G211"/>
  <c r="H211" s="1"/>
  <c r="G210"/>
  <c r="H210" s="1"/>
  <c r="G209"/>
  <c r="H209" s="1"/>
  <c r="G208"/>
  <c r="H208" s="1"/>
  <c r="G207"/>
  <c r="H207" s="1"/>
  <c r="G206"/>
  <c r="H206" s="1"/>
  <c r="G205"/>
  <c r="H205" s="1"/>
  <c r="G204"/>
  <c r="H204" s="1"/>
  <c r="G203"/>
  <c r="H203" s="1"/>
  <c r="G202"/>
  <c r="H202" s="1"/>
  <c r="G201"/>
  <c r="H201" s="1"/>
  <c r="G200"/>
  <c r="H200" s="1"/>
  <c r="G199"/>
  <c r="H199" s="1"/>
  <c r="G198"/>
  <c r="H198" s="1"/>
  <c r="G197"/>
  <c r="H197" s="1"/>
  <c r="G196"/>
  <c r="H196" s="1"/>
  <c r="G195"/>
  <c r="H195" s="1"/>
  <c r="G194"/>
  <c r="H194" s="1"/>
  <c r="G193"/>
  <c r="H193" s="1"/>
  <c r="G192"/>
  <c r="H192" s="1"/>
  <c r="G191"/>
  <c r="H191" s="1"/>
  <c r="G190"/>
  <c r="H190" s="1"/>
  <c r="G189"/>
  <c r="H189" s="1"/>
  <c r="G188"/>
  <c r="H188" s="1"/>
  <c r="G187"/>
  <c r="H187" s="1"/>
  <c r="G186"/>
  <c r="H186" s="1"/>
  <c r="G185"/>
  <c r="H185" s="1"/>
  <c r="G184"/>
  <c r="H184" s="1"/>
  <c r="G183"/>
  <c r="H183" s="1"/>
  <c r="G182"/>
  <c r="H182" s="1"/>
  <c r="G181"/>
  <c r="H181" s="1"/>
  <c r="G180"/>
  <c r="H180" s="1"/>
  <c r="G179"/>
  <c r="H179" s="1"/>
  <c r="G178"/>
  <c r="H178" s="1"/>
  <c r="G177"/>
  <c r="H177" s="1"/>
  <c r="G176"/>
  <c r="H176" s="1"/>
  <c r="G175"/>
  <c r="H175" s="1"/>
  <c r="G174"/>
  <c r="H174" s="1"/>
  <c r="G173"/>
  <c r="H173" s="1"/>
  <c r="G172"/>
  <c r="H172" s="1"/>
  <c r="G171"/>
  <c r="H171" s="1"/>
  <c r="G170"/>
  <c r="H170" s="1"/>
  <c r="G169"/>
  <c r="H169" s="1"/>
  <c r="G168"/>
  <c r="H168" s="1"/>
  <c r="G167"/>
  <c r="H167" s="1"/>
  <c r="G166"/>
  <c r="H166" s="1"/>
  <c r="G165"/>
  <c r="H165" s="1"/>
  <c r="G164"/>
  <c r="H164" s="1"/>
  <c r="G163"/>
  <c r="H163" s="1"/>
  <c r="G162"/>
  <c r="H162" s="1"/>
  <c r="G161"/>
  <c r="H161" s="1"/>
  <c r="G160"/>
  <c r="H160" s="1"/>
  <c r="G159"/>
  <c r="H159" s="1"/>
  <c r="G158"/>
  <c r="H158" s="1"/>
  <c r="G157"/>
  <c r="H157" s="1"/>
  <c r="G156"/>
  <c r="H156" s="1"/>
  <c r="G155"/>
  <c r="H155" s="1"/>
  <c r="G154"/>
  <c r="H154" s="1"/>
  <c r="G153"/>
  <c r="H153" s="1"/>
  <c r="G152"/>
  <c r="H152" s="1"/>
  <c r="G151"/>
  <c r="H151" s="1"/>
  <c r="G150"/>
  <c r="H150" s="1"/>
  <c r="G149"/>
  <c r="H149" s="1"/>
  <c r="G148"/>
  <c r="H148" s="1"/>
  <c r="G147"/>
  <c r="H147" s="1"/>
  <c r="G146"/>
  <c r="H146" s="1"/>
  <c r="G145"/>
  <c r="H145" s="1"/>
  <c r="G144"/>
  <c r="H144" s="1"/>
  <c r="G143"/>
  <c r="H143" s="1"/>
  <c r="G142"/>
  <c r="H142" s="1"/>
  <c r="G141"/>
  <c r="H141" s="1"/>
  <c r="G140"/>
  <c r="H140" s="1"/>
  <c r="G139"/>
  <c r="H139" s="1"/>
  <c r="G138"/>
  <c r="H138" s="1"/>
  <c r="G137"/>
  <c r="H137" s="1"/>
  <c r="G136"/>
  <c r="H136" s="1"/>
  <c r="G135"/>
  <c r="H135" s="1"/>
  <c r="G134"/>
  <c r="H134" s="1"/>
  <c r="G133"/>
  <c r="H133" s="1"/>
  <c r="G132"/>
  <c r="H132" s="1"/>
  <c r="G131"/>
  <c r="H131" s="1"/>
  <c r="G130"/>
  <c r="H130" s="1"/>
  <c r="G129"/>
  <c r="H129" s="1"/>
  <c r="G128"/>
  <c r="H128" s="1"/>
  <c r="G127"/>
  <c r="H127" s="1"/>
  <c r="G126"/>
  <c r="H126" s="1"/>
  <c r="G125"/>
  <c r="H125" s="1"/>
  <c r="G124"/>
  <c r="H124" s="1"/>
  <c r="G123"/>
  <c r="H123" s="1"/>
  <c r="G122"/>
  <c r="H122" s="1"/>
  <c r="G121"/>
  <c r="H121" s="1"/>
  <c r="G120"/>
  <c r="H120" s="1"/>
  <c r="G119"/>
  <c r="H119" s="1"/>
  <c r="G118"/>
  <c r="H118" s="1"/>
  <c r="G117"/>
  <c r="H117" s="1"/>
  <c r="G116"/>
  <c r="H116" s="1"/>
  <c r="G115"/>
  <c r="H115" s="1"/>
  <c r="G114"/>
  <c r="H114" s="1"/>
  <c r="G113"/>
  <c r="H113" s="1"/>
  <c r="G112"/>
  <c r="H112" s="1"/>
  <c r="G111"/>
  <c r="H111" s="1"/>
  <c r="G110"/>
  <c r="H110" s="1"/>
  <c r="G109"/>
  <c r="H109" s="1"/>
  <c r="G108"/>
  <c r="H108" s="1"/>
  <c r="G107"/>
  <c r="H107" s="1"/>
  <c r="G106"/>
  <c r="H106" s="1"/>
  <c r="G105"/>
  <c r="H105" s="1"/>
  <c r="G104"/>
  <c r="H104" s="1"/>
  <c r="G103"/>
  <c r="H103" s="1"/>
  <c r="G102"/>
  <c r="H102" s="1"/>
  <c r="G101"/>
  <c r="H101" s="1"/>
  <c r="G100"/>
  <c r="H100" s="1"/>
  <c r="G99"/>
  <c r="H99" s="1"/>
  <c r="G98"/>
  <c r="H98" s="1"/>
  <c r="G97"/>
  <c r="H97" s="1"/>
  <c r="G96"/>
  <c r="H96" s="1"/>
  <c r="G95"/>
  <c r="H95" s="1"/>
  <c r="G94"/>
  <c r="H94" s="1"/>
  <c r="G93"/>
  <c r="H93" s="1"/>
  <c r="G92"/>
  <c r="H92" s="1"/>
  <c r="G91"/>
  <c r="H91" s="1"/>
  <c r="G90"/>
  <c r="H90" s="1"/>
  <c r="G89"/>
  <c r="H89" s="1"/>
  <c r="G88"/>
  <c r="H88" s="1"/>
  <c r="G87"/>
  <c r="H87" s="1"/>
  <c r="G86"/>
  <c r="H86" s="1"/>
  <c r="G85"/>
  <c r="H85" s="1"/>
  <c r="G84"/>
  <c r="H84" s="1"/>
  <c r="G83"/>
  <c r="H83" s="1"/>
  <c r="G82"/>
  <c r="H82" s="1"/>
  <c r="G81"/>
  <c r="H81" s="1"/>
  <c r="G80"/>
  <c r="H80" s="1"/>
  <c r="G79"/>
  <c r="H79" s="1"/>
  <c r="G78"/>
  <c r="H78" s="1"/>
  <c r="G77"/>
  <c r="H77" s="1"/>
  <c r="G76"/>
  <c r="H76" s="1"/>
  <c r="G75"/>
  <c r="H75" s="1"/>
  <c r="G74"/>
  <c r="H74" s="1"/>
  <c r="G73"/>
  <c r="H73" s="1"/>
  <c r="G72"/>
  <c r="H72" s="1"/>
  <c r="G71"/>
  <c r="H71" s="1"/>
  <c r="G70"/>
  <c r="H70" s="1"/>
  <c r="G69"/>
  <c r="H69" s="1"/>
  <c r="G68"/>
  <c r="H68" s="1"/>
  <c r="G67"/>
  <c r="H67" s="1"/>
  <c r="G66"/>
  <c r="H66" s="1"/>
  <c r="G65"/>
  <c r="H65" s="1"/>
  <c r="G64"/>
  <c r="H64" s="1"/>
  <c r="G63"/>
  <c r="H63" s="1"/>
  <c r="G62"/>
  <c r="H62" s="1"/>
  <c r="G61"/>
  <c r="H61" s="1"/>
  <c r="G60"/>
  <c r="H60" s="1"/>
  <c r="G59"/>
  <c r="H59" s="1"/>
  <c r="G58"/>
  <c r="H58" s="1"/>
  <c r="G57"/>
  <c r="H57" s="1"/>
  <c r="G56"/>
  <c r="H56" s="1"/>
  <c r="G55"/>
  <c r="H55" s="1"/>
  <c r="G54"/>
  <c r="H54" s="1"/>
  <c r="G53"/>
  <c r="H53" s="1"/>
  <c r="G52"/>
  <c r="H52" s="1"/>
  <c r="G51"/>
  <c r="H51" s="1"/>
  <c r="G50"/>
  <c r="H50" s="1"/>
  <c r="G49"/>
  <c r="H49" s="1"/>
  <c r="G48"/>
  <c r="H48" s="1"/>
  <c r="G47"/>
  <c r="H47" s="1"/>
  <c r="G46"/>
  <c r="H46" s="1"/>
  <c r="G45"/>
  <c r="H45" s="1"/>
  <c r="G44"/>
  <c r="H44" s="1"/>
  <c r="G43"/>
  <c r="H43" s="1"/>
  <c r="G42"/>
  <c r="H42" s="1"/>
  <c r="G41"/>
  <c r="H41" s="1"/>
  <c r="G40"/>
  <c r="H40" s="1"/>
  <c r="G39"/>
  <c r="H39" s="1"/>
  <c r="G38"/>
  <c r="H38" s="1"/>
  <c r="G37"/>
  <c r="H37" s="1"/>
  <c r="G36"/>
  <c r="H36" s="1"/>
  <c r="G35"/>
  <c r="H35" s="1"/>
  <c r="G34"/>
  <c r="H34" s="1"/>
  <c r="G33"/>
  <c r="H33" s="1"/>
  <c r="G32"/>
  <c r="H32" s="1"/>
  <c r="G31"/>
  <c r="H31" s="1"/>
  <c r="G30"/>
  <c r="H30" s="1"/>
  <c r="G29"/>
  <c r="H29" s="1"/>
  <c r="G28"/>
  <c r="H28" s="1"/>
  <c r="G27"/>
  <c r="H27" s="1"/>
  <c r="G26"/>
  <c r="H26" s="1"/>
  <c r="G25"/>
  <c r="H25" s="1"/>
  <c r="G24"/>
  <c r="H24" s="1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G8"/>
  <c r="H8" s="1"/>
  <c r="G7"/>
  <c r="H7" s="1"/>
  <c r="G6"/>
  <c r="H6" s="1"/>
  <c r="G5"/>
  <c r="H5" s="1"/>
  <c r="G4"/>
  <c r="H4" s="1"/>
  <c r="G307" i="2"/>
  <c r="F307"/>
  <c r="F306"/>
  <c r="G306" s="1"/>
  <c r="G305"/>
  <c r="F305"/>
  <c r="F304"/>
  <c r="G304" s="1"/>
  <c r="G303"/>
  <c r="F303"/>
  <c r="F302"/>
  <c r="G302" s="1"/>
  <c r="G301"/>
  <c r="F301"/>
  <c r="F300"/>
  <c r="G300" s="1"/>
  <c r="G299"/>
  <c r="F299"/>
  <c r="F298"/>
  <c r="G298" s="1"/>
  <c r="G297"/>
  <c r="F297"/>
  <c r="F296"/>
  <c r="G296" s="1"/>
  <c r="G295"/>
  <c r="F295"/>
  <c r="F294"/>
  <c r="G294" s="1"/>
  <c r="G293"/>
  <c r="F293"/>
  <c r="F292"/>
  <c r="G292" s="1"/>
  <c r="G291"/>
  <c r="F291"/>
  <c r="F290"/>
  <c r="G290" s="1"/>
  <c r="G289"/>
  <c r="F289"/>
  <c r="F288"/>
  <c r="G288" s="1"/>
  <c r="G287"/>
  <c r="F287"/>
  <c r="F286"/>
  <c r="G286" s="1"/>
  <c r="G285"/>
  <c r="F285"/>
  <c r="F284"/>
  <c r="G284" s="1"/>
  <c r="G283"/>
  <c r="F283"/>
  <c r="F282"/>
  <c r="G282" s="1"/>
  <c r="G281"/>
  <c r="F281"/>
  <c r="F280"/>
  <c r="G280" s="1"/>
  <c r="G279"/>
  <c r="F279"/>
  <c r="F278"/>
  <c r="G278" s="1"/>
  <c r="G277"/>
  <c r="F277"/>
  <c r="F276"/>
  <c r="G276" s="1"/>
  <c r="G275"/>
  <c r="F275"/>
  <c r="F274"/>
  <c r="G274" s="1"/>
  <c r="G273"/>
  <c r="F273"/>
  <c r="F272"/>
  <c r="G272" s="1"/>
  <c r="G271"/>
  <c r="F271"/>
  <c r="F270"/>
  <c r="G270" s="1"/>
  <c r="G269"/>
  <c r="F269"/>
  <c r="F268"/>
  <c r="G268" s="1"/>
  <c r="G267"/>
  <c r="F267"/>
  <c r="F266"/>
  <c r="G266" s="1"/>
  <c r="G265"/>
  <c r="F265"/>
  <c r="F264"/>
  <c r="G264" s="1"/>
  <c r="G263"/>
  <c r="F263"/>
  <c r="F262"/>
  <c r="G262" s="1"/>
  <c r="G261"/>
  <c r="F261"/>
  <c r="F260"/>
  <c r="G260" s="1"/>
  <c r="G259"/>
  <c r="F259"/>
  <c r="F258"/>
  <c r="G258" s="1"/>
  <c r="G257"/>
  <c r="F257"/>
  <c r="F256"/>
  <c r="G256" s="1"/>
  <c r="G255"/>
  <c r="F255"/>
  <c r="F254"/>
  <c r="G254" s="1"/>
  <c r="G253"/>
  <c r="F253"/>
  <c r="F252"/>
  <c r="G252" s="1"/>
  <c r="G251"/>
  <c r="F251"/>
  <c r="F250"/>
  <c r="G250" s="1"/>
  <c r="G249"/>
  <c r="F249"/>
  <c r="F248"/>
  <c r="G248" s="1"/>
  <c r="G247"/>
  <c r="F247"/>
  <c r="F246"/>
  <c r="G246" s="1"/>
  <c r="G245"/>
  <c r="F245"/>
  <c r="F244"/>
  <c r="G244" s="1"/>
  <c r="G243"/>
  <c r="F243"/>
  <c r="F242"/>
  <c r="G242" s="1"/>
  <c r="G241"/>
  <c r="F241"/>
  <c r="F240"/>
  <c r="G240" s="1"/>
  <c r="G239"/>
  <c r="F239"/>
  <c r="F238"/>
  <c r="G238" s="1"/>
  <c r="G237"/>
  <c r="F237"/>
  <c r="F236"/>
  <c r="G236" s="1"/>
  <c r="G235"/>
  <c r="F235"/>
  <c r="F234"/>
  <c r="G234" s="1"/>
  <c r="G233"/>
  <c r="F233"/>
  <c r="F232"/>
  <c r="G232" s="1"/>
  <c r="G231"/>
  <c r="F231"/>
  <c r="F230"/>
  <c r="G230" s="1"/>
  <c r="G229"/>
  <c r="F229"/>
  <c r="F228"/>
  <c r="G228" s="1"/>
  <c r="G227"/>
  <c r="F227"/>
  <c r="F226"/>
  <c r="G226" s="1"/>
  <c r="G225"/>
  <c r="F225"/>
  <c r="F224"/>
  <c r="G224" s="1"/>
  <c r="G223"/>
  <c r="F223"/>
  <c r="F222"/>
  <c r="G222" s="1"/>
  <c r="G221"/>
  <c r="F221"/>
  <c r="F220"/>
  <c r="G220" s="1"/>
  <c r="G219"/>
  <c r="F219"/>
  <c r="F218"/>
  <c r="G218" s="1"/>
  <c r="G217"/>
  <c r="F217"/>
  <c r="F216"/>
  <c r="G216" s="1"/>
  <c r="G215"/>
  <c r="F215"/>
  <c r="F214"/>
  <c r="G214" s="1"/>
  <c r="G213"/>
  <c r="F213"/>
  <c r="F212"/>
  <c r="G212" s="1"/>
  <c r="G211"/>
  <c r="F211"/>
  <c r="F210"/>
  <c r="G210" s="1"/>
  <c r="G209"/>
  <c r="F209"/>
  <c r="F208"/>
  <c r="G208" s="1"/>
  <c r="G207"/>
  <c r="F207"/>
  <c r="F206"/>
  <c r="G206" s="1"/>
  <c r="G205"/>
  <c r="F205"/>
  <c r="F204"/>
  <c r="G204" s="1"/>
  <c r="G203"/>
  <c r="F203"/>
  <c r="F202"/>
  <c r="G202" s="1"/>
  <c r="G201"/>
  <c r="F201"/>
  <c r="F200"/>
  <c r="G200" s="1"/>
  <c r="G199"/>
  <c r="F199"/>
  <c r="F198"/>
  <c r="G198" s="1"/>
  <c r="G197"/>
  <c r="F197"/>
  <c r="F196"/>
  <c r="G196" s="1"/>
  <c r="G195"/>
  <c r="F195"/>
  <c r="F194"/>
  <c r="G194" s="1"/>
  <c r="G193"/>
  <c r="F193"/>
  <c r="F192"/>
  <c r="G192" s="1"/>
  <c r="G191"/>
  <c r="F191"/>
  <c r="F190"/>
  <c r="G190" s="1"/>
  <c r="G189"/>
  <c r="F189"/>
  <c r="F188"/>
  <c r="G188" s="1"/>
  <c r="G187"/>
  <c r="F187"/>
  <c r="F186"/>
  <c r="G186" s="1"/>
  <c r="G185"/>
  <c r="F185"/>
  <c r="F184"/>
  <c r="G184" s="1"/>
  <c r="G183"/>
  <c r="F183"/>
  <c r="F182"/>
  <c r="G182" s="1"/>
  <c r="G181"/>
  <c r="F181"/>
  <c r="F180"/>
  <c r="G180" s="1"/>
  <c r="G179"/>
  <c r="F179"/>
  <c r="F178"/>
  <c r="G178" s="1"/>
  <c r="G177"/>
  <c r="F177"/>
  <c r="F176"/>
  <c r="G176" s="1"/>
  <c r="G175"/>
  <c r="F175"/>
  <c r="F174"/>
  <c r="G174" s="1"/>
  <c r="G173"/>
  <c r="F173"/>
  <c r="F172"/>
  <c r="G172" s="1"/>
  <c r="G171"/>
  <c r="F171"/>
  <c r="F170"/>
  <c r="G170" s="1"/>
  <c r="G169"/>
  <c r="F169"/>
  <c r="F168"/>
  <c r="G168" s="1"/>
  <c r="G167"/>
  <c r="F167"/>
  <c r="F166"/>
  <c r="G166" s="1"/>
  <c r="G165"/>
  <c r="F165"/>
  <c r="F164"/>
  <c r="G164" s="1"/>
  <c r="G163"/>
  <c r="F163"/>
  <c r="F162"/>
  <c r="G162" s="1"/>
  <c r="G161"/>
  <c r="F161"/>
  <c r="F160"/>
  <c r="G160" s="1"/>
  <c r="G159"/>
  <c r="F159"/>
  <c r="F158"/>
  <c r="G158" s="1"/>
  <c r="G157"/>
  <c r="F157"/>
  <c r="F156"/>
  <c r="G156" s="1"/>
  <c r="G155"/>
  <c r="F155"/>
  <c r="F154"/>
  <c r="G154" s="1"/>
  <c r="G153"/>
  <c r="F153"/>
  <c r="F152"/>
  <c r="G152" s="1"/>
  <c r="G151"/>
  <c r="F151"/>
  <c r="F150"/>
  <c r="G150" s="1"/>
  <c r="G149"/>
  <c r="F149"/>
  <c r="F148"/>
  <c r="G148" s="1"/>
  <c r="G147"/>
  <c r="F147"/>
  <c r="F146"/>
  <c r="G146" s="1"/>
  <c r="G145"/>
  <c r="F145"/>
  <c r="F144"/>
  <c r="G144" s="1"/>
  <c r="G143"/>
  <c r="F143"/>
  <c r="F142"/>
  <c r="G142" s="1"/>
  <c r="G141"/>
  <c r="F141"/>
  <c r="F140"/>
  <c r="G140" s="1"/>
  <c r="G139"/>
  <c r="F139"/>
  <c r="F138"/>
  <c r="G138" s="1"/>
  <c r="G137"/>
  <c r="F137"/>
  <c r="F136"/>
  <c r="G136" s="1"/>
  <c r="G135"/>
  <c r="F135"/>
  <c r="F134"/>
  <c r="G134" s="1"/>
  <c r="G133"/>
  <c r="F133"/>
  <c r="F132"/>
  <c r="G132" s="1"/>
  <c r="G131"/>
  <c r="F131"/>
  <c r="F130"/>
  <c r="G130" s="1"/>
  <c r="G129"/>
  <c r="F129"/>
  <c r="F128"/>
  <c r="G128" s="1"/>
  <c r="G127"/>
  <c r="F127"/>
  <c r="F126"/>
  <c r="G126" s="1"/>
  <c r="G125"/>
  <c r="F125"/>
  <c r="F124"/>
  <c r="G124" s="1"/>
  <c r="G123"/>
  <c r="F123"/>
  <c r="F122"/>
  <c r="G122" s="1"/>
  <c r="G121"/>
  <c r="F121"/>
  <c r="F120"/>
  <c r="G120" s="1"/>
  <c r="G119"/>
  <c r="F119"/>
  <c r="F118"/>
  <c r="G118" s="1"/>
  <c r="G117"/>
  <c r="F117"/>
  <c r="F116"/>
  <c r="G116" s="1"/>
  <c r="G115"/>
  <c r="F115"/>
  <c r="F114"/>
  <c r="G114" s="1"/>
  <c r="G113"/>
  <c r="F113"/>
  <c r="F112"/>
  <c r="G112" s="1"/>
  <c r="G111"/>
  <c r="F111"/>
  <c r="F110"/>
  <c r="G110" s="1"/>
  <c r="G109"/>
  <c r="F109"/>
  <c r="F108"/>
  <c r="G108" s="1"/>
  <c r="G107"/>
  <c r="F107"/>
  <c r="F106"/>
  <c r="G106" s="1"/>
  <c r="G105"/>
  <c r="F105"/>
  <c r="F104"/>
  <c r="G104" s="1"/>
  <c r="G103"/>
  <c r="F103"/>
  <c r="F102"/>
  <c r="G102" s="1"/>
  <c r="G101"/>
  <c r="F101"/>
  <c r="F100"/>
  <c r="G100" s="1"/>
  <c r="G99"/>
  <c r="F99"/>
  <c r="F98"/>
  <c r="G98" s="1"/>
  <c r="G97"/>
  <c r="F97"/>
  <c r="F96"/>
  <c r="G96" s="1"/>
  <c r="G95"/>
  <c r="F95"/>
  <c r="F94"/>
  <c r="G94" s="1"/>
  <c r="G93"/>
  <c r="F93"/>
  <c r="F92"/>
  <c r="G92" s="1"/>
  <c r="G91"/>
  <c r="F91"/>
  <c r="F90"/>
  <c r="G90" s="1"/>
  <c r="G89"/>
  <c r="F89"/>
  <c r="F88"/>
  <c r="G88" s="1"/>
  <c r="G87"/>
  <c r="F87"/>
  <c r="F86"/>
  <c r="G86" s="1"/>
  <c r="G85"/>
  <c r="F85"/>
  <c r="F84"/>
  <c r="G84" s="1"/>
  <c r="G83"/>
  <c r="F83"/>
  <c r="F82"/>
  <c r="G82" s="1"/>
  <c r="G81"/>
  <c r="F81"/>
  <c r="F80"/>
  <c r="G80" s="1"/>
  <c r="G79"/>
  <c r="F79"/>
  <c r="F78"/>
  <c r="G78" s="1"/>
  <c r="G77"/>
  <c r="F77"/>
  <c r="F76"/>
  <c r="G76" s="1"/>
  <c r="G75"/>
  <c r="F75"/>
  <c r="F74"/>
  <c r="G74" s="1"/>
  <c r="G73"/>
  <c r="F73"/>
  <c r="F72"/>
  <c r="G72" s="1"/>
  <c r="G71"/>
  <c r="F71"/>
  <c r="F70"/>
  <c r="G70" s="1"/>
  <c r="G69"/>
  <c r="F69"/>
  <c r="F68"/>
  <c r="G68" s="1"/>
  <c r="G67"/>
  <c r="F67"/>
  <c r="F66"/>
  <c r="G66" s="1"/>
  <c r="G65"/>
  <c r="F65"/>
  <c r="F64"/>
  <c r="G64" s="1"/>
  <c r="G63"/>
  <c r="F63"/>
  <c r="F62"/>
  <c r="G62" s="1"/>
  <c r="G61"/>
  <c r="F61"/>
  <c r="F60"/>
  <c r="G60" s="1"/>
  <c r="G59"/>
  <c r="F59"/>
  <c r="F58"/>
  <c r="G58" s="1"/>
  <c r="G57"/>
  <c r="F57"/>
  <c r="F56"/>
  <c r="G56" s="1"/>
  <c r="G55"/>
  <c r="F55"/>
  <c r="F54"/>
  <c r="G54" s="1"/>
  <c r="G53"/>
  <c r="F53"/>
  <c r="F52"/>
  <c r="G52" s="1"/>
  <c r="G51"/>
  <c r="F51"/>
  <c r="F50"/>
  <c r="G50" s="1"/>
  <c r="G49"/>
  <c r="F49"/>
  <c r="F48"/>
  <c r="G48" s="1"/>
  <c r="G47"/>
  <c r="F47"/>
  <c r="F46"/>
  <c r="G46" s="1"/>
  <c r="G45"/>
  <c r="F45"/>
  <c r="F44"/>
  <c r="G44" s="1"/>
  <c r="G43"/>
  <c r="F43"/>
  <c r="F42"/>
  <c r="G42" s="1"/>
  <c r="G41"/>
  <c r="F41"/>
  <c r="F40"/>
  <c r="G40" s="1"/>
  <c r="G39"/>
  <c r="F39"/>
  <c r="F38"/>
  <c r="G38" s="1"/>
  <c r="G37"/>
  <c r="F37"/>
  <c r="F36"/>
  <c r="G36" s="1"/>
  <c r="G35"/>
  <c r="F35"/>
  <c r="F34"/>
  <c r="G34" s="1"/>
  <c r="G33"/>
  <c r="F33"/>
  <c r="F32"/>
  <c r="G32" s="1"/>
  <c r="G31"/>
  <c r="F31"/>
  <c r="F30"/>
  <c r="G30" s="1"/>
  <c r="G29"/>
  <c r="F29"/>
  <c r="F28"/>
  <c r="G28" s="1"/>
  <c r="G27"/>
  <c r="F27"/>
  <c r="F26"/>
  <c r="G26" s="1"/>
  <c r="G25"/>
  <c r="F25"/>
  <c r="F24"/>
  <c r="G24" s="1"/>
  <c r="G23"/>
  <c r="F23"/>
  <c r="F22"/>
  <c r="G22" s="1"/>
  <c r="G21"/>
  <c r="F21"/>
  <c r="F20"/>
  <c r="G20" s="1"/>
  <c r="G19"/>
  <c r="F19"/>
  <c r="F18"/>
  <c r="G18" s="1"/>
  <c r="G17"/>
  <c r="F17"/>
  <c r="F16"/>
  <c r="G16" s="1"/>
  <c r="G15"/>
  <c r="F15"/>
  <c r="F14"/>
  <c r="G14" s="1"/>
  <c r="G13"/>
  <c r="F13"/>
  <c r="F12"/>
  <c r="G12" s="1"/>
  <c r="G11"/>
  <c r="F11"/>
  <c r="F10"/>
  <c r="G10" s="1"/>
  <c r="G9"/>
  <c r="F9"/>
  <c r="F8"/>
  <c r="G8" s="1"/>
  <c r="G7"/>
  <c r="F7"/>
  <c r="F6"/>
  <c r="G6" s="1"/>
  <c r="G5"/>
  <c r="F5"/>
  <c r="F4"/>
  <c r="C8" i="8" l="1"/>
  <c r="D8" s="1"/>
  <c r="B14"/>
  <c r="B15"/>
  <c r="B16"/>
  <c r="B12"/>
  <c r="B17"/>
  <c r="B13"/>
  <c r="G4" i="2"/>
  <c r="C5" i="8" s="1"/>
  <c r="D5" s="1"/>
  <c r="C6"/>
  <c r="E6" s="1"/>
  <c r="C7"/>
  <c r="D7" s="1"/>
  <c r="E8" l="1"/>
  <c r="E5"/>
  <c r="D6"/>
  <c r="E7"/>
</calcChain>
</file>

<file path=xl/sharedStrings.xml><?xml version="1.0" encoding="utf-8"?>
<sst xmlns="http://schemas.openxmlformats.org/spreadsheetml/2006/main" count="7149" uniqueCount="1428">
  <si>
    <t>Training Desk Dashboard</t>
  </si>
  <si>
    <t>Refresher Training</t>
  </si>
  <si>
    <t>First Aid Training</t>
  </si>
  <si>
    <t>Fire Fighting</t>
  </si>
  <si>
    <t>Supervisor Training</t>
  </si>
  <si>
    <t>OEM Training</t>
  </si>
  <si>
    <t>Service Training</t>
  </si>
  <si>
    <t>Compliance Dashboard</t>
  </si>
  <si>
    <t>&lt;&lt; Back to Dashboard</t>
  </si>
  <si>
    <t>Pers No</t>
  </si>
  <si>
    <t>Name</t>
  </si>
  <si>
    <t>Designation</t>
  </si>
  <si>
    <t>Department</t>
  </si>
  <si>
    <t>Refresher Last Date</t>
  </si>
  <si>
    <t>Refresher Expiry Date</t>
  </si>
  <si>
    <t>Due Alert</t>
  </si>
  <si>
    <t>10395</t>
  </si>
  <si>
    <t>Danguru Saunta</t>
  </si>
  <si>
    <t>Semiskilled Worker Gr.II</t>
  </si>
  <si>
    <t>ADMINISTRATION</t>
  </si>
  <si>
    <t>9311</t>
  </si>
  <si>
    <t>Satyaban Nayak@Mali</t>
  </si>
  <si>
    <t>Sr.Semiskilled Worker Gr.II</t>
  </si>
  <si>
    <t>9504</t>
  </si>
  <si>
    <t>Mohan Khora</t>
  </si>
  <si>
    <t>9310</t>
  </si>
  <si>
    <t>Chandra Sekhar Lamta</t>
  </si>
  <si>
    <t>Sr.Semisilled Worker Gr.I</t>
  </si>
  <si>
    <t>9899</t>
  </si>
  <si>
    <t>Kamulu Gouda</t>
  </si>
  <si>
    <t>Technician(Civil) Gr.I</t>
  </si>
  <si>
    <t>CIVIL</t>
  </si>
  <si>
    <t>8137</t>
  </si>
  <si>
    <t>Gora Dami</t>
  </si>
  <si>
    <t>Technician(Electrical) Gr.I</t>
  </si>
  <si>
    <t>ELECTRICAL</t>
  </si>
  <si>
    <t>9905</t>
  </si>
  <si>
    <t>Shrabana Kumar Mohanta</t>
  </si>
  <si>
    <t>9906</t>
  </si>
  <si>
    <t>Laxman Chakie</t>
  </si>
  <si>
    <t>7242</t>
  </si>
  <si>
    <t>Bhima Mali</t>
  </si>
  <si>
    <t>Sr.Technician(Instrument) Gr.II</t>
  </si>
  <si>
    <t>E&amp;I</t>
  </si>
  <si>
    <t>9268</t>
  </si>
  <si>
    <t>Rasananda Soy</t>
  </si>
  <si>
    <t>Chargeman Gr.III</t>
  </si>
  <si>
    <t>9269</t>
  </si>
  <si>
    <t>Rajendra Kumar Maharana</t>
  </si>
  <si>
    <t>9271</t>
  </si>
  <si>
    <t>Kshirasindhu Sahu</t>
  </si>
  <si>
    <t>9274</t>
  </si>
  <si>
    <t>Sk Saukat Alli</t>
  </si>
  <si>
    <t>9275</t>
  </si>
  <si>
    <t>Prakash Kujur</t>
  </si>
  <si>
    <t>9276</t>
  </si>
  <si>
    <t>Rajkumar Jodhar</t>
  </si>
  <si>
    <t>9278</t>
  </si>
  <si>
    <t>Narendra Kumar Disari</t>
  </si>
  <si>
    <t>9279</t>
  </si>
  <si>
    <t>Bijay Kumar Sahoo</t>
  </si>
  <si>
    <t>9282</t>
  </si>
  <si>
    <t>Harichand Ray</t>
  </si>
  <si>
    <t>9290</t>
  </si>
  <si>
    <t>Dayanidhi Murmu</t>
  </si>
  <si>
    <t>9373</t>
  </si>
  <si>
    <t>Sadananda Das</t>
  </si>
  <si>
    <t>9374</t>
  </si>
  <si>
    <t>Anil Kumar Panda</t>
  </si>
  <si>
    <t>7248</t>
  </si>
  <si>
    <t>Sanjaya Kumar Sahu</t>
  </si>
  <si>
    <t>Chargeman Gr.I</t>
  </si>
  <si>
    <t>11047</t>
  </si>
  <si>
    <t>Muna Kandhapan</t>
  </si>
  <si>
    <t>SUPT/SOT</t>
  </si>
  <si>
    <t>11337</t>
  </si>
  <si>
    <t>Satya Narayan Sahu</t>
  </si>
  <si>
    <t>SUPT (JOT)-Electrical</t>
  </si>
  <si>
    <t>11338</t>
  </si>
  <si>
    <t>Anuj Kumar</t>
  </si>
  <si>
    <t>11342</t>
  </si>
  <si>
    <t>Kishor Chandra Pradhan</t>
  </si>
  <si>
    <t>11344</t>
  </si>
  <si>
    <t>Sibaprasad Santra</t>
  </si>
  <si>
    <t>11264</t>
  </si>
  <si>
    <t>Chitru Kadia</t>
  </si>
  <si>
    <t>SUPT(OPTADEF)</t>
  </si>
  <si>
    <t>10132</t>
  </si>
  <si>
    <t>Naresh Kumar Bagh</t>
  </si>
  <si>
    <t>Semiskilled Worker Gr.I</t>
  </si>
  <si>
    <t>FINANCE &amp; ACCOUNTS</t>
  </si>
  <si>
    <t>10584</t>
  </si>
  <si>
    <t>Madhab Nayak</t>
  </si>
  <si>
    <t>Technician (Mechanical) Gr. III</t>
  </si>
  <si>
    <t>GEOLOGY</t>
  </si>
  <si>
    <t>9910</t>
  </si>
  <si>
    <t>Swagatika Behera</t>
  </si>
  <si>
    <t>Geological Assistant Gr.II</t>
  </si>
  <si>
    <t>10027</t>
  </si>
  <si>
    <t>Gagan Chhati</t>
  </si>
  <si>
    <t>Operator(HEMM) Gr.II</t>
  </si>
  <si>
    <t>8874</t>
  </si>
  <si>
    <t>Mohan Muduli</t>
  </si>
  <si>
    <t>Operator (HEMM) Gr.I</t>
  </si>
  <si>
    <t>9909</t>
  </si>
  <si>
    <t>Arijit Bera</t>
  </si>
  <si>
    <t>Geological Assistant Gr.I</t>
  </si>
  <si>
    <t>8728</t>
  </si>
  <si>
    <t>Girija Prasad Parida</t>
  </si>
  <si>
    <t>Asst.Geologist</t>
  </si>
  <si>
    <t>8542</t>
  </si>
  <si>
    <t>Asiskumar Patnaik</t>
  </si>
  <si>
    <t>Geologist</t>
  </si>
  <si>
    <t>10119</t>
  </si>
  <si>
    <t>Rabi Mania</t>
  </si>
  <si>
    <t>11335</t>
  </si>
  <si>
    <t>Sunny Abhishek Tigga</t>
  </si>
  <si>
    <t>SUPT(JOT)-Geologist</t>
  </si>
  <si>
    <t>11343</t>
  </si>
  <si>
    <t>Ashish Kumar Sethy</t>
  </si>
  <si>
    <t>11481</t>
  </si>
  <si>
    <t>Jajnadatta Pradhan</t>
  </si>
  <si>
    <t>11525</t>
  </si>
  <si>
    <t>Shivangee Singha</t>
  </si>
  <si>
    <t>7612</t>
  </si>
  <si>
    <t>Somanath Acharya</t>
  </si>
  <si>
    <t>7133</t>
  </si>
  <si>
    <t>Rabindranath Tirkey</t>
  </si>
  <si>
    <t>10129</t>
  </si>
  <si>
    <t>Bhagirathi Pattnaik</t>
  </si>
  <si>
    <t>Technician(Mechanical) Gr.II</t>
  </si>
  <si>
    <t>9988</t>
  </si>
  <si>
    <t>Debashis Behera</t>
  </si>
  <si>
    <t>HR</t>
  </si>
  <si>
    <t>10117</t>
  </si>
  <si>
    <t>Deepak Kumar Mohanta</t>
  </si>
  <si>
    <t>9714</t>
  </si>
  <si>
    <t>Rajani Kanta Mali</t>
  </si>
  <si>
    <t>MATERIALS</t>
  </si>
  <si>
    <t>10387</t>
  </si>
  <si>
    <t>Sushanta Kumar Raju</t>
  </si>
  <si>
    <t>8543</t>
  </si>
  <si>
    <t>Santosh Kumar Senapati</t>
  </si>
  <si>
    <t>Technician(Store Keeper) Gr.I</t>
  </si>
  <si>
    <t>8214</t>
  </si>
  <si>
    <t>Chandrakanta Kar</t>
  </si>
  <si>
    <t>Chargeman Gr.II</t>
  </si>
  <si>
    <t>10188</t>
  </si>
  <si>
    <t>Mani Gauda</t>
  </si>
  <si>
    <t>11040</t>
  </si>
  <si>
    <t>Dhanurjay Dishari</t>
  </si>
  <si>
    <t>SUPT/TOT</t>
  </si>
  <si>
    <t>11045</t>
  </si>
  <si>
    <t>Trinath Choudhury</t>
  </si>
  <si>
    <t>11059</t>
  </si>
  <si>
    <t>Dilip Gouda</t>
  </si>
  <si>
    <t>9907</t>
  </si>
  <si>
    <t>Umer Saha</t>
  </si>
  <si>
    <t>Technician(Electronics) Gr.I</t>
  </si>
  <si>
    <t>MECHANICAL</t>
  </si>
  <si>
    <t>6629</t>
  </si>
  <si>
    <t>Gubi Santa</t>
  </si>
  <si>
    <t>Sr.Technician(Auto Elect) Gr.II</t>
  </si>
  <si>
    <t>6633</t>
  </si>
  <si>
    <t>Basu Dami</t>
  </si>
  <si>
    <t>9370</t>
  </si>
  <si>
    <t>Syamo Sundar Khora</t>
  </si>
  <si>
    <t>9372</t>
  </si>
  <si>
    <t>Abinas Das</t>
  </si>
  <si>
    <t>8741</t>
  </si>
  <si>
    <t>Suresh Kumar Sahu</t>
  </si>
  <si>
    <t>8742</t>
  </si>
  <si>
    <t>Sanjaya Pradhan</t>
  </si>
  <si>
    <t>6521</t>
  </si>
  <si>
    <t>K Prasad Patro</t>
  </si>
  <si>
    <t>Superintendent(HEMM) Gr.II</t>
  </si>
  <si>
    <t>6345</t>
  </si>
  <si>
    <t>Rama Muduli</t>
  </si>
  <si>
    <t>Support Staff(O&amp;M)</t>
  </si>
  <si>
    <t>11218</t>
  </si>
  <si>
    <t>Muralidhar Chhati</t>
  </si>
  <si>
    <t>SUPT (JOT)-Motor Mechanic</t>
  </si>
  <si>
    <t>9202</t>
  </si>
  <si>
    <t>Amit Kumar Nag</t>
  </si>
  <si>
    <t>Sr.Technician(Mechanical) Gr.I</t>
  </si>
  <si>
    <t>9345</t>
  </si>
  <si>
    <t>Laxman Jani</t>
  </si>
  <si>
    <t>9209</t>
  </si>
  <si>
    <t>Manasranjan Tudu</t>
  </si>
  <si>
    <t>9215</t>
  </si>
  <si>
    <t>Trilochan Behera</t>
  </si>
  <si>
    <t>9223</t>
  </si>
  <si>
    <t>Rabinarayan Halba</t>
  </si>
  <si>
    <t>9226</t>
  </si>
  <si>
    <t>Mohan Kantabali</t>
  </si>
  <si>
    <t>9227</t>
  </si>
  <si>
    <t>Dasha Hembram</t>
  </si>
  <si>
    <t>9228</t>
  </si>
  <si>
    <t>Chaitanya Gouda</t>
  </si>
  <si>
    <t>9229</t>
  </si>
  <si>
    <t>Sunil Kumar Panda</t>
  </si>
  <si>
    <t>9231</t>
  </si>
  <si>
    <t>Laxman Deulapadia</t>
  </si>
  <si>
    <t>9234</t>
  </si>
  <si>
    <t>Jugendra Majhi</t>
  </si>
  <si>
    <t>9238</t>
  </si>
  <si>
    <t>Prasant Kumar Patra</t>
  </si>
  <si>
    <t>9242</t>
  </si>
  <si>
    <t>Rajib Kumar Jerai</t>
  </si>
  <si>
    <t>9180</t>
  </si>
  <si>
    <t>Subodh Xalxo</t>
  </si>
  <si>
    <t>9185</t>
  </si>
  <si>
    <t>Somanath Rana</t>
  </si>
  <si>
    <t>9187</t>
  </si>
  <si>
    <t>Ambika Prasada Shasani</t>
  </si>
  <si>
    <t>9193</t>
  </si>
  <si>
    <t>Subha Ranjan Patra</t>
  </si>
  <si>
    <t>9199</t>
  </si>
  <si>
    <t>Amar Das</t>
  </si>
  <si>
    <t>9254</t>
  </si>
  <si>
    <t>Ajaya Kumar Sahu</t>
  </si>
  <si>
    <t>9257</t>
  </si>
  <si>
    <t>Jagadish Chandra Jani</t>
  </si>
  <si>
    <t>9352</t>
  </si>
  <si>
    <t>Vinay Prakash Tirkey</t>
  </si>
  <si>
    <t>9359</t>
  </si>
  <si>
    <t>A Santosh Kumar Patra</t>
  </si>
  <si>
    <t>9364</t>
  </si>
  <si>
    <t>Harekrishna Ekudu</t>
  </si>
  <si>
    <t>9367</t>
  </si>
  <si>
    <t>Sudhansu Moharana</t>
  </si>
  <si>
    <t>9341</t>
  </si>
  <si>
    <t>Krushna Nag</t>
  </si>
  <si>
    <t>7990</t>
  </si>
  <si>
    <t>Ghanashyam Kisan</t>
  </si>
  <si>
    <t>7991</t>
  </si>
  <si>
    <t>Chirla Lakra</t>
  </si>
  <si>
    <t>8211</t>
  </si>
  <si>
    <t>Antaryami Behera</t>
  </si>
  <si>
    <t>8875</t>
  </si>
  <si>
    <t>Niranjan Patra</t>
  </si>
  <si>
    <t>891</t>
  </si>
  <si>
    <t>Nanda Khillo</t>
  </si>
  <si>
    <t>7279</t>
  </si>
  <si>
    <t>Dasarathi Sahoo</t>
  </si>
  <si>
    <t>6866</t>
  </si>
  <si>
    <t>Laxmi Dhar Singh</t>
  </si>
  <si>
    <t>Superintendent (Mechanical) Gr.II</t>
  </si>
  <si>
    <t>10182</t>
  </si>
  <si>
    <t>Baraj Bhoi</t>
  </si>
  <si>
    <t>10199</t>
  </si>
  <si>
    <t>Bichitra Bhoi</t>
  </si>
  <si>
    <t>10216</t>
  </si>
  <si>
    <t>Monoranjan Sahoo</t>
  </si>
  <si>
    <t>10236</t>
  </si>
  <si>
    <t>Sunil Sungadi</t>
  </si>
  <si>
    <t>10239</t>
  </si>
  <si>
    <t>Kumana Pujari</t>
  </si>
  <si>
    <t>10343</t>
  </si>
  <si>
    <t>Jadav Gouda</t>
  </si>
  <si>
    <t>10131</t>
  </si>
  <si>
    <t>Pitambar Hantal</t>
  </si>
  <si>
    <t>10197</t>
  </si>
  <si>
    <t>Jagatram Bhoi</t>
  </si>
  <si>
    <t>5319</t>
  </si>
  <si>
    <t>Kamulu Gadaba</t>
  </si>
  <si>
    <t>10955</t>
  </si>
  <si>
    <t>Haribandhu Gauda</t>
  </si>
  <si>
    <t>SUPT/JOT</t>
  </si>
  <si>
    <t>11043</t>
  </si>
  <si>
    <t>Rath Gouda</t>
  </si>
  <si>
    <t>11084</t>
  </si>
  <si>
    <t>Krushna Jani</t>
  </si>
  <si>
    <t>11331</t>
  </si>
  <si>
    <t>Sunil Kumar Pangi</t>
  </si>
  <si>
    <t>SUPT(JOT)-Fitter</t>
  </si>
  <si>
    <t>11340</t>
  </si>
  <si>
    <t>Rushikesh Gouda</t>
  </si>
  <si>
    <t>11341</t>
  </si>
  <si>
    <t>Bijaya Maharana</t>
  </si>
  <si>
    <t>11058</t>
  </si>
  <si>
    <t>Purna Bhoi</t>
  </si>
  <si>
    <t>11262</t>
  </si>
  <si>
    <t>Jaya Bhoi</t>
  </si>
  <si>
    <t>11263</t>
  </si>
  <si>
    <t>Madhu Gouda</t>
  </si>
  <si>
    <t>11267</t>
  </si>
  <si>
    <t>Debendra Dami</t>
  </si>
  <si>
    <t>10232</t>
  </si>
  <si>
    <t>Gouranga Charan Dora</t>
  </si>
  <si>
    <t>Technician (Mechanical) Gr.III</t>
  </si>
  <si>
    <t>9300</t>
  </si>
  <si>
    <t>Purna Chandra Gauda</t>
  </si>
  <si>
    <t>9301</t>
  </si>
  <si>
    <t>Ganesh Chandra Bag</t>
  </si>
  <si>
    <t>9304</t>
  </si>
  <si>
    <t>Laba Mali</t>
  </si>
  <si>
    <t>9371</t>
  </si>
  <si>
    <t>Durjan Gouda</t>
  </si>
  <si>
    <t>4935</t>
  </si>
  <si>
    <t>Dhanapati Mali</t>
  </si>
  <si>
    <t>8739</t>
  </si>
  <si>
    <t>Bayadhar Nahak</t>
  </si>
  <si>
    <t>7254</t>
  </si>
  <si>
    <t>Mrutyunjaya Dash</t>
  </si>
  <si>
    <t>6326</t>
  </si>
  <si>
    <t>Salupu Jani</t>
  </si>
  <si>
    <t>Support Staff (O&amp;M)</t>
  </si>
  <si>
    <t>11119</t>
  </si>
  <si>
    <t>Judhisti Gouda</t>
  </si>
  <si>
    <t>11237</t>
  </si>
  <si>
    <t>Abraham Takiri</t>
  </si>
  <si>
    <t>11326</t>
  </si>
  <si>
    <t>Rajen Murmu</t>
  </si>
  <si>
    <t>11329</t>
  </si>
  <si>
    <t>Dolagobinda Behera</t>
  </si>
  <si>
    <t>11265</t>
  </si>
  <si>
    <t>Balabhadra Gadaba</t>
  </si>
  <si>
    <t>10175</t>
  </si>
  <si>
    <t>Khiroj Kumar Bisoi</t>
  </si>
  <si>
    <t>9802</t>
  </si>
  <si>
    <t>Chudamani Choudhury</t>
  </si>
  <si>
    <t>Technician(Mechanical) Gr.I</t>
  </si>
  <si>
    <t>7955</t>
  </si>
  <si>
    <t>Partum Desharee</t>
  </si>
  <si>
    <t>8224</t>
  </si>
  <si>
    <t>Sampada Kumar Pati</t>
  </si>
  <si>
    <t>8222</t>
  </si>
  <si>
    <t>Tekchand Dewangan</t>
  </si>
  <si>
    <t>8868</t>
  </si>
  <si>
    <t>Prakash Bhoi</t>
  </si>
  <si>
    <t>7574</t>
  </si>
  <si>
    <t>Bhabani Prasad Mohanty</t>
  </si>
  <si>
    <t>11220</t>
  </si>
  <si>
    <t>Upendra Hansdah</t>
  </si>
  <si>
    <t>11260</t>
  </si>
  <si>
    <t>Bapina Dalei</t>
  </si>
  <si>
    <t>11031</t>
  </si>
  <si>
    <t>Tankadhar Gadaba</t>
  </si>
  <si>
    <t>10210</t>
  </si>
  <si>
    <t>Surendra Muduli</t>
  </si>
  <si>
    <t>Technician(Mechanical) Gr.III</t>
  </si>
  <si>
    <t>10213</t>
  </si>
  <si>
    <t>Sisir Budia</t>
  </si>
  <si>
    <t>Technician (Mechanical) Gr.II</t>
  </si>
  <si>
    <t>10219</t>
  </si>
  <si>
    <t>Dasarathi Jani</t>
  </si>
  <si>
    <t>9811</t>
  </si>
  <si>
    <t>Monoj Kumar Choudhury</t>
  </si>
  <si>
    <t>9898</t>
  </si>
  <si>
    <t>Kiran Chhati</t>
  </si>
  <si>
    <t>8873</t>
  </si>
  <si>
    <t>Purna Chandra Jani</t>
  </si>
  <si>
    <t>Sr.Technician(Mech) Gr.I</t>
  </si>
  <si>
    <t>5432</t>
  </si>
  <si>
    <t>Benu Kirsani</t>
  </si>
  <si>
    <t>6327</t>
  </si>
  <si>
    <t>Hari Dami</t>
  </si>
  <si>
    <t>9303</t>
  </si>
  <si>
    <t>Maheswar Sethi</t>
  </si>
  <si>
    <t>9305</t>
  </si>
  <si>
    <t>Biswanath Muduli</t>
  </si>
  <si>
    <t>9306</t>
  </si>
  <si>
    <t>Rajendra Jani</t>
  </si>
  <si>
    <t>9369</t>
  </si>
  <si>
    <t>Govinda Murmu</t>
  </si>
  <si>
    <t>7974</t>
  </si>
  <si>
    <t>Dhaneshwar Oram</t>
  </si>
  <si>
    <t>7976</t>
  </si>
  <si>
    <t>Chhatish Soren</t>
  </si>
  <si>
    <t>7977</t>
  </si>
  <si>
    <t>Mangal Charan Hansdah</t>
  </si>
  <si>
    <t>8740</t>
  </si>
  <si>
    <t>Dheerendra Kumar Pattanayak</t>
  </si>
  <si>
    <t>8736</t>
  </si>
  <si>
    <t>Rameswar Marandi</t>
  </si>
  <si>
    <t>8737</t>
  </si>
  <si>
    <t>Mangal Soren</t>
  </si>
  <si>
    <t>7446</t>
  </si>
  <si>
    <t>Ashwini Kumar Bhoi</t>
  </si>
  <si>
    <t>10215</t>
  </si>
  <si>
    <t>Sahadev Bhoi</t>
  </si>
  <si>
    <t>10037</t>
  </si>
  <si>
    <t>Jagabandhu Khara</t>
  </si>
  <si>
    <t>6616</t>
  </si>
  <si>
    <t>Dama Katkaria</t>
  </si>
  <si>
    <t>Sr. Semiskilled Worker Gr.I</t>
  </si>
  <si>
    <t>8717</t>
  </si>
  <si>
    <t>Gopabandhu Jani</t>
  </si>
  <si>
    <t>Sr.Semiskilled Worker Gr.I</t>
  </si>
  <si>
    <t>10130</t>
  </si>
  <si>
    <t>Sanjay Sriharia</t>
  </si>
  <si>
    <t>8538</t>
  </si>
  <si>
    <t>9908</t>
  </si>
  <si>
    <t>Lambodhar Barik</t>
  </si>
  <si>
    <t>Technician(Motor Mech) Gr.I</t>
  </si>
  <si>
    <t>9298</t>
  </si>
  <si>
    <t>Bijaya Kumar Behera</t>
  </si>
  <si>
    <t>10206</t>
  </si>
  <si>
    <t>Debendra Chetty</t>
  </si>
  <si>
    <t>10336</t>
  </si>
  <si>
    <t>Raghunath Gauda</t>
  </si>
  <si>
    <t>11087</t>
  </si>
  <si>
    <t>Mohammad Routray</t>
  </si>
  <si>
    <t>11083</t>
  </si>
  <si>
    <t>Hiralal Bagh</t>
  </si>
  <si>
    <t>10166</t>
  </si>
  <si>
    <t>Ranjit Jani</t>
  </si>
  <si>
    <t>Technician(Mechnanical) Gr.II</t>
  </si>
  <si>
    <t>8134</t>
  </si>
  <si>
    <t>Nila Pujari</t>
  </si>
  <si>
    <t>10009</t>
  </si>
  <si>
    <t>Hantal Upendra</t>
  </si>
  <si>
    <t>9302</t>
  </si>
  <si>
    <t>Surendra Kumar Mahato</t>
  </si>
  <si>
    <t>10187</t>
  </si>
  <si>
    <t>Siba Prasad Choudhury</t>
  </si>
  <si>
    <t>6627</t>
  </si>
  <si>
    <t>Sahadev Dami</t>
  </si>
  <si>
    <t>5433</t>
  </si>
  <si>
    <t>Nakul Pangi</t>
  </si>
  <si>
    <t>6865</t>
  </si>
  <si>
    <t>Ashutosh Kamila</t>
  </si>
  <si>
    <t>Superintendent (Mech) Gr.II</t>
  </si>
  <si>
    <t>6871</t>
  </si>
  <si>
    <t>Kaliprasanna Sahoo</t>
  </si>
  <si>
    <t>5781</t>
  </si>
  <si>
    <t>Chaitan Jani</t>
  </si>
  <si>
    <t>Sr. Support Staff (MRS)</t>
  </si>
  <si>
    <t>8848</t>
  </si>
  <si>
    <t>Pramoda Kumar Lenka</t>
  </si>
  <si>
    <t>Sr.Dresser Cum First Aider Gr.II</t>
  </si>
  <si>
    <t>MINING</t>
  </si>
  <si>
    <t>8846</t>
  </si>
  <si>
    <t>Amarendra Nayak</t>
  </si>
  <si>
    <t>Sr.Dresser Cum First Aider Gr.I</t>
  </si>
  <si>
    <t>8847</t>
  </si>
  <si>
    <t>Dharmananda Satapathy</t>
  </si>
  <si>
    <t>8142</t>
  </si>
  <si>
    <t>Chandra Sekhar Nayak</t>
  </si>
  <si>
    <t>8145</t>
  </si>
  <si>
    <t>Hari Khora</t>
  </si>
  <si>
    <t>7486</t>
  </si>
  <si>
    <t>4401</t>
  </si>
  <si>
    <t>Chittaranjan Dash</t>
  </si>
  <si>
    <t>Superintendent(Mining) Gr.II</t>
  </si>
  <si>
    <t>9957</t>
  </si>
  <si>
    <t>Ratikanta Ghadei</t>
  </si>
  <si>
    <t>Operator(HEMM) Gr.III</t>
  </si>
  <si>
    <t>10411</t>
  </si>
  <si>
    <t>Ramakrishna Nayak</t>
  </si>
  <si>
    <t>Operator (HEMM) Gr.III</t>
  </si>
  <si>
    <t>10412</t>
  </si>
  <si>
    <t>Jogendra Khara</t>
  </si>
  <si>
    <t>10413</t>
  </si>
  <si>
    <t>Tapan Kumar Gouda</t>
  </si>
  <si>
    <t>10414</t>
  </si>
  <si>
    <t>Sameer Kumar Bhuyan</t>
  </si>
  <si>
    <t>10415</t>
  </si>
  <si>
    <t>Rohit Lakra</t>
  </si>
  <si>
    <t>10029</t>
  </si>
  <si>
    <t>Jahid Anwar Khan</t>
  </si>
  <si>
    <t>10030</t>
  </si>
  <si>
    <t>Labina Jani</t>
  </si>
  <si>
    <t>10386</t>
  </si>
  <si>
    <t>Karnarathi Mali</t>
  </si>
  <si>
    <t>9720</t>
  </si>
  <si>
    <t>Manoj Kumar Jani</t>
  </si>
  <si>
    <t>Operator(HEMM) Gr.I</t>
  </si>
  <si>
    <t>9721</t>
  </si>
  <si>
    <t>Manoj Kumar Chetty</t>
  </si>
  <si>
    <t>9722</t>
  </si>
  <si>
    <t>Yudhistir Pangi</t>
  </si>
  <si>
    <t>9738</t>
  </si>
  <si>
    <t>Jogesh Choudhury</t>
  </si>
  <si>
    <t>9812</t>
  </si>
  <si>
    <t>Prasant Khora</t>
  </si>
  <si>
    <t>9814</t>
  </si>
  <si>
    <t>Abhiram Mali</t>
  </si>
  <si>
    <t>9815</t>
  </si>
  <si>
    <t>Nira Bhoi</t>
  </si>
  <si>
    <t>9816</t>
  </si>
  <si>
    <t>Ashok Kumar Nayak</t>
  </si>
  <si>
    <t>9817</t>
  </si>
  <si>
    <t>Jhuna Turuk</t>
  </si>
  <si>
    <t>9819</t>
  </si>
  <si>
    <t>Praful Khara</t>
  </si>
  <si>
    <t>9820</t>
  </si>
  <si>
    <t>Madhusudan Nag</t>
  </si>
  <si>
    <t>9822</t>
  </si>
  <si>
    <t>Shyam Sunder Pradhan</t>
  </si>
  <si>
    <t>9823</t>
  </si>
  <si>
    <t>Sameer Kumar Benya</t>
  </si>
  <si>
    <t>9825</t>
  </si>
  <si>
    <t>Sushanta Kumar Hikaka</t>
  </si>
  <si>
    <t>9829</t>
  </si>
  <si>
    <t>Smruti Ranjan Mohanty</t>
  </si>
  <si>
    <t>9831</t>
  </si>
  <si>
    <t>Krushna Muduli</t>
  </si>
  <si>
    <t>9832</t>
  </si>
  <si>
    <t>Abhisekh Dutta</t>
  </si>
  <si>
    <t>9833</t>
  </si>
  <si>
    <t>Dulabha Nag</t>
  </si>
  <si>
    <t>9834</t>
  </si>
  <si>
    <t>Mithuna Muduli</t>
  </si>
  <si>
    <t>9835</t>
  </si>
  <si>
    <t>Amresh Kumar Sethy</t>
  </si>
  <si>
    <t>9836</t>
  </si>
  <si>
    <t>Deepak Kumar Singh</t>
  </si>
  <si>
    <t>9839</t>
  </si>
  <si>
    <t>Kandarpa Naik</t>
  </si>
  <si>
    <t>9842</t>
  </si>
  <si>
    <t>Trinath Mali</t>
  </si>
  <si>
    <t>9941</t>
  </si>
  <si>
    <t>Debendra Kumar Raju</t>
  </si>
  <si>
    <t>9942</t>
  </si>
  <si>
    <t>Kiran Kumar Kuldip</t>
  </si>
  <si>
    <t>9943</t>
  </si>
  <si>
    <t>Jagdish Raju</t>
  </si>
  <si>
    <t>9948</t>
  </si>
  <si>
    <t>Deepak Kumar Kuldip</t>
  </si>
  <si>
    <t>9951</t>
  </si>
  <si>
    <t>Dhanurjay Nayak</t>
  </si>
  <si>
    <t>9952</t>
  </si>
  <si>
    <t>Santosh Kumar Swain</t>
  </si>
  <si>
    <t>9954</t>
  </si>
  <si>
    <t>Sanjaya Kumar Barik</t>
  </si>
  <si>
    <t>9956</t>
  </si>
  <si>
    <t>Suresh Kumar Hantal</t>
  </si>
  <si>
    <t>9959</t>
  </si>
  <si>
    <t>Mukesh Das</t>
  </si>
  <si>
    <t>9960</t>
  </si>
  <si>
    <t>Ajit Kumar Bachhar</t>
  </si>
  <si>
    <t>9962</t>
  </si>
  <si>
    <t>Purushottam Santa</t>
  </si>
  <si>
    <t>9963</t>
  </si>
  <si>
    <t>Mahendra Hansdah</t>
  </si>
  <si>
    <t>9965</t>
  </si>
  <si>
    <t>Arun Pradhan</t>
  </si>
  <si>
    <t>9966</t>
  </si>
  <si>
    <t>Dibakar Jani</t>
  </si>
  <si>
    <t>9972</t>
  </si>
  <si>
    <t>Pabitra Jani</t>
  </si>
  <si>
    <t>9986</t>
  </si>
  <si>
    <t>Rabindra Badanayak</t>
  </si>
  <si>
    <t>5682</t>
  </si>
  <si>
    <t>Madhu Mali</t>
  </si>
  <si>
    <t>6944</t>
  </si>
  <si>
    <t>Kia Santa</t>
  </si>
  <si>
    <t>7243</t>
  </si>
  <si>
    <t>Singuru Saunta</t>
  </si>
  <si>
    <t>8731</t>
  </si>
  <si>
    <t>Rabindranath Sethi</t>
  </si>
  <si>
    <t>9259</t>
  </si>
  <si>
    <t>Binaya Kumar Khara</t>
  </si>
  <si>
    <t>9261</t>
  </si>
  <si>
    <t>Prasanta Parida</t>
  </si>
  <si>
    <t>9262</t>
  </si>
  <si>
    <t>Jagannatha Mudi</t>
  </si>
  <si>
    <t>9246</t>
  </si>
  <si>
    <t>Kapilash Karna</t>
  </si>
  <si>
    <t>9247</t>
  </si>
  <si>
    <t>Sanjaya Behera</t>
  </si>
  <si>
    <t>9243</t>
  </si>
  <si>
    <t>Pabitra Mohan Sahoo</t>
  </si>
  <si>
    <t>7979</t>
  </si>
  <si>
    <t>Amar Singh Meena</t>
  </si>
  <si>
    <t>8141</t>
  </si>
  <si>
    <t>Animon T</t>
  </si>
  <si>
    <t>8147</t>
  </si>
  <si>
    <t>Biplaba Kumar Nayak</t>
  </si>
  <si>
    <t>8148</t>
  </si>
  <si>
    <t>Harekrushna Patra</t>
  </si>
  <si>
    <t>8149</t>
  </si>
  <si>
    <t>Prasanta Kumar Sahoo</t>
  </si>
  <si>
    <t>8223</t>
  </si>
  <si>
    <t>Raghunath Mahanandia</t>
  </si>
  <si>
    <t>8221</t>
  </si>
  <si>
    <t>Birakishore Mohanta</t>
  </si>
  <si>
    <t>8732</t>
  </si>
  <si>
    <t>Jivan Jyoti Panigrahy</t>
  </si>
  <si>
    <t>8734</t>
  </si>
  <si>
    <t>Saumendu Barik</t>
  </si>
  <si>
    <t>8735</t>
  </si>
  <si>
    <t>Santosh Kumar Panda</t>
  </si>
  <si>
    <t>8729</t>
  </si>
  <si>
    <t>Sananda Naik</t>
  </si>
  <si>
    <t>8730</t>
  </si>
  <si>
    <t>Prasanta Naik</t>
  </si>
  <si>
    <t>7261</t>
  </si>
  <si>
    <t>Satyanarayana Palo</t>
  </si>
  <si>
    <t>7360</t>
  </si>
  <si>
    <t>Bimal Nayak</t>
  </si>
  <si>
    <t>7567</t>
  </si>
  <si>
    <t>Binayak Gour</t>
  </si>
  <si>
    <t>6522</t>
  </si>
  <si>
    <t>Tripatibalaji Sabata</t>
  </si>
  <si>
    <t>6834</t>
  </si>
  <si>
    <t>Parimal Bachhar</t>
  </si>
  <si>
    <t>Superintendent (Mining) Gr.II</t>
  </si>
  <si>
    <t>6914</t>
  </si>
  <si>
    <t>Iswar Prasad Gamango</t>
  </si>
  <si>
    <t>6915</t>
  </si>
  <si>
    <t>Prem Uday Lakra</t>
  </si>
  <si>
    <t>7067</t>
  </si>
  <si>
    <t>Abhimanyu Rauta</t>
  </si>
  <si>
    <t>7131</t>
  </si>
  <si>
    <t>Prahallad Takiri</t>
  </si>
  <si>
    <t>10133</t>
  </si>
  <si>
    <t>Dhania Nayak</t>
  </si>
  <si>
    <t>9505</t>
  </si>
  <si>
    <t>Bhajaman Kuldeep</t>
  </si>
  <si>
    <t>11226</t>
  </si>
  <si>
    <t>Lipun Behera</t>
  </si>
  <si>
    <t>SUPT (JOT)-HEMM Operator</t>
  </si>
  <si>
    <t>10385</t>
  </si>
  <si>
    <t>Nakul Mali</t>
  </si>
  <si>
    <t>9830</t>
  </si>
  <si>
    <t>Goura Bada Nayak</t>
  </si>
  <si>
    <t>9828</t>
  </si>
  <si>
    <t>Susanta Kumar Mallick</t>
  </si>
  <si>
    <t>9818</t>
  </si>
  <si>
    <t>Brundaban Choudhury</t>
  </si>
  <si>
    <t>9813</t>
  </si>
  <si>
    <t>Sadan Goudo</t>
  </si>
  <si>
    <t>9945</t>
  </si>
  <si>
    <t>9946</t>
  </si>
  <si>
    <t>Gopinath Gouda</t>
  </si>
  <si>
    <t>9947</t>
  </si>
  <si>
    <t>Ashok Khara</t>
  </si>
  <si>
    <t>9263</t>
  </si>
  <si>
    <t>Gurukrushna Sahoo</t>
  </si>
  <si>
    <t>9260</t>
  </si>
  <si>
    <t>Asha Nanda Khosla</t>
  </si>
  <si>
    <t>8143</t>
  </si>
  <si>
    <t>Md Naushad Ansari</t>
  </si>
  <si>
    <t>8146</t>
  </si>
  <si>
    <t>Surya Narayan Muduli</t>
  </si>
  <si>
    <t>8150</t>
  </si>
  <si>
    <t>Hitendra Kumar Sethy</t>
  </si>
  <si>
    <t>7069</t>
  </si>
  <si>
    <t>Dilip Kumar Singh</t>
  </si>
  <si>
    <t>11092</t>
  </si>
  <si>
    <t>Hemanta Desh Nayak</t>
  </si>
  <si>
    <t>11240</t>
  </si>
  <si>
    <t>Rutik Sampat Rajpure</t>
  </si>
  <si>
    <t>11336</t>
  </si>
  <si>
    <t>Neeraj Lohar</t>
  </si>
  <si>
    <t>SUPT(SOT)-Mining</t>
  </si>
  <si>
    <t>8738</t>
  </si>
  <si>
    <t>Satchida Nanda Nath</t>
  </si>
  <si>
    <t>10002</t>
  </si>
  <si>
    <t>Sadhu Mahto</t>
  </si>
  <si>
    <t>Survey Assistant Gr.I</t>
  </si>
  <si>
    <t>6626</t>
  </si>
  <si>
    <t>Gangadhar Dami</t>
  </si>
  <si>
    <t>Sr.Technician(Survey) Gr.II</t>
  </si>
  <si>
    <t>6152</t>
  </si>
  <si>
    <t>Nanda Pangi</t>
  </si>
  <si>
    <t>Sr. Technician (Survey) Gr.I</t>
  </si>
  <si>
    <t>10134</t>
  </si>
  <si>
    <t>Prafula Nayak</t>
  </si>
  <si>
    <t>5479</t>
  </si>
  <si>
    <t>Padan Gouda</t>
  </si>
  <si>
    <t>5603</t>
  </si>
  <si>
    <t>Tarun Pujari</t>
  </si>
  <si>
    <t>Master Vehicle Operator Gr.II</t>
  </si>
  <si>
    <t>6936</t>
  </si>
  <si>
    <t>Bhubana Chhati</t>
  </si>
  <si>
    <t>9244</t>
  </si>
  <si>
    <t>Sunil Kumar Sahu</t>
  </si>
  <si>
    <t>9258</t>
  </si>
  <si>
    <t>Amit Kumar Paik</t>
  </si>
  <si>
    <t>9368</t>
  </si>
  <si>
    <t>Sishir Tirkey</t>
  </si>
  <si>
    <t>8144</t>
  </si>
  <si>
    <t>Sreekanth Narayanan</t>
  </si>
  <si>
    <t>8210</t>
  </si>
  <si>
    <t>Gopabandhu Siya</t>
  </si>
  <si>
    <t>5715</t>
  </si>
  <si>
    <t>Padma Mohan Khora</t>
  </si>
  <si>
    <t>Master Vehicle Operator Gr.I (T7)</t>
  </si>
  <si>
    <t>6675</t>
  </si>
  <si>
    <t>Lambodhar Sahu</t>
  </si>
  <si>
    <t>7259</t>
  </si>
  <si>
    <t>Sunil Kumar Nahak</t>
  </si>
  <si>
    <t>6520</t>
  </si>
  <si>
    <t>Krupasindhu Hantal</t>
  </si>
  <si>
    <t>Superintendent(Vehicle Oprn) Gr.II</t>
  </si>
  <si>
    <t>6677</t>
  </si>
  <si>
    <t>Ganti Ramesh Kumar</t>
  </si>
  <si>
    <t>First Aid Last Year</t>
  </si>
  <si>
    <t>First Aid Type</t>
  </si>
  <si>
    <t>First Aid Expiry Year</t>
  </si>
  <si>
    <t>6374</t>
  </si>
  <si>
    <t>Bhabani Sankar Rout</t>
  </si>
  <si>
    <t>Assistant Manager(Administration)</t>
  </si>
  <si>
    <t>First aid (S)</t>
  </si>
  <si>
    <t>5716</t>
  </si>
  <si>
    <t>Jerom Xess</t>
  </si>
  <si>
    <t>Deputy Manager(Administration)</t>
  </si>
  <si>
    <t>First aid (V)</t>
  </si>
  <si>
    <t>10863</t>
  </si>
  <si>
    <t>Sanjaya Senapati</t>
  </si>
  <si>
    <t>AM (Mechanical)</t>
  </si>
  <si>
    <t>6682</t>
  </si>
  <si>
    <t>Chaitanya Murmu</t>
  </si>
  <si>
    <t>Dy. Manager(Secretarial)</t>
  </si>
  <si>
    <t>SECRETARIATE</t>
  </si>
  <si>
    <t>5510</t>
  </si>
  <si>
    <t>N Srinivasa Sudhakar</t>
  </si>
  <si>
    <t>Chief General Manager (O&amp;M),Mines</t>
  </si>
  <si>
    <t>9732</t>
  </si>
  <si>
    <t>Purusottam Mohanta</t>
  </si>
  <si>
    <t>Chief General Manager(Mines)</t>
  </si>
  <si>
    <t>6133</t>
  </si>
  <si>
    <t>Niranjan Ray</t>
  </si>
  <si>
    <t>Senior Manager(Civil)</t>
  </si>
  <si>
    <t>9091</t>
  </si>
  <si>
    <t>Shailesh Toppo</t>
  </si>
  <si>
    <t>7559</t>
  </si>
  <si>
    <t>Arjun Basu</t>
  </si>
  <si>
    <t>Deputy General Manager (Civil)</t>
  </si>
  <si>
    <t>10501</t>
  </si>
  <si>
    <t>Vishnu Chandora</t>
  </si>
  <si>
    <t>Assistant Manager (Instrumentation)</t>
  </si>
  <si>
    <t>10651</t>
  </si>
  <si>
    <t>Sonu Kumar Gupta</t>
  </si>
  <si>
    <t>Assistant Manager (Electrical)</t>
  </si>
  <si>
    <t>6709</t>
  </si>
  <si>
    <t>Kandra Hembram</t>
  </si>
  <si>
    <t>Deputy Manager(Electrical)</t>
  </si>
  <si>
    <t>10383</t>
  </si>
  <si>
    <t>Prathamesh Ganesh Kokate</t>
  </si>
  <si>
    <t>9748</t>
  </si>
  <si>
    <t>Anoj Kumar Swain</t>
  </si>
  <si>
    <t>Manager(Electrical)</t>
  </si>
  <si>
    <t>9858</t>
  </si>
  <si>
    <t>Rahul Kumar Meena</t>
  </si>
  <si>
    <t>9859</t>
  </si>
  <si>
    <t>Satya Sunder Behera</t>
  </si>
  <si>
    <t>9882</t>
  </si>
  <si>
    <t>Samir Kumar Shekhar Deo</t>
  </si>
  <si>
    <t>Manager (Electrical)</t>
  </si>
  <si>
    <t>10069</t>
  </si>
  <si>
    <t>Naveen Pentela</t>
  </si>
  <si>
    <t>6458</t>
  </si>
  <si>
    <t>Sarada Prasad Panda</t>
  </si>
  <si>
    <t>Senior Manager(Electrical)</t>
  </si>
  <si>
    <t>9070</t>
  </si>
  <si>
    <t>Kaustuv Pattnaik</t>
  </si>
  <si>
    <t>Sr. Manager (Electrical)</t>
  </si>
  <si>
    <t>9619</t>
  </si>
  <si>
    <t>Dakaneni Veera V S Aditya</t>
  </si>
  <si>
    <t>Senior Manager (Electrical)</t>
  </si>
  <si>
    <t>9621</t>
  </si>
  <si>
    <t>Sunil Kumar Patra</t>
  </si>
  <si>
    <t>9668</t>
  </si>
  <si>
    <t>Nachiketa Swain</t>
  </si>
  <si>
    <t>8637</t>
  </si>
  <si>
    <t>Dillip Moharana</t>
  </si>
  <si>
    <t>Deputy General Manager (Electrical)</t>
  </si>
  <si>
    <t>7504</t>
  </si>
  <si>
    <t>Harish Kumar Bhagwani</t>
  </si>
  <si>
    <t>General Manager(Electrical)</t>
  </si>
  <si>
    <t>11507</t>
  </si>
  <si>
    <t>Shaik Zalaluddin Mohammed Akbar</t>
  </si>
  <si>
    <t>GET(Electrical)</t>
  </si>
  <si>
    <t>7449</t>
  </si>
  <si>
    <t>Sasi Bhusan Behera</t>
  </si>
  <si>
    <t>Sr.Foreman(Electrical) Gr.I</t>
  </si>
  <si>
    <t>7465</t>
  </si>
  <si>
    <t>Kishor Kumar Lenka</t>
  </si>
  <si>
    <t>Sr.Foreman(Electical) Gr.I</t>
  </si>
  <si>
    <t>7467</t>
  </si>
  <si>
    <t>Raghunath Mohanta</t>
  </si>
  <si>
    <t>First aid (M)</t>
  </si>
  <si>
    <t>9985</t>
  </si>
  <si>
    <t>Samir Ranjan Pattnaik</t>
  </si>
  <si>
    <t>Assistant General Manager (Geology)</t>
  </si>
  <si>
    <t>TECHNICAL SERVICES</t>
  </si>
  <si>
    <t>10227</t>
  </si>
  <si>
    <t>Yalaka Kasaiah</t>
  </si>
  <si>
    <t>Dy. Manager(Finance)</t>
  </si>
  <si>
    <t>10756</t>
  </si>
  <si>
    <t>Dora Jagadishwar Rao</t>
  </si>
  <si>
    <t>Deputy Manager(Finance)</t>
  </si>
  <si>
    <t>10402</t>
  </si>
  <si>
    <t>Rangadhar Behera</t>
  </si>
  <si>
    <t>Manager (Finance)</t>
  </si>
  <si>
    <t>10457</t>
  </si>
  <si>
    <t>Ramesh Gopagoni</t>
  </si>
  <si>
    <t>8225</t>
  </si>
  <si>
    <t>Bhagaban Chandra Barik</t>
  </si>
  <si>
    <t>Deputy General Manager (Finance)</t>
  </si>
  <si>
    <t>9715</t>
  </si>
  <si>
    <t>K Shanmukh Rao</t>
  </si>
  <si>
    <t>Sr. Assistant (Time Office)</t>
  </si>
  <si>
    <t>9763</t>
  </si>
  <si>
    <t>Gudla Avinash</t>
  </si>
  <si>
    <t>Sr. Assistant(Finance)</t>
  </si>
  <si>
    <t>11529</t>
  </si>
  <si>
    <t>Nirankar Mishra</t>
  </si>
  <si>
    <t>Deputy Manager (Geology)</t>
  </si>
  <si>
    <t>7111</t>
  </si>
  <si>
    <t>Sanjaya Kumar Mohanty</t>
  </si>
  <si>
    <t>Manager (Geology)</t>
  </si>
  <si>
    <t>10616</t>
  </si>
  <si>
    <t>K Sairaj</t>
  </si>
  <si>
    <t>9531</t>
  </si>
  <si>
    <t>Chandan Kumar Behera</t>
  </si>
  <si>
    <t>Senior Manager (Geology)</t>
  </si>
  <si>
    <t>9532</t>
  </si>
  <si>
    <t>Pratap Tapan Sahoo</t>
  </si>
  <si>
    <t>Sr. Manager (Geology)</t>
  </si>
  <si>
    <t>9331</t>
  </si>
  <si>
    <t>Arya Goutami Nath</t>
  </si>
  <si>
    <t>Asst. General Manager(Geology)</t>
  </si>
  <si>
    <t>9936</t>
  </si>
  <si>
    <t>Malaya Kumar Sahoo</t>
  </si>
  <si>
    <t>Asst. Geneal Manager(Geology)</t>
  </si>
  <si>
    <t>10610</t>
  </si>
  <si>
    <t>Doddi Ravi Kumar</t>
  </si>
  <si>
    <t>Manager (Horticulture)</t>
  </si>
  <si>
    <t>10820</t>
  </si>
  <si>
    <t>Susant Kumar Panda</t>
  </si>
  <si>
    <t>Deputy Manager(HR)</t>
  </si>
  <si>
    <t>6341</t>
  </si>
  <si>
    <t>Rajeswar Patra</t>
  </si>
  <si>
    <t>Manager(HR)</t>
  </si>
  <si>
    <t>7166</t>
  </si>
  <si>
    <t>Bathula Venkata Suresh Babu</t>
  </si>
  <si>
    <t>General Manager(HR)</t>
  </si>
  <si>
    <t>9799</t>
  </si>
  <si>
    <t>Rama Krishna Choudhury</t>
  </si>
  <si>
    <t>Sr. Assistant(HR)</t>
  </si>
  <si>
    <t>10577</t>
  </si>
  <si>
    <t>Babloo Soni</t>
  </si>
  <si>
    <t>Deputy Manager(Materials)</t>
  </si>
  <si>
    <t>5665</t>
  </si>
  <si>
    <t>M Jagannath</t>
  </si>
  <si>
    <t>Sr.Manager(Materials)</t>
  </si>
  <si>
    <t>10169</t>
  </si>
  <si>
    <t>Bharat Pujari</t>
  </si>
  <si>
    <t>Assistant(Materials) Gr.I</t>
  </si>
  <si>
    <t>10074</t>
  </si>
  <si>
    <t>Aditya Kumar Sethi</t>
  </si>
  <si>
    <t>Manager (Materials)</t>
  </si>
  <si>
    <t>10444</t>
  </si>
  <si>
    <t>Biswabihari Pradhan</t>
  </si>
  <si>
    <t>Senior Manager (Materials)</t>
  </si>
  <si>
    <t>9557</t>
  </si>
  <si>
    <t>Avinash Kumar</t>
  </si>
  <si>
    <t>Sr. Manager(E&amp;I)</t>
  </si>
  <si>
    <t>5770</t>
  </si>
  <si>
    <t>Ranajit Nayak</t>
  </si>
  <si>
    <t>Asst. General Manager(Mechanical)</t>
  </si>
  <si>
    <t>7701</t>
  </si>
  <si>
    <t>Mohammad Abubakar Siddiq Kamaluddin</t>
  </si>
  <si>
    <t>Deputy General Manager (Mechanical)</t>
  </si>
  <si>
    <t>7708</t>
  </si>
  <si>
    <t>Suresh Babu Konagalla</t>
  </si>
  <si>
    <t>3342</t>
  </si>
  <si>
    <t>Ranjit Kumar Pattnaik</t>
  </si>
  <si>
    <t>Superintendent (Auto-Elect) Gr.I</t>
  </si>
  <si>
    <t>3344</t>
  </si>
  <si>
    <t>Prasanta Kumar Majhi</t>
  </si>
  <si>
    <t>Jr. Engineer (Mechanical) Gr.I</t>
  </si>
  <si>
    <t>10977</t>
  </si>
  <si>
    <t>Arnab Chakraborty</t>
  </si>
  <si>
    <t>Assistant Manager (Mechanical)</t>
  </si>
  <si>
    <t>10992</t>
  </si>
  <si>
    <t>Sumanta Das</t>
  </si>
  <si>
    <t>11000</t>
  </si>
  <si>
    <t>Ratiranjan Pradhan</t>
  </si>
  <si>
    <t>8907</t>
  </si>
  <si>
    <t>Choudhuri Kumar Naik</t>
  </si>
  <si>
    <t>Dy. Manager (Mechanical)</t>
  </si>
  <si>
    <t>8908</t>
  </si>
  <si>
    <t>Mahendra Kumar Behera</t>
  </si>
  <si>
    <t>Deputy Manager (Mechanical)</t>
  </si>
  <si>
    <t>10369</t>
  </si>
  <si>
    <t>Pradeep Kumar Verma</t>
  </si>
  <si>
    <t>6711</t>
  </si>
  <si>
    <t>Jayakrishna Behera</t>
  </si>
  <si>
    <t>Manager (Mechanical)</t>
  </si>
  <si>
    <t>7064</t>
  </si>
  <si>
    <t>Rajat Kumar Naik</t>
  </si>
  <si>
    <t>9769</t>
  </si>
  <si>
    <t>Soumya Ranjan Sahoo</t>
  </si>
  <si>
    <t>Manager(Mechanical)</t>
  </si>
  <si>
    <t>9874</t>
  </si>
  <si>
    <t>Akash Tanty</t>
  </si>
  <si>
    <t>10111</t>
  </si>
  <si>
    <t>Vijendra Kumar</t>
  </si>
  <si>
    <t>9542</t>
  </si>
  <si>
    <t>Sameer Saurabh Singh</t>
  </si>
  <si>
    <t>Sr. Manager(Mechanical)</t>
  </si>
  <si>
    <t>9591</t>
  </si>
  <si>
    <t>Prashant Sinha</t>
  </si>
  <si>
    <t>9479</t>
  </si>
  <si>
    <t>T Gudu Dora</t>
  </si>
  <si>
    <t>Assistant General Manager (Mechanical)</t>
  </si>
  <si>
    <t>8809</t>
  </si>
  <si>
    <t>Rashmiranjan Mohakud</t>
  </si>
  <si>
    <t>6815</t>
  </si>
  <si>
    <t>Rajesh Ranjan Kumar</t>
  </si>
  <si>
    <t>General Manager (Mechanical)</t>
  </si>
  <si>
    <t>11064</t>
  </si>
  <si>
    <t>Sagar Barik</t>
  </si>
  <si>
    <t>GET(Mechanical)</t>
  </si>
  <si>
    <t>11065</t>
  </si>
  <si>
    <t>Rasmiranjan Mohakhud</t>
  </si>
  <si>
    <t>9713</t>
  </si>
  <si>
    <t>Ramaniranjan Nayak</t>
  </si>
  <si>
    <t>Foreman(Mechanical)</t>
  </si>
  <si>
    <t>7978</t>
  </si>
  <si>
    <t>Susanta Kumar Singh</t>
  </si>
  <si>
    <t>Sr. Foreman (Mechancial) Gr.II</t>
  </si>
  <si>
    <t>7256</t>
  </si>
  <si>
    <t>Santosh Kumar Mishra</t>
  </si>
  <si>
    <t>Sr. Foreman (Mechancial) Gr.I</t>
  </si>
  <si>
    <t>7278</t>
  </si>
  <si>
    <t>Susanta Sekhar Padhee</t>
  </si>
  <si>
    <t>Sr.Foreman(Mech) Gr.I</t>
  </si>
  <si>
    <t>7370</t>
  </si>
  <si>
    <t>Pravasa Ranjan Sahoo</t>
  </si>
  <si>
    <t>Sr.Foreman(Mechancial) Gr.I</t>
  </si>
  <si>
    <t>9520</t>
  </si>
  <si>
    <t>Shivam Yadav</t>
  </si>
  <si>
    <t>Senior Manager(Mechanical)</t>
  </si>
  <si>
    <t>9546</t>
  </si>
  <si>
    <t>Alok Kumar Choudhary</t>
  </si>
  <si>
    <t>8885</t>
  </si>
  <si>
    <t>Santosh Kumar Patro</t>
  </si>
  <si>
    <t>Jr. Engineer (Electronics) Gr.II</t>
  </si>
  <si>
    <t>9743</t>
  </si>
  <si>
    <t>Pradyumna Keshari Nahak</t>
  </si>
  <si>
    <t>7572</t>
  </si>
  <si>
    <t>Anoop R Lal</t>
  </si>
  <si>
    <t>10648</t>
  </si>
  <si>
    <t>Amar Kumar Sahu</t>
  </si>
  <si>
    <t>10085</t>
  </si>
  <si>
    <t>Abhinash Behera</t>
  </si>
  <si>
    <t>5736</t>
  </si>
  <si>
    <t>Narendra Kumar Naik</t>
  </si>
  <si>
    <t>6375</t>
  </si>
  <si>
    <t>Rajendra Kumar Brahma</t>
  </si>
  <si>
    <t>General Manager(Mechanical)</t>
  </si>
  <si>
    <t>7589</t>
  </si>
  <si>
    <t>Anand Mohan Prasad</t>
  </si>
  <si>
    <t>9545</t>
  </si>
  <si>
    <t>Anjan Kumar</t>
  </si>
  <si>
    <t>6738</t>
  </si>
  <si>
    <t>Surendra Behera</t>
  </si>
  <si>
    <t>Senior Manager (Mechanical)</t>
  </si>
  <si>
    <t>8182</t>
  </si>
  <si>
    <t>Biswajit Routray</t>
  </si>
  <si>
    <t>10095</t>
  </si>
  <si>
    <t>Muguli Rajesh</t>
  </si>
  <si>
    <t>Asst. Foreman(Mechanical)</t>
  </si>
  <si>
    <t>9602</t>
  </si>
  <si>
    <t>Raj Kumar Ram</t>
  </si>
  <si>
    <t>7253</t>
  </si>
  <si>
    <t>Subhash Chandra Maiti</t>
  </si>
  <si>
    <t>8242</t>
  </si>
  <si>
    <t>Nagardeep Sethy</t>
  </si>
  <si>
    <t>Asst. Manager (Mining)</t>
  </si>
  <si>
    <t>First aid (L)</t>
  </si>
  <si>
    <t>10509</t>
  </si>
  <si>
    <t>Hritish Kumar Mallick</t>
  </si>
  <si>
    <t>Assistant Manager (Mining)</t>
  </si>
  <si>
    <t>6773</t>
  </si>
  <si>
    <t>Sahadeba Patra</t>
  </si>
  <si>
    <t>Deputy Manager(Mines)</t>
  </si>
  <si>
    <t>6933</t>
  </si>
  <si>
    <t>Kamalakanta Rout</t>
  </si>
  <si>
    <t>10663</t>
  </si>
  <si>
    <t>Suraj Sethy</t>
  </si>
  <si>
    <t>Deputy Manager(Mining)</t>
  </si>
  <si>
    <t>10670</t>
  </si>
  <si>
    <t>Rohan Barik</t>
  </si>
  <si>
    <t>10672</t>
  </si>
  <si>
    <t>Rajeshwaran R</t>
  </si>
  <si>
    <t>10673</t>
  </si>
  <si>
    <t>Sudhansu Sekhar Mishra</t>
  </si>
  <si>
    <t>10674</t>
  </si>
  <si>
    <t>Chayan Das</t>
  </si>
  <si>
    <t>10744</t>
  </si>
  <si>
    <t>Gayam Chandra Sekhar Reddy</t>
  </si>
  <si>
    <t>Deputy Manager (Mining)</t>
  </si>
  <si>
    <t>11528</t>
  </si>
  <si>
    <t>Chinmaya Kumar Biswal</t>
  </si>
  <si>
    <t>11531</t>
  </si>
  <si>
    <t>Akash Kumar Nayak</t>
  </si>
  <si>
    <t>11597</t>
  </si>
  <si>
    <t>Janmejaya Sahoo</t>
  </si>
  <si>
    <t>6774</t>
  </si>
  <si>
    <t>Mandapaka Krishna</t>
  </si>
  <si>
    <t>Manager(Mines)</t>
  </si>
  <si>
    <t>7607</t>
  </si>
  <si>
    <t>Chita Ranjana Mishra</t>
  </si>
  <si>
    <t>9647</t>
  </si>
  <si>
    <t>Anshuman Badu</t>
  </si>
  <si>
    <t>9529</t>
  </si>
  <si>
    <t>Chandan Das</t>
  </si>
  <si>
    <t>Sr. Manager (Mines)</t>
  </si>
  <si>
    <t>9649</t>
  </si>
  <si>
    <t>Dashrath Kumar</t>
  </si>
  <si>
    <t>Senior Manager (Mines)</t>
  </si>
  <si>
    <t>9904</t>
  </si>
  <si>
    <t>Abinash Jena</t>
  </si>
  <si>
    <t>Asst. General Manager(Mines</t>
  </si>
  <si>
    <t>8837</t>
  </si>
  <si>
    <t>Bikash Chandra Mohanty</t>
  </si>
  <si>
    <t>Deputy General Manager(Mines)</t>
  </si>
  <si>
    <t>7556</t>
  </si>
  <si>
    <t>Ajaya Choudhury</t>
  </si>
  <si>
    <t>General Manager(Mines)</t>
  </si>
  <si>
    <t>10011</t>
  </si>
  <si>
    <t>Akyana Chaitanya</t>
  </si>
  <si>
    <t>Medical Superintendent</t>
  </si>
  <si>
    <t>MEDICAL</t>
  </si>
  <si>
    <t>10355</t>
  </si>
  <si>
    <t>Sebaka Dehury</t>
  </si>
  <si>
    <t>Jr.Foreman(Mining)</t>
  </si>
  <si>
    <t>10357</t>
  </si>
  <si>
    <t>Sheikh Mohd Mohsin Mohd Hafij</t>
  </si>
  <si>
    <t>9728</t>
  </si>
  <si>
    <t>Gopala Renasia</t>
  </si>
  <si>
    <t>Asst. Foreman (Mining)</t>
  </si>
  <si>
    <t>10375</t>
  </si>
  <si>
    <t>Jitendra Sahoo</t>
  </si>
  <si>
    <t>7130</t>
  </si>
  <si>
    <t>Hrudaya Nanda Patanaik</t>
  </si>
  <si>
    <t>5732</t>
  </si>
  <si>
    <t>Pradeep Kumar Patel</t>
  </si>
  <si>
    <t>Mine Foreman (SG-1)</t>
  </si>
  <si>
    <t>10368</t>
  </si>
  <si>
    <t>Ankit Dubey</t>
  </si>
  <si>
    <t>Mining Mate Gr.II</t>
  </si>
  <si>
    <t>10364</t>
  </si>
  <si>
    <t>Sruti Ranjan Pradhan</t>
  </si>
  <si>
    <t>Mining Mate Gr.I</t>
  </si>
  <si>
    <t>10365</t>
  </si>
  <si>
    <t>Himansu Kumar Sahu</t>
  </si>
  <si>
    <t>10358</t>
  </si>
  <si>
    <t>Pradyumna Giri</t>
  </si>
  <si>
    <t>Sr. Mining Mate Gr.II</t>
  </si>
  <si>
    <t>10360</t>
  </si>
  <si>
    <t>Putal Mahakud</t>
  </si>
  <si>
    <t>10361</t>
  </si>
  <si>
    <t>Ananta Naik</t>
  </si>
  <si>
    <t>10362</t>
  </si>
  <si>
    <t>Charchil Chandra Si</t>
  </si>
  <si>
    <t>9723</t>
  </si>
  <si>
    <t>Pintu Jena</t>
  </si>
  <si>
    <t>Sr. Mining Mate Gr.I</t>
  </si>
  <si>
    <t>9724</t>
  </si>
  <si>
    <t>Snehangsu Bhowmik</t>
  </si>
  <si>
    <t>9725</t>
  </si>
  <si>
    <t>Sabir Kumar Pradhan</t>
  </si>
  <si>
    <t>9726</t>
  </si>
  <si>
    <t>Santanu Kumar Sahoo</t>
  </si>
  <si>
    <t>9727</t>
  </si>
  <si>
    <t>Subhrakanta Sahoo</t>
  </si>
  <si>
    <t>9307</t>
  </si>
  <si>
    <t>Subash Chandra Jena</t>
  </si>
  <si>
    <t>Mine Foreman</t>
  </si>
  <si>
    <t>9308</t>
  </si>
  <si>
    <t>Manas Ranjan Rout</t>
  </si>
  <si>
    <t>7262</t>
  </si>
  <si>
    <t>Santosh Kumar Jena</t>
  </si>
  <si>
    <t>7973</t>
  </si>
  <si>
    <t>Subhas Ojha</t>
  </si>
  <si>
    <t>11322</t>
  </si>
  <si>
    <t>Govinda Bakshi</t>
  </si>
  <si>
    <t>SUPT (JOT)-Mining Mate</t>
  </si>
  <si>
    <t>11324</t>
  </si>
  <si>
    <t>Vicky Nayak</t>
  </si>
  <si>
    <t>8243</t>
  </si>
  <si>
    <t>Padmalochan Mohanta</t>
  </si>
  <si>
    <t>7568</t>
  </si>
  <si>
    <t>Bulu Charan Das</t>
  </si>
  <si>
    <t>10718</t>
  </si>
  <si>
    <t>Mihir Ranjan Bhuyan</t>
  </si>
  <si>
    <t>11516</t>
  </si>
  <si>
    <t>Nirmal Kumar Munda</t>
  </si>
  <si>
    <t>11584</t>
  </si>
  <si>
    <t>Sameet Pradhan</t>
  </si>
  <si>
    <t>6932</t>
  </si>
  <si>
    <t>Ashok Kumar Panda</t>
  </si>
  <si>
    <t>9530</t>
  </si>
  <si>
    <t>P Prithvi</t>
  </si>
  <si>
    <t>9973</t>
  </si>
  <si>
    <t>Rishikesh Bahadur Singh</t>
  </si>
  <si>
    <t>11085</t>
  </si>
  <si>
    <t>Sujit Kumar Dash</t>
  </si>
  <si>
    <t>Deputy General Manager(Mining)</t>
  </si>
  <si>
    <t>10356</t>
  </si>
  <si>
    <t>Sujit Kumar Mohanty</t>
  </si>
  <si>
    <t>10384</t>
  </si>
  <si>
    <t>Govind Chandra Barik</t>
  </si>
  <si>
    <t>10374</t>
  </si>
  <si>
    <t>Krishna Chandra Maharana</t>
  </si>
  <si>
    <t>10370</t>
  </si>
  <si>
    <t>Ganesh Chandra Parida</t>
  </si>
  <si>
    <t>10363</t>
  </si>
  <si>
    <t>Jayakrishna Mohanta</t>
  </si>
  <si>
    <t>10359</t>
  </si>
  <si>
    <t>Subash Chandra Sahoo</t>
  </si>
  <si>
    <t>9495</t>
  </si>
  <si>
    <t>Kshitish Ranjan Behera</t>
  </si>
  <si>
    <t>9528</t>
  </si>
  <si>
    <t>Amit Kumar Saw</t>
  </si>
  <si>
    <t>Senior Manager(Mines)</t>
  </si>
  <si>
    <t>5731</t>
  </si>
  <si>
    <t>Basudev Gajendra</t>
  </si>
  <si>
    <t>10264</t>
  </si>
  <si>
    <t>Subhrajeet Lenka</t>
  </si>
  <si>
    <t>Assistant Manager(Mining)</t>
  </si>
  <si>
    <t>9333</t>
  </si>
  <si>
    <t>Dillip Kumar Sahu</t>
  </si>
  <si>
    <t>Asst. General Manager(Mines)</t>
  </si>
  <si>
    <t>8712</t>
  </si>
  <si>
    <t>Lingaraj Naik</t>
  </si>
  <si>
    <t>Dy. Manager (Systems)</t>
  </si>
  <si>
    <t>SYSTEMS</t>
  </si>
  <si>
    <t>8842</t>
  </si>
  <si>
    <t>M Sivashankar</t>
  </si>
  <si>
    <t>Assistant General Manager(Systems)</t>
  </si>
  <si>
    <t>9489</t>
  </si>
  <si>
    <t>Jijek Sabar</t>
  </si>
  <si>
    <t>9047</t>
  </si>
  <si>
    <t>Deo Kumar Azad</t>
  </si>
  <si>
    <t>6893</t>
  </si>
  <si>
    <t>K Gangadhara Rao</t>
  </si>
  <si>
    <t>Deputy General Manager (E&amp;I)</t>
  </si>
  <si>
    <t>7179</t>
  </si>
  <si>
    <t>Prakash Kumar Dwibedy</t>
  </si>
  <si>
    <t>9058</t>
  </si>
  <si>
    <t>Brahmaji TARK</t>
  </si>
  <si>
    <t>Senior Manager(TQM)</t>
  </si>
  <si>
    <t>Fire Fighting Last Date</t>
  </si>
  <si>
    <t>Fire Fighting Expiry Date</t>
  </si>
  <si>
    <t>Supervisor Last Date</t>
  </si>
  <si>
    <t>Supervisor Expiry Date</t>
  </si>
  <si>
    <t>Machine</t>
  </si>
  <si>
    <t>From Date</t>
  </si>
  <si>
    <t>To Date</t>
  </si>
  <si>
    <t>Man-days</t>
  </si>
  <si>
    <t>MD  N ANSARI</t>
  </si>
  <si>
    <t>In House Ripper -Dozer training</t>
  </si>
  <si>
    <t>H K Sethy</t>
  </si>
  <si>
    <t>R MOHANANDIA</t>
  </si>
  <si>
    <t>J MUDI</t>
  </si>
  <si>
    <t>DHANURJAY NAYAK</t>
  </si>
  <si>
    <t>ARUN PRADHAN</t>
  </si>
  <si>
    <t>SINGURU SAUNTA</t>
  </si>
  <si>
    <t>B GOUR</t>
  </si>
  <si>
    <t>P K SAHOO</t>
  </si>
  <si>
    <t>B K MOHANTA</t>
  </si>
  <si>
    <t>S BARIK</t>
  </si>
  <si>
    <t>B KULDEEP</t>
  </si>
  <si>
    <t>NIRA BHOI</t>
  </si>
  <si>
    <t>S K BENIYA</t>
  </si>
  <si>
    <t>K K KULDIP</t>
  </si>
  <si>
    <t>DIBAKAR JANI</t>
  </si>
  <si>
    <t>I P GAMANGO</t>
  </si>
  <si>
    <t>P NAIK</t>
  </si>
  <si>
    <t>J J PANIGRAHY</t>
  </si>
  <si>
    <t>S S PRADHAN</t>
  </si>
  <si>
    <t>MITHUNA MUDULI</t>
  </si>
  <si>
    <t>P SANTA</t>
  </si>
  <si>
    <t>R K NAYAK</t>
  </si>
  <si>
    <t>D K Singh</t>
  </si>
  <si>
    <t>B Chaudhury</t>
  </si>
  <si>
    <t>Satchidananda Nath</t>
  </si>
  <si>
    <t>nan</t>
  </si>
  <si>
    <t>B NAYAK</t>
  </si>
  <si>
    <t>WHEEL LOADER (WA700 &amp; WA800)</t>
  </si>
  <si>
    <t>K KARNA</t>
  </si>
  <si>
    <t>P PARIDA</t>
  </si>
  <si>
    <t>M R ROUT</t>
  </si>
  <si>
    <t>M K JANI</t>
  </si>
  <si>
    <t>S BHOWMIK</t>
  </si>
  <si>
    <t>PRAFUL KHARA</t>
  </si>
  <si>
    <t>ABHISEKH DUTTA</t>
  </si>
  <si>
    <t>DEEPAK SINGH</t>
  </si>
  <si>
    <t>S K BARIK</t>
  </si>
  <si>
    <t>C2615</t>
  </si>
  <si>
    <t>A Majhi</t>
  </si>
  <si>
    <t>C2621</t>
  </si>
  <si>
    <t>Murali Lamta</t>
  </si>
  <si>
    <t>C153</t>
  </si>
  <si>
    <t>K C Pradhan</t>
  </si>
  <si>
    <t>Krishna Ch Maharana</t>
  </si>
  <si>
    <t xml:space="preserve">Nakul Mali </t>
  </si>
  <si>
    <t>P L Mohanta</t>
  </si>
  <si>
    <t>S N PALO</t>
  </si>
  <si>
    <t>B K KHARA</t>
  </si>
  <si>
    <t>M K CHETTY</t>
  </si>
  <si>
    <t>KANDARPA NAIK</t>
  </si>
  <si>
    <t>PABITRA JANI</t>
  </si>
  <si>
    <t>J A KHAN</t>
  </si>
  <si>
    <t>SEBAKA DEHURY</t>
  </si>
  <si>
    <t>S R PRADHAN</t>
  </si>
  <si>
    <t>S K BHUYAN</t>
  </si>
  <si>
    <t>C2722</t>
  </si>
  <si>
    <t>Trinath Gouda</t>
  </si>
  <si>
    <t>C2751</t>
  </si>
  <si>
    <t>Uttam Turuk</t>
  </si>
  <si>
    <t>C1416</t>
  </si>
  <si>
    <t>Bhima Gouda</t>
  </si>
  <si>
    <t>S N Muduli</t>
  </si>
  <si>
    <t>Hritish K Mallick</t>
  </si>
  <si>
    <t>B C Das</t>
  </si>
  <si>
    <t>T B SABAT</t>
  </si>
  <si>
    <t>ANIMON T</t>
  </si>
  <si>
    <t>H K PATRA</t>
  </si>
  <si>
    <t>SISIR TIRKEY</t>
  </si>
  <si>
    <t>SANTANU SAHOO</t>
  </si>
  <si>
    <t>KRUSHNA MUDULI</t>
  </si>
  <si>
    <t>AMRESH SETHY</t>
  </si>
  <si>
    <t>J KHORA</t>
  </si>
  <si>
    <t>C2618</t>
  </si>
  <si>
    <t>S N Gouda</t>
  </si>
  <si>
    <t>C2893</t>
  </si>
  <si>
    <t>K B Bisoi</t>
  </si>
  <si>
    <t>C3586</t>
  </si>
  <si>
    <t>D Mali</t>
  </si>
  <si>
    <t>Ashok Khora</t>
  </si>
  <si>
    <t>S C Sahoo</t>
  </si>
  <si>
    <t>S S Mishra</t>
  </si>
  <si>
    <t>P U Lakra</t>
  </si>
  <si>
    <t>7570</t>
  </si>
  <si>
    <t>A K Jena</t>
  </si>
  <si>
    <t>A S MEENA</t>
  </si>
  <si>
    <t>S NAIK</t>
  </si>
  <si>
    <t>S BEHERA</t>
  </si>
  <si>
    <t>J CHOUDHURY</t>
  </si>
  <si>
    <t>MUKESH DAS</t>
  </si>
  <si>
    <t>JITENDRA SAHOO</t>
  </si>
  <si>
    <t>T K GOUDA</t>
  </si>
  <si>
    <t>C2702</t>
  </si>
  <si>
    <t>Kuna Kuldip</t>
  </si>
  <si>
    <t>C2616</t>
  </si>
  <si>
    <t>Babula Badnayak</t>
  </si>
  <si>
    <t>C2647</t>
  </si>
  <si>
    <t>Ramesh Patra</t>
  </si>
  <si>
    <t>Govind Barik</t>
  </si>
  <si>
    <t>N D Sethy</t>
  </si>
  <si>
    <t>Mihir Kr Bhuiyan</t>
  </si>
  <si>
    <t>P BACHHAR</t>
  </si>
  <si>
    <t>KIA SANTA</t>
  </si>
  <si>
    <t>R N Tirkey</t>
  </si>
  <si>
    <t>R N SETHY</t>
  </si>
  <si>
    <t>JHUNA TURUK</t>
  </si>
  <si>
    <t>S K Hikaka</t>
  </si>
  <si>
    <t>S R MOHANTY</t>
  </si>
  <si>
    <t>D K KULDIP</t>
  </si>
  <si>
    <t>AJIT BACHHAR</t>
  </si>
  <si>
    <t>PUTAL MAHAKUD</t>
  </si>
  <si>
    <t>C2750</t>
  </si>
  <si>
    <t>B K Kaushliya</t>
  </si>
  <si>
    <t>C</t>
  </si>
  <si>
    <t>S K Pangi</t>
  </si>
  <si>
    <t>C2708</t>
  </si>
  <si>
    <t>Pitabas Gouda</t>
  </si>
  <si>
    <t>Sujit Mohanty</t>
  </si>
  <si>
    <t>G C S Reddy</t>
  </si>
  <si>
    <t>C R Mishra</t>
  </si>
  <si>
    <t>S patra</t>
  </si>
  <si>
    <t>P K PATEL</t>
  </si>
  <si>
    <t>H N PATNAIK</t>
  </si>
  <si>
    <t>C S NAYAK</t>
  </si>
  <si>
    <t>P M SAHOO</t>
  </si>
  <si>
    <t>GOPALA RENASIA</t>
  </si>
  <si>
    <t>S K SWAIN</t>
  </si>
  <si>
    <t>R BADNAIK</t>
  </si>
  <si>
    <t>M M Chhati</t>
  </si>
  <si>
    <t>T K Beniya</t>
  </si>
  <si>
    <t>Deepak Kumar</t>
  </si>
  <si>
    <t>A N Khosla</t>
  </si>
  <si>
    <t>P TAKIRI</t>
  </si>
  <si>
    <t>S K JENA</t>
  </si>
  <si>
    <t>B K NAYAK</t>
  </si>
  <si>
    <t>A K PAIK</t>
  </si>
  <si>
    <t>Y PANGI</t>
  </si>
  <si>
    <t>PINTU JENA</t>
  </si>
  <si>
    <t>PRASANT KHORA</t>
  </si>
  <si>
    <t>A K NAYAK</t>
  </si>
  <si>
    <t>M HANSDAH</t>
  </si>
  <si>
    <t>ANANTA NAIK</t>
  </si>
  <si>
    <t>K R MALI</t>
  </si>
  <si>
    <t>C2895</t>
  </si>
  <si>
    <t>Gobardhan Gouda</t>
  </si>
  <si>
    <t>C2706</t>
  </si>
  <si>
    <t>Debendra Nayak</t>
  </si>
  <si>
    <t>C2896</t>
  </si>
  <si>
    <t>J Bisoi</t>
  </si>
  <si>
    <t>Ankit Singh</t>
  </si>
  <si>
    <t>J K Mohanta</t>
  </si>
  <si>
    <t>SUBASH OJHA</t>
  </si>
  <si>
    <t>S C JENA</t>
  </si>
  <si>
    <t>DULABHA NAG</t>
  </si>
  <si>
    <t>9843</t>
  </si>
  <si>
    <t>TRINATH MALI</t>
  </si>
  <si>
    <t>JAGDISH RAJU</t>
  </si>
  <si>
    <t>SURESH  HANTAL</t>
  </si>
  <si>
    <t>CHARCHILL CH. SI</t>
  </si>
  <si>
    <t>C2747</t>
  </si>
  <si>
    <t>H K Sahu</t>
  </si>
  <si>
    <t>C3585</t>
  </si>
  <si>
    <t>H C Nayak</t>
  </si>
  <si>
    <t>C2779</t>
  </si>
  <si>
    <t>H K Bisoi</t>
  </si>
  <si>
    <t>Sadan Gouda</t>
  </si>
  <si>
    <t>B Choudhry</t>
  </si>
  <si>
    <t>S K Mallick</t>
  </si>
  <si>
    <t>S K PANDA</t>
  </si>
  <si>
    <t>SABIR PRADHAN</t>
  </si>
  <si>
    <t>D K RAJU</t>
  </si>
  <si>
    <t>LABINA JANI</t>
  </si>
  <si>
    <t>Seikh Md. Moshin Mohd Hafij</t>
  </si>
  <si>
    <t>PRADYUMNA GIRI</t>
  </si>
  <si>
    <t>ROHIT LAKRA</t>
  </si>
  <si>
    <t>C2619</t>
  </si>
  <si>
    <t>K Saunta</t>
  </si>
  <si>
    <t>Laxman Pd</t>
  </si>
  <si>
    <t>C2897</t>
  </si>
  <si>
    <t>G K Behera</t>
  </si>
  <si>
    <t>C3578</t>
  </si>
  <si>
    <t>D Choudhury</t>
  </si>
  <si>
    <t>G Badnayak</t>
  </si>
  <si>
    <t>Ganesh parida</t>
  </si>
  <si>
    <t>S'KANTA SAHOO</t>
  </si>
  <si>
    <t>ABHIRAM MALI</t>
  </si>
  <si>
    <t>M S NAG</t>
  </si>
  <si>
    <t>9826</t>
  </si>
  <si>
    <t>LAXMAN GOUDA</t>
  </si>
  <si>
    <t>R GHADEI</t>
  </si>
  <si>
    <t>H K SAHU</t>
  </si>
  <si>
    <t>ANKIT DUBEY</t>
  </si>
  <si>
    <t>L Saunta</t>
  </si>
  <si>
    <t>J Katkariya</t>
  </si>
  <si>
    <t>Harish Dami</t>
  </si>
  <si>
    <t>M Kuldip</t>
  </si>
  <si>
    <t>Tankadhar Turuk</t>
  </si>
  <si>
    <t>S K Raju</t>
  </si>
  <si>
    <t>10668</t>
  </si>
  <si>
    <t>Jitendra Kumar Sahoo</t>
  </si>
  <si>
    <t>WS (773E) Training</t>
  </si>
  <si>
    <t>Sisir Tirkey</t>
  </si>
  <si>
    <t>P U LAKRA</t>
  </si>
  <si>
    <t>R Badnayak</t>
  </si>
  <si>
    <t>Type of Training</t>
  </si>
  <si>
    <t>Topic</t>
  </si>
  <si>
    <t>Location</t>
  </si>
  <si>
    <t>Total Days</t>
  </si>
  <si>
    <t>Manoj kumar Jani</t>
  </si>
  <si>
    <t>SERVICE TRAINING</t>
  </si>
  <si>
    <t>BH100 AND BH60ML</t>
  </si>
  <si>
    <t>Mysuru</t>
  </si>
  <si>
    <t>M K Cheety</t>
  </si>
  <si>
    <t>Prashant Khora</t>
  </si>
  <si>
    <t>Ashok kumar Nayak</t>
  </si>
  <si>
    <t>Praful Khora</t>
  </si>
  <si>
    <t>M S nag</t>
  </si>
  <si>
    <t>Bhajman kuldip</t>
  </si>
  <si>
    <t>9821</t>
  </si>
  <si>
    <t>Manu Mali</t>
  </si>
  <si>
    <t>MYSURU</t>
  </si>
  <si>
    <t>S S Pradhan</t>
  </si>
  <si>
    <t>Singru Santa</t>
  </si>
  <si>
    <t>Laxman Gouda</t>
  </si>
  <si>
    <t>S K mallick</t>
  </si>
  <si>
    <t>S  R Mohanty</t>
  </si>
  <si>
    <t>Abhishek Dutta</t>
  </si>
  <si>
    <t>Dullabh Nag</t>
  </si>
  <si>
    <t>Gopal Renasia</t>
  </si>
  <si>
    <t>WI Training</t>
  </si>
  <si>
    <t>Orientation Training Course on workmen Inspector</t>
  </si>
  <si>
    <t>Dhanbad</t>
  </si>
  <si>
    <t>S K Swain</t>
  </si>
  <si>
    <t>Suresh kumar Hantal</t>
  </si>
  <si>
    <t>Amresh Kr Sethy</t>
  </si>
  <si>
    <t>Ajit Kr. Bachhar</t>
  </si>
  <si>
    <t>M Hansdah</t>
  </si>
  <si>
    <t>Sameer Kumar Beniya</t>
  </si>
  <si>
    <t xml:space="preserve">Ripper- Dozer Komatsu </t>
  </si>
  <si>
    <t>KANCHIPURAM</t>
  </si>
  <si>
    <t>Binayaka Gour</t>
  </si>
  <si>
    <t>Md. Naushad Ansari</t>
  </si>
  <si>
    <t>A S Meena</t>
  </si>
  <si>
    <t>WHEEL LOADER (WA700-3 &amp; WA800 -3)</t>
  </si>
  <si>
    <t>J A Khan</t>
  </si>
  <si>
    <t>S K Barik</t>
  </si>
  <si>
    <t xml:space="preserve">ANIMON T </t>
  </si>
  <si>
    <t>I P Gomango</t>
  </si>
  <si>
    <t>K K Kuldip</t>
  </si>
  <si>
    <t>D K Kuldip</t>
  </si>
  <si>
    <t>P K Sahoo</t>
  </si>
  <si>
    <t>Singruli</t>
  </si>
  <si>
    <t>S Barik</t>
  </si>
  <si>
    <t>P Santa</t>
  </si>
  <si>
    <t>R K Nayak</t>
  </si>
  <si>
    <t>9038</t>
  </si>
  <si>
    <t>M R Rout</t>
  </si>
  <si>
    <t>Supervisor Statutory Training</t>
  </si>
  <si>
    <t>The OSHWC-2020</t>
  </si>
  <si>
    <t>Kolkata</t>
  </si>
  <si>
    <t>The OSHWC-2021</t>
  </si>
  <si>
    <t>S K Mohanty</t>
  </si>
  <si>
    <t>The OSHWC-2022</t>
  </si>
  <si>
    <t>Training Type</t>
  </si>
  <si>
    <t>Total Eligible</t>
  </si>
  <si>
    <t>Total Valid</t>
  </si>
  <si>
    <t>Total Due / Pending</t>
  </si>
  <si>
    <t>Compliance %</t>
  </si>
  <si>
    <t>Refresher</t>
  </si>
  <si>
    <t>First Aid</t>
  </si>
  <si>
    <t>Supervisor</t>
  </si>
  <si>
    <t>Refresher Due Year</t>
  </si>
  <si>
    <t>Employee Count</t>
  </si>
  <si>
    <t>No Data / Pending</t>
  </si>
  <si>
    <t>First aid (v)</t>
  </si>
  <si>
    <t>FIRST AID (L)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</si>
</sst>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19">
    <font>
      <sz val="11"/>
      <name val="Calibri"/>
      <scheme val="minor"/>
    </font>
    <font>
      <b/>
      <sz val="20"/>
      <color rgb="FF203764"/>
      <name val="Calibri"/>
    </font>
    <font>
      <b/>
      <u/>
      <sz val="14"/>
      <color rgb="FF000000"/>
      <name val="Calibri"/>
    </font>
    <font>
      <b/>
      <u/>
      <sz val="14"/>
      <color rgb="FF000000"/>
      <name val="Calibri"/>
    </font>
    <font>
      <b/>
      <u/>
      <sz val="14"/>
      <color rgb="FF000000"/>
      <name val="Calibri"/>
    </font>
    <font>
      <b/>
      <u/>
      <sz val="14"/>
      <color rgb="FF000000"/>
      <name val="Calibri"/>
    </font>
    <font>
      <b/>
      <u/>
      <sz val="14"/>
      <color rgb="FF000000"/>
      <name val="Calibri"/>
    </font>
    <font>
      <b/>
      <u/>
      <sz val="14"/>
      <color rgb="FF000000"/>
      <name val="Calibri"/>
    </font>
    <font>
      <b/>
      <u/>
      <sz val="14"/>
      <color rgb="FF000000"/>
      <name val="Calibri"/>
    </font>
    <font>
      <b/>
      <u/>
      <sz val="12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b/>
      <u/>
      <sz val="12"/>
      <color rgb="FF000000"/>
      <name val="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F79646"/>
        <bgColor rgb="FFF79646"/>
      </patternFill>
    </fill>
    <fill>
      <patternFill patternType="solid">
        <fgColor rgb="FF8064A2"/>
        <bgColor rgb="FF8064A2"/>
      </patternFill>
    </fill>
    <fill>
      <patternFill patternType="solid">
        <fgColor rgb="FF31859B"/>
        <bgColor rgb="FF31859B"/>
      </patternFill>
    </fill>
    <fill>
      <patternFill patternType="solid">
        <fgColor rgb="FFE36C09"/>
        <bgColor rgb="FFE36C09"/>
      </patternFill>
    </fill>
    <fill>
      <patternFill patternType="solid">
        <fgColor rgb="FF00B050"/>
        <bgColor rgb="FF00B050"/>
      </patternFill>
    </fill>
    <fill>
      <patternFill patternType="solid">
        <fgColor rgb="FF95B3D7"/>
        <bgColor rgb="FF95B3D7"/>
      </patternFill>
    </fill>
    <fill>
      <patternFill patternType="solid">
        <fgColor rgb="FFD99694"/>
        <bgColor rgb="FFD99694"/>
      </patternFill>
    </fill>
    <fill>
      <patternFill patternType="solid">
        <fgColor rgb="FFFCD5B4"/>
        <bgColor rgb="FFFCD5B4"/>
      </patternFill>
    </fill>
    <fill>
      <patternFill patternType="solid">
        <fgColor rgb="FFB2A2C7"/>
        <bgColor rgb="FFB2A2C7"/>
      </patternFill>
    </fill>
    <fill>
      <patternFill patternType="solid">
        <fgColor rgb="FF93CDDD"/>
        <bgColor rgb="FF93CDDD"/>
      </patternFill>
    </fill>
    <fill>
      <patternFill patternType="solid">
        <fgColor rgb="FF53D382"/>
        <bgColor rgb="FF53D38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rgb="FF95B3D7"/>
      </left>
      <right style="thick">
        <color rgb="FF243F60"/>
      </right>
      <top style="thick">
        <color rgb="FF95B3D7"/>
      </top>
      <bottom style="thick">
        <color rgb="FF243F60"/>
      </bottom>
      <diagonal/>
    </border>
    <border>
      <left style="thick">
        <color rgb="FFD99694"/>
      </left>
      <right style="thick">
        <color rgb="FF632523"/>
      </right>
      <top style="thick">
        <color rgb="FFD99694"/>
      </top>
      <bottom style="thick">
        <color rgb="FF632523"/>
      </bottom>
      <diagonal/>
    </border>
    <border>
      <left style="thick">
        <color rgb="FFFCD5B4"/>
      </left>
      <right style="thick">
        <color rgb="FF974806"/>
      </right>
      <top style="thick">
        <color rgb="FFFCD5B4"/>
      </top>
      <bottom style="thick">
        <color rgb="FF974806"/>
      </bottom>
      <diagonal/>
    </border>
    <border>
      <left style="thick">
        <color rgb="FFB2A2C7"/>
      </left>
      <right style="thick">
        <color rgb="FF3F3151"/>
      </right>
      <top style="thick">
        <color rgb="FFB2A2C7"/>
      </top>
      <bottom style="thick">
        <color rgb="FF3F3151"/>
      </bottom>
      <diagonal/>
    </border>
    <border>
      <left style="thick">
        <color rgb="FF93CDDD"/>
      </left>
      <right style="thick">
        <color rgb="FF215968"/>
      </right>
      <top style="thick">
        <color rgb="FF93CDDD"/>
      </top>
      <bottom style="thick">
        <color rgb="FF215968"/>
      </bottom>
      <diagonal/>
    </border>
    <border>
      <left style="thick">
        <color rgb="FF53D382"/>
      </left>
      <right style="thick">
        <color rgb="FF005929"/>
      </right>
      <top style="thick">
        <color rgb="FF53D382"/>
      </top>
      <bottom style="thick">
        <color rgb="FF0059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9" borderId="7" xfId="0" applyFont="1" applyFill="1" applyBorder="1"/>
    <xf numFmtId="164" fontId="11" fillId="0" borderId="0" xfId="0" applyNumberFormat="1" applyFont="1"/>
    <xf numFmtId="0" fontId="10" fillId="10" borderId="7" xfId="0" applyFont="1" applyFill="1" applyBorder="1"/>
    <xf numFmtId="0" fontId="12" fillId="4" borderId="3" xfId="0" applyFont="1" applyFill="1" applyBorder="1" applyAlignment="1">
      <alignment horizontal="center" vertical="center"/>
    </xf>
    <xf numFmtId="0" fontId="10" fillId="11" borderId="7" xfId="0" applyFont="1" applyFill="1" applyBorder="1"/>
    <xf numFmtId="0" fontId="13" fillId="5" borderId="4" xfId="0" applyFont="1" applyFill="1" applyBorder="1" applyAlignment="1">
      <alignment horizontal="center" vertical="center"/>
    </xf>
    <xf numFmtId="0" fontId="10" fillId="12" borderId="7" xfId="0" applyFont="1" applyFill="1" applyBorder="1"/>
    <xf numFmtId="0" fontId="14" fillId="6" borderId="5" xfId="0" applyFont="1" applyFill="1" applyBorder="1" applyAlignment="1">
      <alignment horizontal="center" vertical="center"/>
    </xf>
    <xf numFmtId="0" fontId="10" fillId="13" borderId="7" xfId="0" applyFont="1" applyFill="1" applyBorder="1"/>
    <xf numFmtId="0" fontId="15" fillId="7" borderId="3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0" fillId="14" borderId="7" xfId="0" applyFont="1" applyFill="1" applyBorder="1"/>
    <xf numFmtId="0" fontId="11" fillId="0" borderId="7" xfId="0" applyFont="1" applyBorder="1" applyAlignment="1">
      <alignment horizontal="center"/>
    </xf>
    <xf numFmtId="165" fontId="11" fillId="0" borderId="7" xfId="0" applyNumberFormat="1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9" fillId="3" borderId="2" xfId="0" applyFont="1" applyFill="1" applyBorder="1" applyAlignment="1">
      <alignment horizontal="center" vertical="center"/>
    </xf>
    <xf numFmtId="0" fontId="17" fillId="15" borderId="0" xfId="0" applyFont="1" applyFill="1" applyAlignment="1"/>
    <xf numFmtId="0" fontId="18" fillId="0" borderId="0" xfId="0" applyFont="1" applyAlignment="1"/>
    <xf numFmtId="0" fontId="0" fillId="0" borderId="0" xfId="0" applyFont="1" applyAlignment="1">
      <alignment horizontal="center"/>
    </xf>
    <xf numFmtId="0" fontId="10" fillId="10" borderId="7" xfId="0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82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Training Compliance Overview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Compliance Percentage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dLbls>
            <c:numFmt formatCode="0%" sourceLinked="0"/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Val val="1"/>
          </c:dLbls>
          <c:cat>
            <c:strRef>
              <c:f>Compliance!$A$5:$A$8</c:f>
              <c:strCache>
                <c:ptCount val="4"/>
                <c:pt idx="0">
                  <c:v>Refresher</c:v>
                </c:pt>
                <c:pt idx="1">
                  <c:v>First Aid</c:v>
                </c:pt>
                <c:pt idx="2">
                  <c:v>Fire Fighting</c:v>
                </c:pt>
                <c:pt idx="3">
                  <c:v>Supervisor</c:v>
                </c:pt>
              </c:strCache>
            </c:strRef>
          </c:cat>
          <c:val>
            <c:numRef>
              <c:f>Compliance!$E$5:$E$8</c:f>
              <c:numCache>
                <c:formatCode>0.0%</c:formatCode>
                <c:ptCount val="4"/>
                <c:pt idx="0">
                  <c:v>0.66447368421052633</c:v>
                </c:pt>
                <c:pt idx="1">
                  <c:v>0.67721518987341767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153797376"/>
        <c:axId val="153799296"/>
      </c:barChart>
      <c:catAx>
        <c:axId val="153797376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799296"/>
        <c:crosses val="autoZero"/>
        <c:lblAlgn val="ctr"/>
        <c:lblOffset val="100"/>
      </c:catAx>
      <c:valAx>
        <c:axId val="153799296"/>
        <c:scaling>
          <c:orientation val="minMax"/>
          <c:max val="1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1" i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layout/>
        </c:title>
        <c:numFmt formatCode="0.0%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797376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686425" cy="34575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I100"/>
  <sheetViews>
    <sheetView showGridLines="0" workbookViewId="0">
      <selection activeCell="E8" sqref="E8"/>
    </sheetView>
  </sheetViews>
  <sheetFormatPr defaultColWidth="14.42578125" defaultRowHeight="15" customHeight="1"/>
  <cols>
    <col min="1" max="2" width="8.7109375" customWidth="1"/>
    <col min="3" max="3" width="28.7109375" customWidth="1"/>
    <col min="4" max="4" width="8.7109375" customWidth="1"/>
    <col min="5" max="5" width="28.7109375" customWidth="1"/>
    <col min="6" max="6" width="8.7109375" customWidth="1"/>
    <col min="7" max="7" width="28.7109375" customWidth="1"/>
    <col min="8" max="8" width="8.7109375" customWidth="1"/>
    <col min="9" max="9" width="28.7109375" customWidth="1"/>
    <col min="10" max="11" width="8.7109375" customWidth="1"/>
  </cols>
  <sheetData>
    <row r="3" spans="3:9">
      <c r="C3" s="31" t="s">
        <v>0</v>
      </c>
      <c r="D3" s="32"/>
      <c r="E3" s="32"/>
      <c r="F3" s="32"/>
      <c r="G3" s="32"/>
    </row>
    <row r="4" spans="3:9" ht="15" customHeight="1">
      <c r="C4" s="32"/>
      <c r="D4" s="32"/>
      <c r="E4" s="32"/>
      <c r="F4" s="32"/>
      <c r="G4" s="32"/>
    </row>
    <row r="8" spans="3:9" ht="45" customHeight="1">
      <c r="C8" s="1" t="s">
        <v>1</v>
      </c>
      <c r="E8" s="2" t="s">
        <v>2</v>
      </c>
      <c r="G8" s="3" t="s">
        <v>3</v>
      </c>
      <c r="I8" s="4" t="s">
        <v>4</v>
      </c>
    </row>
    <row r="11" spans="3:9" ht="45" customHeight="1">
      <c r="C11" s="5" t="s">
        <v>5</v>
      </c>
      <c r="E11" s="6" t="s">
        <v>6</v>
      </c>
    </row>
    <row r="14" spans="3:9" ht="45" customHeight="1">
      <c r="E14" s="7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C3:G4"/>
  </mergeCells>
  <hyperlinks>
    <hyperlink ref="C8" location="Refresher!A1" display="Refresher Training"/>
    <hyperlink ref="E8" location="First_Aid!A1" display="First Aid Training"/>
    <hyperlink ref="G8" location="Fire_Fighting!A1" display="Fire Fighting"/>
    <hyperlink ref="I8" location="Supervisor!A1" display="Supervisor Training"/>
    <hyperlink ref="C11" location="OEM_Training!A1" display="OEM Training"/>
    <hyperlink ref="E11" location="Service_Training!A1" display="Service Training"/>
    <hyperlink ref="E14" location="Compliance!A1" display="Compliance Dashboard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7"/>
  <sheetViews>
    <sheetView workbookViewId="0"/>
  </sheetViews>
  <sheetFormatPr defaultColWidth="14.42578125" defaultRowHeight="15" customHeight="1"/>
  <cols>
    <col min="1" max="7" width="24.7109375" customWidth="1"/>
    <col min="8" max="11" width="8.7109375" customWidth="1"/>
  </cols>
  <sheetData>
    <row r="1" spans="1:7" ht="30" customHeight="1">
      <c r="A1" s="8" t="s">
        <v>8</v>
      </c>
    </row>
    <row r="3" spans="1:7" ht="24.75" customHeight="1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</row>
    <row r="4" spans="1:7">
      <c r="A4" t="s">
        <v>16</v>
      </c>
      <c r="B4" t="s">
        <v>17</v>
      </c>
      <c r="C4" t="s">
        <v>18</v>
      </c>
      <c r="D4" t="s">
        <v>19</v>
      </c>
      <c r="F4" s="10" t="str">
        <f t="shared" ref="F4:F307" si="0">IF(ISBLANK(E4), "", EDATE(E4, 60))</f>
        <v/>
      </c>
      <c r="G4" t="e">
        <f t="shared" ref="G4:G307" ca="1" si="1">IF(ISBLANK(F4), "", IF(TODAY()&gt;=EDATE(F4, -1), "Due", "Valid"))</f>
        <v>#VALUE!</v>
      </c>
    </row>
    <row r="5" spans="1:7">
      <c r="A5" t="s">
        <v>20</v>
      </c>
      <c r="B5" t="s">
        <v>21</v>
      </c>
      <c r="C5" t="s">
        <v>22</v>
      </c>
      <c r="D5" t="s">
        <v>19</v>
      </c>
      <c r="E5" s="10">
        <v>45292</v>
      </c>
      <c r="F5" s="10">
        <f t="shared" si="0"/>
        <v>47119</v>
      </c>
      <c r="G5" t="str">
        <f t="shared" ca="1" si="1"/>
        <v>Valid</v>
      </c>
    </row>
    <row r="6" spans="1:7">
      <c r="A6" t="s">
        <v>23</v>
      </c>
      <c r="B6" t="s">
        <v>24</v>
      </c>
      <c r="C6" t="s">
        <v>22</v>
      </c>
      <c r="D6" t="s">
        <v>19</v>
      </c>
      <c r="E6" s="10">
        <v>45292</v>
      </c>
      <c r="F6" s="10">
        <f t="shared" si="0"/>
        <v>47119</v>
      </c>
      <c r="G6" t="str">
        <f t="shared" ca="1" si="1"/>
        <v>Valid</v>
      </c>
    </row>
    <row r="7" spans="1:7">
      <c r="A7" t="s">
        <v>25</v>
      </c>
      <c r="B7" t="s">
        <v>26</v>
      </c>
      <c r="C7" t="s">
        <v>27</v>
      </c>
      <c r="D7" t="s">
        <v>19</v>
      </c>
      <c r="E7" s="10">
        <v>45292</v>
      </c>
      <c r="F7" s="10">
        <f t="shared" si="0"/>
        <v>47119</v>
      </c>
      <c r="G7" t="str">
        <f t="shared" ca="1" si="1"/>
        <v>Valid</v>
      </c>
    </row>
    <row r="8" spans="1:7">
      <c r="A8" t="s">
        <v>28</v>
      </c>
      <c r="B8" t="s">
        <v>29</v>
      </c>
      <c r="C8" t="s">
        <v>30</v>
      </c>
      <c r="D8" t="s">
        <v>31</v>
      </c>
      <c r="E8" s="10">
        <v>44562</v>
      </c>
      <c r="F8" s="10">
        <f t="shared" si="0"/>
        <v>46388</v>
      </c>
      <c r="G8" t="str">
        <f t="shared" ca="1" si="1"/>
        <v>Valid</v>
      </c>
    </row>
    <row r="9" spans="1:7">
      <c r="A9" t="s">
        <v>32</v>
      </c>
      <c r="B9" t="s">
        <v>33</v>
      </c>
      <c r="C9" t="s">
        <v>34</v>
      </c>
      <c r="D9" t="s">
        <v>35</v>
      </c>
      <c r="E9" s="10">
        <v>45658</v>
      </c>
      <c r="F9" s="10">
        <f t="shared" si="0"/>
        <v>47484</v>
      </c>
      <c r="G9" t="str">
        <f t="shared" ca="1" si="1"/>
        <v>Valid</v>
      </c>
    </row>
    <row r="10" spans="1:7">
      <c r="A10" t="s">
        <v>36</v>
      </c>
      <c r="B10" t="s">
        <v>37</v>
      </c>
      <c r="C10" t="s">
        <v>34</v>
      </c>
      <c r="D10" t="s">
        <v>35</v>
      </c>
      <c r="E10" s="10">
        <v>44927</v>
      </c>
      <c r="F10" s="10">
        <f t="shared" si="0"/>
        <v>46753</v>
      </c>
      <c r="G10" t="str">
        <f t="shared" ca="1" si="1"/>
        <v>Valid</v>
      </c>
    </row>
    <row r="11" spans="1:7">
      <c r="A11" t="s">
        <v>38</v>
      </c>
      <c r="B11" t="s">
        <v>39</v>
      </c>
      <c r="C11" t="s">
        <v>34</v>
      </c>
      <c r="D11" t="s">
        <v>35</v>
      </c>
      <c r="E11" s="10">
        <v>44562</v>
      </c>
      <c r="F11" s="10">
        <f t="shared" si="0"/>
        <v>46388</v>
      </c>
      <c r="G11" t="str">
        <f t="shared" ca="1" si="1"/>
        <v>Valid</v>
      </c>
    </row>
    <row r="12" spans="1:7">
      <c r="A12" t="s">
        <v>40</v>
      </c>
      <c r="B12" t="s">
        <v>41</v>
      </c>
      <c r="C12" t="s">
        <v>42</v>
      </c>
      <c r="D12" t="s">
        <v>43</v>
      </c>
      <c r="E12" s="10">
        <v>44927</v>
      </c>
      <c r="F12" s="10">
        <f t="shared" si="0"/>
        <v>46753</v>
      </c>
      <c r="G12" t="str">
        <f t="shared" ca="1" si="1"/>
        <v>Valid</v>
      </c>
    </row>
    <row r="13" spans="1:7">
      <c r="A13" t="s">
        <v>44</v>
      </c>
      <c r="B13" t="s">
        <v>45</v>
      </c>
      <c r="C13" t="s">
        <v>46</v>
      </c>
      <c r="D13" t="s">
        <v>35</v>
      </c>
      <c r="E13" s="10">
        <v>44501</v>
      </c>
      <c r="F13" s="10">
        <f t="shared" si="0"/>
        <v>46327</v>
      </c>
      <c r="G13" t="str">
        <f t="shared" ca="1" si="1"/>
        <v>Valid</v>
      </c>
    </row>
    <row r="14" spans="1:7">
      <c r="A14" t="s">
        <v>47</v>
      </c>
      <c r="B14" t="s">
        <v>48</v>
      </c>
      <c r="C14" t="s">
        <v>46</v>
      </c>
      <c r="D14" t="s">
        <v>35</v>
      </c>
      <c r="E14" s="10">
        <v>44531</v>
      </c>
      <c r="F14" s="10">
        <f t="shared" si="0"/>
        <v>46357</v>
      </c>
      <c r="G14" t="str">
        <f t="shared" ca="1" si="1"/>
        <v>Valid</v>
      </c>
    </row>
    <row r="15" spans="1:7">
      <c r="A15" t="s">
        <v>49</v>
      </c>
      <c r="B15" t="s">
        <v>50</v>
      </c>
      <c r="C15" t="s">
        <v>46</v>
      </c>
      <c r="D15" t="s">
        <v>35</v>
      </c>
      <c r="E15" s="10">
        <v>45658</v>
      </c>
      <c r="F15" s="10">
        <f t="shared" si="0"/>
        <v>47484</v>
      </c>
      <c r="G15" t="str">
        <f t="shared" ca="1" si="1"/>
        <v>Valid</v>
      </c>
    </row>
    <row r="16" spans="1:7">
      <c r="A16" t="s">
        <v>51</v>
      </c>
      <c r="B16" t="s">
        <v>52</v>
      </c>
      <c r="C16" t="s">
        <v>46</v>
      </c>
      <c r="D16" t="s">
        <v>35</v>
      </c>
      <c r="E16" s="10">
        <v>44470</v>
      </c>
      <c r="F16" s="10">
        <f t="shared" si="0"/>
        <v>46296</v>
      </c>
      <c r="G16" t="str">
        <f t="shared" ca="1" si="1"/>
        <v>Due</v>
      </c>
    </row>
    <row r="17" spans="1:7">
      <c r="A17" t="s">
        <v>53</v>
      </c>
      <c r="B17" t="s">
        <v>54</v>
      </c>
      <c r="C17" t="s">
        <v>46</v>
      </c>
      <c r="D17" t="s">
        <v>35</v>
      </c>
      <c r="E17" s="10">
        <v>44531</v>
      </c>
      <c r="F17" s="10">
        <f t="shared" si="0"/>
        <v>46357</v>
      </c>
      <c r="G17" t="str">
        <f t="shared" ca="1" si="1"/>
        <v>Valid</v>
      </c>
    </row>
    <row r="18" spans="1:7">
      <c r="A18" t="s">
        <v>55</v>
      </c>
      <c r="B18" t="s">
        <v>56</v>
      </c>
      <c r="C18" t="s">
        <v>46</v>
      </c>
      <c r="D18" t="s">
        <v>35</v>
      </c>
      <c r="E18" s="10">
        <v>44501</v>
      </c>
      <c r="F18" s="10">
        <f t="shared" si="0"/>
        <v>46327</v>
      </c>
      <c r="G18" t="str">
        <f t="shared" ca="1" si="1"/>
        <v>Valid</v>
      </c>
    </row>
    <row r="19" spans="1:7">
      <c r="A19" t="s">
        <v>57</v>
      </c>
      <c r="B19" t="s">
        <v>58</v>
      </c>
      <c r="C19" t="s">
        <v>46</v>
      </c>
      <c r="D19" t="s">
        <v>35</v>
      </c>
      <c r="E19" s="10">
        <v>44531</v>
      </c>
      <c r="F19" s="10">
        <f t="shared" si="0"/>
        <v>46357</v>
      </c>
      <c r="G19" t="str">
        <f t="shared" ca="1" si="1"/>
        <v>Valid</v>
      </c>
    </row>
    <row r="20" spans="1:7">
      <c r="A20" t="s">
        <v>59</v>
      </c>
      <c r="B20" t="s">
        <v>60</v>
      </c>
      <c r="C20" t="s">
        <v>46</v>
      </c>
      <c r="D20" t="s">
        <v>35</v>
      </c>
      <c r="E20" s="10">
        <v>44927</v>
      </c>
      <c r="F20" s="10">
        <f t="shared" si="0"/>
        <v>46753</v>
      </c>
      <c r="G20" t="str">
        <f t="shared" ca="1" si="1"/>
        <v>Valid</v>
      </c>
    </row>
    <row r="21" spans="1:7" ht="15.75" customHeight="1">
      <c r="A21" t="s">
        <v>61</v>
      </c>
      <c r="B21" t="s">
        <v>62</v>
      </c>
      <c r="C21" t="s">
        <v>46</v>
      </c>
      <c r="D21" t="s">
        <v>35</v>
      </c>
      <c r="E21" s="10">
        <v>44501</v>
      </c>
      <c r="F21" s="10">
        <f t="shared" si="0"/>
        <v>46327</v>
      </c>
      <c r="G21" t="str">
        <f t="shared" ca="1" si="1"/>
        <v>Valid</v>
      </c>
    </row>
    <row r="22" spans="1:7" ht="15.75" customHeight="1">
      <c r="A22" t="s">
        <v>63</v>
      </c>
      <c r="B22" t="s">
        <v>64</v>
      </c>
      <c r="C22" t="s">
        <v>46</v>
      </c>
      <c r="D22" t="s">
        <v>43</v>
      </c>
      <c r="E22" s="10">
        <v>45658</v>
      </c>
      <c r="F22" s="10">
        <f t="shared" si="0"/>
        <v>47484</v>
      </c>
      <c r="G22" t="str">
        <f t="shared" ca="1" si="1"/>
        <v>Valid</v>
      </c>
    </row>
    <row r="23" spans="1:7" ht="15.75" customHeight="1">
      <c r="A23" t="s">
        <v>65</v>
      </c>
      <c r="B23" t="s">
        <v>66</v>
      </c>
      <c r="C23" t="s">
        <v>46</v>
      </c>
      <c r="D23" t="s">
        <v>35</v>
      </c>
      <c r="E23" s="10">
        <v>45658</v>
      </c>
      <c r="F23" s="10">
        <f t="shared" si="0"/>
        <v>47484</v>
      </c>
      <c r="G23" t="str">
        <f t="shared" ca="1" si="1"/>
        <v>Valid</v>
      </c>
    </row>
    <row r="24" spans="1:7" ht="15.75" customHeight="1">
      <c r="A24" t="s">
        <v>67</v>
      </c>
      <c r="B24" t="s">
        <v>68</v>
      </c>
      <c r="C24" t="s">
        <v>46</v>
      </c>
      <c r="D24" t="s">
        <v>35</v>
      </c>
      <c r="E24" s="10">
        <v>44927</v>
      </c>
      <c r="F24" s="10">
        <f t="shared" si="0"/>
        <v>46753</v>
      </c>
      <c r="G24" t="str">
        <f t="shared" ca="1" si="1"/>
        <v>Valid</v>
      </c>
    </row>
    <row r="25" spans="1:7" ht="15.75" customHeight="1">
      <c r="A25" t="s">
        <v>69</v>
      </c>
      <c r="B25" t="s">
        <v>70</v>
      </c>
      <c r="C25" t="s">
        <v>71</v>
      </c>
      <c r="D25" t="s">
        <v>43</v>
      </c>
      <c r="E25" s="10">
        <v>44562</v>
      </c>
      <c r="F25" s="10">
        <f t="shared" si="0"/>
        <v>46388</v>
      </c>
      <c r="G25" t="str">
        <f t="shared" ca="1" si="1"/>
        <v>Valid</v>
      </c>
    </row>
    <row r="26" spans="1:7" ht="15.75" customHeight="1">
      <c r="A26" t="s">
        <v>72</v>
      </c>
      <c r="B26" t="s">
        <v>73</v>
      </c>
      <c r="C26" t="s">
        <v>74</v>
      </c>
      <c r="D26" t="s">
        <v>35</v>
      </c>
      <c r="F26" s="10" t="str">
        <f t="shared" si="0"/>
        <v/>
      </c>
      <c r="G26" t="e">
        <f t="shared" ca="1" si="1"/>
        <v>#VALUE!</v>
      </c>
    </row>
    <row r="27" spans="1:7" ht="15.75" customHeight="1">
      <c r="A27" t="s">
        <v>75</v>
      </c>
      <c r="B27" t="s">
        <v>76</v>
      </c>
      <c r="C27" t="s">
        <v>77</v>
      </c>
      <c r="D27" t="s">
        <v>35</v>
      </c>
      <c r="F27" s="10" t="str">
        <f t="shared" si="0"/>
        <v/>
      </c>
      <c r="G27" t="e">
        <f t="shared" ca="1" si="1"/>
        <v>#VALUE!</v>
      </c>
    </row>
    <row r="28" spans="1:7" ht="15.75" customHeight="1">
      <c r="A28" t="s">
        <v>78</v>
      </c>
      <c r="B28" t="s">
        <v>79</v>
      </c>
      <c r="C28" t="s">
        <v>77</v>
      </c>
      <c r="D28" t="s">
        <v>35</v>
      </c>
      <c r="F28" s="10" t="str">
        <f t="shared" si="0"/>
        <v/>
      </c>
      <c r="G28" t="e">
        <f t="shared" ca="1" si="1"/>
        <v>#VALUE!</v>
      </c>
    </row>
    <row r="29" spans="1:7" ht="15.75" customHeight="1">
      <c r="A29" t="s">
        <v>80</v>
      </c>
      <c r="B29" t="s">
        <v>81</v>
      </c>
      <c r="C29" t="s">
        <v>77</v>
      </c>
      <c r="D29" t="s">
        <v>35</v>
      </c>
      <c r="F29" s="10" t="str">
        <f t="shared" si="0"/>
        <v/>
      </c>
      <c r="G29" t="e">
        <f t="shared" ca="1" si="1"/>
        <v>#VALUE!</v>
      </c>
    </row>
    <row r="30" spans="1:7" ht="15.75" customHeight="1">
      <c r="A30" t="s">
        <v>82</v>
      </c>
      <c r="B30" t="s">
        <v>83</v>
      </c>
      <c r="C30" t="s">
        <v>77</v>
      </c>
      <c r="D30" t="s">
        <v>35</v>
      </c>
      <c r="F30" s="10" t="str">
        <f t="shared" si="0"/>
        <v/>
      </c>
      <c r="G30" t="e">
        <f t="shared" ca="1" si="1"/>
        <v>#VALUE!</v>
      </c>
    </row>
    <row r="31" spans="1:7" ht="15.75" customHeight="1">
      <c r="A31" t="s">
        <v>84</v>
      </c>
      <c r="B31" t="s">
        <v>85</v>
      </c>
      <c r="C31" t="s">
        <v>86</v>
      </c>
      <c r="D31" t="s">
        <v>35</v>
      </c>
      <c r="F31" s="10" t="str">
        <f t="shared" si="0"/>
        <v/>
      </c>
      <c r="G31" t="e">
        <f t="shared" ca="1" si="1"/>
        <v>#VALUE!</v>
      </c>
    </row>
    <row r="32" spans="1:7" ht="15.75" customHeight="1">
      <c r="A32" t="s">
        <v>87</v>
      </c>
      <c r="B32" t="s">
        <v>88</v>
      </c>
      <c r="C32" t="s">
        <v>89</v>
      </c>
      <c r="D32" t="s">
        <v>90</v>
      </c>
      <c r="F32" s="10" t="str">
        <f t="shared" si="0"/>
        <v/>
      </c>
      <c r="G32" t="e">
        <f t="shared" ca="1" si="1"/>
        <v>#VALUE!</v>
      </c>
    </row>
    <row r="33" spans="1:7" ht="15.75" customHeight="1">
      <c r="A33" t="s">
        <v>91</v>
      </c>
      <c r="B33" t="s">
        <v>92</v>
      </c>
      <c r="C33" t="s">
        <v>93</v>
      </c>
      <c r="D33" t="s">
        <v>94</v>
      </c>
      <c r="F33" s="10" t="str">
        <f t="shared" si="0"/>
        <v/>
      </c>
      <c r="G33" t="e">
        <f t="shared" ca="1" si="1"/>
        <v>#VALUE!</v>
      </c>
    </row>
    <row r="34" spans="1:7" ht="15.75" customHeight="1">
      <c r="A34" t="s">
        <v>95</v>
      </c>
      <c r="B34" t="s">
        <v>96</v>
      </c>
      <c r="C34" t="s">
        <v>97</v>
      </c>
      <c r="D34" t="s">
        <v>94</v>
      </c>
      <c r="F34" s="10" t="str">
        <f t="shared" si="0"/>
        <v/>
      </c>
      <c r="G34" t="e">
        <f t="shared" ca="1" si="1"/>
        <v>#VALUE!</v>
      </c>
    </row>
    <row r="35" spans="1:7" ht="15.75" customHeight="1">
      <c r="A35" t="s">
        <v>98</v>
      </c>
      <c r="B35" t="s">
        <v>99</v>
      </c>
      <c r="C35" t="s">
        <v>100</v>
      </c>
      <c r="D35" t="s">
        <v>94</v>
      </c>
      <c r="E35" s="10">
        <v>44927</v>
      </c>
      <c r="F35" s="10">
        <f t="shared" si="0"/>
        <v>46753</v>
      </c>
      <c r="G35" t="str">
        <f t="shared" ca="1" si="1"/>
        <v>Valid</v>
      </c>
    </row>
    <row r="36" spans="1:7" ht="15.75" customHeight="1">
      <c r="A36" t="s">
        <v>101</v>
      </c>
      <c r="B36" t="s">
        <v>102</v>
      </c>
      <c r="C36" t="s">
        <v>103</v>
      </c>
      <c r="D36" t="s">
        <v>94</v>
      </c>
      <c r="E36" s="10">
        <v>44927</v>
      </c>
      <c r="F36" s="10">
        <f t="shared" si="0"/>
        <v>46753</v>
      </c>
      <c r="G36" t="str">
        <f t="shared" ca="1" si="1"/>
        <v>Valid</v>
      </c>
    </row>
    <row r="37" spans="1:7" ht="15.75" customHeight="1">
      <c r="A37" t="s">
        <v>104</v>
      </c>
      <c r="B37" t="s">
        <v>105</v>
      </c>
      <c r="C37" t="s">
        <v>106</v>
      </c>
      <c r="D37" t="s">
        <v>94</v>
      </c>
      <c r="F37" s="10" t="str">
        <f t="shared" si="0"/>
        <v/>
      </c>
      <c r="G37" t="e">
        <f t="shared" ca="1" si="1"/>
        <v>#VALUE!</v>
      </c>
    </row>
    <row r="38" spans="1:7" ht="15.75" customHeight="1">
      <c r="A38" t="s">
        <v>107</v>
      </c>
      <c r="B38" t="s">
        <v>108</v>
      </c>
      <c r="C38" t="s">
        <v>109</v>
      </c>
      <c r="D38" t="s">
        <v>94</v>
      </c>
      <c r="F38" s="10" t="str">
        <f t="shared" si="0"/>
        <v/>
      </c>
      <c r="G38" t="e">
        <f t="shared" ca="1" si="1"/>
        <v>#VALUE!</v>
      </c>
    </row>
    <row r="39" spans="1:7" ht="15.75" customHeight="1">
      <c r="A39" t="s">
        <v>110</v>
      </c>
      <c r="B39" t="s">
        <v>111</v>
      </c>
      <c r="C39" t="s">
        <v>112</v>
      </c>
      <c r="D39" t="s">
        <v>94</v>
      </c>
      <c r="F39" s="10" t="str">
        <f t="shared" si="0"/>
        <v/>
      </c>
      <c r="G39" t="e">
        <f t="shared" ca="1" si="1"/>
        <v>#VALUE!</v>
      </c>
    </row>
    <row r="40" spans="1:7" ht="15.75" customHeight="1">
      <c r="A40" t="s">
        <v>113</v>
      </c>
      <c r="B40" t="s">
        <v>114</v>
      </c>
      <c r="C40" t="s">
        <v>18</v>
      </c>
      <c r="D40" t="s">
        <v>94</v>
      </c>
      <c r="E40" s="10">
        <v>45292</v>
      </c>
      <c r="F40" s="10">
        <f t="shared" si="0"/>
        <v>47119</v>
      </c>
      <c r="G40" t="str">
        <f t="shared" ca="1" si="1"/>
        <v>Valid</v>
      </c>
    </row>
    <row r="41" spans="1:7" ht="15.75" customHeight="1">
      <c r="A41" t="s">
        <v>115</v>
      </c>
      <c r="B41" t="s">
        <v>116</v>
      </c>
      <c r="C41" t="s">
        <v>117</v>
      </c>
      <c r="D41" t="s">
        <v>94</v>
      </c>
      <c r="F41" s="10" t="str">
        <f t="shared" si="0"/>
        <v/>
      </c>
      <c r="G41" t="e">
        <f t="shared" ca="1" si="1"/>
        <v>#VALUE!</v>
      </c>
    </row>
    <row r="42" spans="1:7" ht="15.75" customHeight="1">
      <c r="A42" t="s">
        <v>118</v>
      </c>
      <c r="B42" t="s">
        <v>119</v>
      </c>
      <c r="C42" t="s">
        <v>117</v>
      </c>
      <c r="D42" t="s">
        <v>94</v>
      </c>
      <c r="F42" s="10" t="str">
        <f t="shared" si="0"/>
        <v/>
      </c>
      <c r="G42" t="e">
        <f t="shared" ca="1" si="1"/>
        <v>#VALUE!</v>
      </c>
    </row>
    <row r="43" spans="1:7" ht="15.75" customHeight="1">
      <c r="A43" t="s">
        <v>120</v>
      </c>
      <c r="B43" t="s">
        <v>121</v>
      </c>
      <c r="C43" t="s">
        <v>117</v>
      </c>
      <c r="D43" t="s">
        <v>94</v>
      </c>
      <c r="F43" s="10" t="str">
        <f t="shared" si="0"/>
        <v/>
      </c>
      <c r="G43" t="e">
        <f t="shared" ca="1" si="1"/>
        <v>#VALUE!</v>
      </c>
    </row>
    <row r="44" spans="1:7" ht="15.75" customHeight="1">
      <c r="A44" t="s">
        <v>122</v>
      </c>
      <c r="B44" t="s">
        <v>123</v>
      </c>
      <c r="C44" t="s">
        <v>117</v>
      </c>
      <c r="D44" t="s">
        <v>94</v>
      </c>
      <c r="F44" s="10" t="str">
        <f t="shared" si="0"/>
        <v/>
      </c>
      <c r="G44" t="e">
        <f t="shared" ca="1" si="1"/>
        <v>#VALUE!</v>
      </c>
    </row>
    <row r="45" spans="1:7" ht="15.75" customHeight="1">
      <c r="A45" t="s">
        <v>124</v>
      </c>
      <c r="B45" t="s">
        <v>125</v>
      </c>
      <c r="C45" t="s">
        <v>46</v>
      </c>
      <c r="D45" t="s">
        <v>19</v>
      </c>
      <c r="E45" s="10">
        <v>44409</v>
      </c>
      <c r="F45" s="10">
        <f t="shared" si="0"/>
        <v>46235</v>
      </c>
      <c r="G45" t="str">
        <f t="shared" ca="1" si="1"/>
        <v>Due</v>
      </c>
    </row>
    <row r="46" spans="1:7" ht="15.75" customHeight="1">
      <c r="A46" t="s">
        <v>126</v>
      </c>
      <c r="B46" t="s">
        <v>127</v>
      </c>
      <c r="C46" t="s">
        <v>71</v>
      </c>
      <c r="D46" t="s">
        <v>19</v>
      </c>
      <c r="E46" s="10">
        <v>44562</v>
      </c>
      <c r="F46" s="10">
        <f t="shared" si="0"/>
        <v>46388</v>
      </c>
      <c r="G46" t="str">
        <f t="shared" ca="1" si="1"/>
        <v>Valid</v>
      </c>
    </row>
    <row r="47" spans="1:7" ht="15.75" customHeight="1">
      <c r="A47" t="s">
        <v>128</v>
      </c>
      <c r="B47" t="s">
        <v>129</v>
      </c>
      <c r="C47" t="s">
        <v>130</v>
      </c>
      <c r="D47" t="s">
        <v>19</v>
      </c>
      <c r="F47" s="10" t="str">
        <f t="shared" si="0"/>
        <v/>
      </c>
      <c r="G47" t="e">
        <f t="shared" ca="1" si="1"/>
        <v>#VALUE!</v>
      </c>
    </row>
    <row r="48" spans="1:7" ht="15.75" customHeight="1">
      <c r="A48" t="s">
        <v>131</v>
      </c>
      <c r="B48" t="s">
        <v>132</v>
      </c>
      <c r="C48" t="s">
        <v>18</v>
      </c>
      <c r="D48" t="s">
        <v>133</v>
      </c>
      <c r="F48" s="10" t="str">
        <f t="shared" si="0"/>
        <v/>
      </c>
      <c r="G48" t="e">
        <f t="shared" ca="1" si="1"/>
        <v>#VALUE!</v>
      </c>
    </row>
    <row r="49" spans="1:7" ht="15.75" customHeight="1">
      <c r="A49" t="s">
        <v>134</v>
      </c>
      <c r="B49" t="s">
        <v>135</v>
      </c>
      <c r="C49" t="s">
        <v>18</v>
      </c>
      <c r="D49" t="s">
        <v>19</v>
      </c>
      <c r="F49" s="10" t="str">
        <f t="shared" si="0"/>
        <v/>
      </c>
      <c r="G49" t="e">
        <f t="shared" ca="1" si="1"/>
        <v>#VALUE!</v>
      </c>
    </row>
    <row r="50" spans="1:7" ht="15.75" customHeight="1">
      <c r="A50" t="s">
        <v>136</v>
      </c>
      <c r="B50" t="s">
        <v>137</v>
      </c>
      <c r="C50" t="s">
        <v>130</v>
      </c>
      <c r="D50" t="s">
        <v>138</v>
      </c>
      <c r="E50" s="10">
        <v>44562</v>
      </c>
      <c r="F50" s="10">
        <f t="shared" si="0"/>
        <v>46388</v>
      </c>
      <c r="G50" t="str">
        <f t="shared" ca="1" si="1"/>
        <v>Valid</v>
      </c>
    </row>
    <row r="51" spans="1:7" ht="15.75" customHeight="1">
      <c r="A51" t="s">
        <v>139</v>
      </c>
      <c r="B51" t="s">
        <v>140</v>
      </c>
      <c r="C51" t="s">
        <v>100</v>
      </c>
      <c r="D51" t="s">
        <v>138</v>
      </c>
      <c r="F51" s="10" t="str">
        <f t="shared" si="0"/>
        <v/>
      </c>
      <c r="G51" t="e">
        <f t="shared" ca="1" si="1"/>
        <v>#VALUE!</v>
      </c>
    </row>
    <row r="52" spans="1:7" ht="15.75" customHeight="1">
      <c r="A52" t="s">
        <v>141</v>
      </c>
      <c r="B52" t="s">
        <v>142</v>
      </c>
      <c r="C52" t="s">
        <v>143</v>
      </c>
      <c r="D52" t="s">
        <v>138</v>
      </c>
      <c r="E52" s="10">
        <v>44470</v>
      </c>
      <c r="F52" s="10">
        <f t="shared" si="0"/>
        <v>46296</v>
      </c>
      <c r="G52" t="str">
        <f t="shared" ca="1" si="1"/>
        <v>Due</v>
      </c>
    </row>
    <row r="53" spans="1:7" ht="15.75" customHeight="1">
      <c r="A53" t="s">
        <v>144</v>
      </c>
      <c r="B53" t="s">
        <v>145</v>
      </c>
      <c r="C53" t="s">
        <v>146</v>
      </c>
      <c r="D53" t="s">
        <v>138</v>
      </c>
      <c r="E53" s="10">
        <v>44562</v>
      </c>
      <c r="F53" s="10">
        <f t="shared" si="0"/>
        <v>46388</v>
      </c>
      <c r="G53" t="str">
        <f t="shared" ca="1" si="1"/>
        <v>Valid</v>
      </c>
    </row>
    <row r="54" spans="1:7" ht="15.75" customHeight="1">
      <c r="A54" t="s">
        <v>147</v>
      </c>
      <c r="B54" t="s">
        <v>148</v>
      </c>
      <c r="C54" t="s">
        <v>89</v>
      </c>
      <c r="D54" t="s">
        <v>138</v>
      </c>
      <c r="E54" s="10">
        <v>45658</v>
      </c>
      <c r="F54" s="10">
        <f t="shared" si="0"/>
        <v>47484</v>
      </c>
      <c r="G54" t="str">
        <f t="shared" ca="1" si="1"/>
        <v>Valid</v>
      </c>
    </row>
    <row r="55" spans="1:7" ht="15.75" customHeight="1">
      <c r="A55" t="s">
        <v>149</v>
      </c>
      <c r="B55" t="s">
        <v>150</v>
      </c>
      <c r="C55" t="s">
        <v>151</v>
      </c>
      <c r="D55" t="s">
        <v>138</v>
      </c>
      <c r="F55" s="10" t="str">
        <f t="shared" si="0"/>
        <v/>
      </c>
      <c r="G55" t="e">
        <f t="shared" ca="1" si="1"/>
        <v>#VALUE!</v>
      </c>
    </row>
    <row r="56" spans="1:7" ht="15.75" customHeight="1">
      <c r="A56" t="s">
        <v>152</v>
      </c>
      <c r="B56" t="s">
        <v>153</v>
      </c>
      <c r="C56" t="s">
        <v>151</v>
      </c>
      <c r="D56" t="s">
        <v>138</v>
      </c>
      <c r="F56" s="10" t="str">
        <f t="shared" si="0"/>
        <v/>
      </c>
      <c r="G56" t="e">
        <f t="shared" ca="1" si="1"/>
        <v>#VALUE!</v>
      </c>
    </row>
    <row r="57" spans="1:7" ht="15.75" customHeight="1">
      <c r="A57" t="s">
        <v>154</v>
      </c>
      <c r="B57" t="s">
        <v>155</v>
      </c>
      <c r="C57" t="s">
        <v>86</v>
      </c>
      <c r="D57" t="s">
        <v>138</v>
      </c>
      <c r="F57" s="10" t="str">
        <f t="shared" si="0"/>
        <v/>
      </c>
      <c r="G57" t="e">
        <f t="shared" ca="1" si="1"/>
        <v>#VALUE!</v>
      </c>
    </row>
    <row r="58" spans="1:7" ht="15.75" customHeight="1">
      <c r="A58" t="s">
        <v>156</v>
      </c>
      <c r="B58" t="s">
        <v>157</v>
      </c>
      <c r="C58" t="s">
        <v>158</v>
      </c>
      <c r="D58" t="s">
        <v>159</v>
      </c>
      <c r="E58" s="10">
        <v>44562</v>
      </c>
      <c r="F58" s="10">
        <f t="shared" si="0"/>
        <v>46388</v>
      </c>
      <c r="G58" t="str">
        <f t="shared" ca="1" si="1"/>
        <v>Valid</v>
      </c>
    </row>
    <row r="59" spans="1:7" ht="15.75" customHeight="1">
      <c r="A59" t="s">
        <v>160</v>
      </c>
      <c r="B59" t="s">
        <v>161</v>
      </c>
      <c r="C59" t="s">
        <v>162</v>
      </c>
      <c r="D59" t="s">
        <v>159</v>
      </c>
      <c r="E59" s="10">
        <v>44470</v>
      </c>
      <c r="F59" s="10">
        <f t="shared" si="0"/>
        <v>46296</v>
      </c>
      <c r="G59" t="str">
        <f t="shared" ca="1" si="1"/>
        <v>Due</v>
      </c>
    </row>
    <row r="60" spans="1:7" ht="15.75" customHeight="1">
      <c r="A60" t="s">
        <v>163</v>
      </c>
      <c r="B60" t="s">
        <v>164</v>
      </c>
      <c r="C60" t="s">
        <v>162</v>
      </c>
      <c r="D60" t="s">
        <v>159</v>
      </c>
      <c r="E60" s="10">
        <v>44562</v>
      </c>
      <c r="F60" s="10">
        <f t="shared" si="0"/>
        <v>46388</v>
      </c>
      <c r="G60" t="str">
        <f t="shared" ca="1" si="1"/>
        <v>Valid</v>
      </c>
    </row>
    <row r="61" spans="1:7" ht="15.75" customHeight="1">
      <c r="A61" t="s">
        <v>165</v>
      </c>
      <c r="B61" t="s">
        <v>166</v>
      </c>
      <c r="C61" t="s">
        <v>46</v>
      </c>
      <c r="D61" t="s">
        <v>159</v>
      </c>
      <c r="E61" s="10">
        <v>44531</v>
      </c>
      <c r="F61" s="10">
        <f t="shared" si="0"/>
        <v>46357</v>
      </c>
      <c r="G61" t="str">
        <f t="shared" ca="1" si="1"/>
        <v>Valid</v>
      </c>
    </row>
    <row r="62" spans="1:7" ht="15.75" customHeight="1">
      <c r="A62" t="s">
        <v>167</v>
      </c>
      <c r="B62" t="s">
        <v>168</v>
      </c>
      <c r="C62" t="s">
        <v>46</v>
      </c>
      <c r="D62" t="s">
        <v>159</v>
      </c>
      <c r="E62" s="10">
        <v>44409</v>
      </c>
      <c r="F62" s="10">
        <f t="shared" si="0"/>
        <v>46235</v>
      </c>
      <c r="G62" t="str">
        <f t="shared" ca="1" si="1"/>
        <v>Due</v>
      </c>
    </row>
    <row r="63" spans="1:7" ht="15.75" customHeight="1">
      <c r="A63" t="s">
        <v>169</v>
      </c>
      <c r="B63" t="s">
        <v>170</v>
      </c>
      <c r="C63" t="s">
        <v>146</v>
      </c>
      <c r="D63" t="s">
        <v>159</v>
      </c>
      <c r="E63" s="10">
        <v>44927</v>
      </c>
      <c r="F63" s="10">
        <f t="shared" si="0"/>
        <v>46753</v>
      </c>
      <c r="G63" t="str">
        <f t="shared" ca="1" si="1"/>
        <v>Valid</v>
      </c>
    </row>
    <row r="64" spans="1:7" ht="15.75" customHeight="1">
      <c r="A64" t="s">
        <v>171</v>
      </c>
      <c r="B64" t="s">
        <v>172</v>
      </c>
      <c r="C64" t="s">
        <v>146</v>
      </c>
      <c r="D64" t="s">
        <v>159</v>
      </c>
      <c r="E64" s="10">
        <v>45292</v>
      </c>
      <c r="F64" s="10">
        <f t="shared" si="0"/>
        <v>47119</v>
      </c>
      <c r="G64" t="str">
        <f t="shared" ca="1" si="1"/>
        <v>Valid</v>
      </c>
    </row>
    <row r="65" spans="1:7" ht="15.75" customHeight="1">
      <c r="A65" t="s">
        <v>173</v>
      </c>
      <c r="B65" t="s">
        <v>174</v>
      </c>
      <c r="C65" t="s">
        <v>175</v>
      </c>
      <c r="D65" t="s">
        <v>159</v>
      </c>
      <c r="E65" s="10">
        <v>45292</v>
      </c>
      <c r="F65" s="10">
        <f t="shared" si="0"/>
        <v>47119</v>
      </c>
      <c r="G65" t="str">
        <f t="shared" ca="1" si="1"/>
        <v>Valid</v>
      </c>
    </row>
    <row r="66" spans="1:7" ht="15.75" customHeight="1">
      <c r="A66" t="s">
        <v>176</v>
      </c>
      <c r="B66" t="s">
        <v>177</v>
      </c>
      <c r="C66" t="s">
        <v>178</v>
      </c>
      <c r="D66" t="s">
        <v>159</v>
      </c>
      <c r="E66" s="10">
        <v>44927</v>
      </c>
      <c r="F66" s="10">
        <f t="shared" si="0"/>
        <v>46753</v>
      </c>
      <c r="G66" t="str">
        <f t="shared" ca="1" si="1"/>
        <v>Valid</v>
      </c>
    </row>
    <row r="67" spans="1:7" ht="15.75" customHeight="1">
      <c r="A67" t="s">
        <v>179</v>
      </c>
      <c r="B67" t="s">
        <v>180</v>
      </c>
      <c r="C67" t="s">
        <v>181</v>
      </c>
      <c r="D67" t="s">
        <v>159</v>
      </c>
      <c r="F67" s="10" t="str">
        <f t="shared" si="0"/>
        <v/>
      </c>
      <c r="G67" t="e">
        <f t="shared" ca="1" si="1"/>
        <v>#VALUE!</v>
      </c>
    </row>
    <row r="68" spans="1:7" ht="15.75" customHeight="1">
      <c r="A68" t="s">
        <v>182</v>
      </c>
      <c r="B68" t="s">
        <v>183</v>
      </c>
      <c r="C68" t="s">
        <v>184</v>
      </c>
      <c r="D68" t="s">
        <v>159</v>
      </c>
      <c r="E68" s="10">
        <v>44470</v>
      </c>
      <c r="F68" s="10">
        <f t="shared" si="0"/>
        <v>46296</v>
      </c>
      <c r="G68" t="str">
        <f t="shared" ca="1" si="1"/>
        <v>Due</v>
      </c>
    </row>
    <row r="69" spans="1:7" ht="15.75" customHeight="1">
      <c r="A69" t="s">
        <v>185</v>
      </c>
      <c r="B69" t="s">
        <v>186</v>
      </c>
      <c r="C69" t="s">
        <v>184</v>
      </c>
      <c r="D69" t="s">
        <v>159</v>
      </c>
      <c r="E69" s="10">
        <v>44562</v>
      </c>
      <c r="F69" s="10">
        <f t="shared" si="0"/>
        <v>46388</v>
      </c>
      <c r="G69" t="str">
        <f t="shared" ca="1" si="1"/>
        <v>Valid</v>
      </c>
    </row>
    <row r="70" spans="1:7" ht="15.75" customHeight="1">
      <c r="A70" t="s">
        <v>187</v>
      </c>
      <c r="B70" t="s">
        <v>188</v>
      </c>
      <c r="C70" t="s">
        <v>46</v>
      </c>
      <c r="D70" t="s">
        <v>159</v>
      </c>
      <c r="E70" s="10">
        <v>44531</v>
      </c>
      <c r="F70" s="10">
        <f t="shared" si="0"/>
        <v>46357</v>
      </c>
      <c r="G70" t="str">
        <f t="shared" ca="1" si="1"/>
        <v>Valid</v>
      </c>
    </row>
    <row r="71" spans="1:7" ht="15.75" customHeight="1">
      <c r="A71" t="s">
        <v>189</v>
      </c>
      <c r="B71" t="s">
        <v>190</v>
      </c>
      <c r="C71" t="s">
        <v>46</v>
      </c>
      <c r="D71" t="s">
        <v>159</v>
      </c>
      <c r="E71" s="10">
        <v>45658</v>
      </c>
      <c r="F71" s="10">
        <f t="shared" si="0"/>
        <v>47484</v>
      </c>
      <c r="G71" t="str">
        <f t="shared" ca="1" si="1"/>
        <v>Valid</v>
      </c>
    </row>
    <row r="72" spans="1:7" ht="15.75" customHeight="1">
      <c r="A72" t="s">
        <v>191</v>
      </c>
      <c r="B72" t="s">
        <v>192</v>
      </c>
      <c r="C72" t="s">
        <v>46</v>
      </c>
      <c r="D72" t="s">
        <v>159</v>
      </c>
      <c r="E72" s="10">
        <v>44531</v>
      </c>
      <c r="F72" s="10">
        <f t="shared" si="0"/>
        <v>46357</v>
      </c>
      <c r="G72" t="str">
        <f t="shared" ca="1" si="1"/>
        <v>Valid</v>
      </c>
    </row>
    <row r="73" spans="1:7" ht="15.75" customHeight="1">
      <c r="A73" t="s">
        <v>193</v>
      </c>
      <c r="B73" t="s">
        <v>194</v>
      </c>
      <c r="C73" t="s">
        <v>46</v>
      </c>
      <c r="D73" t="s">
        <v>159</v>
      </c>
      <c r="E73" s="10">
        <v>44531</v>
      </c>
      <c r="F73" s="10">
        <f t="shared" si="0"/>
        <v>46357</v>
      </c>
      <c r="G73" t="str">
        <f t="shared" ca="1" si="1"/>
        <v>Valid</v>
      </c>
    </row>
    <row r="74" spans="1:7" ht="15.75" customHeight="1">
      <c r="A74" t="s">
        <v>195</v>
      </c>
      <c r="B74" t="s">
        <v>196</v>
      </c>
      <c r="C74" t="s">
        <v>46</v>
      </c>
      <c r="D74" t="s">
        <v>159</v>
      </c>
      <c r="E74" s="10">
        <v>44531</v>
      </c>
      <c r="F74" s="10">
        <f t="shared" si="0"/>
        <v>46357</v>
      </c>
      <c r="G74" t="str">
        <f t="shared" ca="1" si="1"/>
        <v>Valid</v>
      </c>
    </row>
    <row r="75" spans="1:7" ht="15.75" customHeight="1">
      <c r="A75" t="s">
        <v>197</v>
      </c>
      <c r="B75" t="s">
        <v>198</v>
      </c>
      <c r="C75" t="s">
        <v>46</v>
      </c>
      <c r="D75" t="s">
        <v>159</v>
      </c>
      <c r="E75" s="10">
        <v>44562</v>
      </c>
      <c r="F75" s="10">
        <f t="shared" si="0"/>
        <v>46388</v>
      </c>
      <c r="G75" t="str">
        <f t="shared" ca="1" si="1"/>
        <v>Valid</v>
      </c>
    </row>
    <row r="76" spans="1:7" ht="15.75" customHeight="1">
      <c r="A76" t="s">
        <v>199</v>
      </c>
      <c r="B76" t="s">
        <v>200</v>
      </c>
      <c r="C76" t="s">
        <v>46</v>
      </c>
      <c r="D76" t="s">
        <v>159</v>
      </c>
      <c r="E76" s="10">
        <v>44562</v>
      </c>
      <c r="F76" s="10">
        <f t="shared" si="0"/>
        <v>46388</v>
      </c>
      <c r="G76" t="str">
        <f t="shared" ca="1" si="1"/>
        <v>Valid</v>
      </c>
    </row>
    <row r="77" spans="1:7" ht="15.75" customHeight="1">
      <c r="A77" t="s">
        <v>201</v>
      </c>
      <c r="B77" t="s">
        <v>202</v>
      </c>
      <c r="C77" t="s">
        <v>46</v>
      </c>
      <c r="D77" t="s">
        <v>159</v>
      </c>
      <c r="E77" s="10">
        <v>44409</v>
      </c>
      <c r="F77" s="10">
        <f t="shared" si="0"/>
        <v>46235</v>
      </c>
      <c r="G77" t="str">
        <f t="shared" ca="1" si="1"/>
        <v>Due</v>
      </c>
    </row>
    <row r="78" spans="1:7" ht="15.75" customHeight="1">
      <c r="A78" t="s">
        <v>203</v>
      </c>
      <c r="B78" t="s">
        <v>204</v>
      </c>
      <c r="C78" t="s">
        <v>46</v>
      </c>
      <c r="D78" t="s">
        <v>159</v>
      </c>
      <c r="E78" s="10">
        <v>44501</v>
      </c>
      <c r="F78" s="10">
        <f t="shared" si="0"/>
        <v>46327</v>
      </c>
      <c r="G78" t="str">
        <f t="shared" ca="1" si="1"/>
        <v>Valid</v>
      </c>
    </row>
    <row r="79" spans="1:7" ht="15.75" customHeight="1">
      <c r="A79" t="s">
        <v>205</v>
      </c>
      <c r="B79" t="s">
        <v>206</v>
      </c>
      <c r="C79" t="s">
        <v>46</v>
      </c>
      <c r="D79" t="s">
        <v>159</v>
      </c>
      <c r="E79" s="10">
        <v>44409</v>
      </c>
      <c r="F79" s="10">
        <f t="shared" si="0"/>
        <v>46235</v>
      </c>
      <c r="G79" t="str">
        <f t="shared" ca="1" si="1"/>
        <v>Due</v>
      </c>
    </row>
    <row r="80" spans="1:7" ht="15.75" customHeight="1">
      <c r="A80" t="s">
        <v>207</v>
      </c>
      <c r="B80" t="s">
        <v>208</v>
      </c>
      <c r="C80" t="s">
        <v>46</v>
      </c>
      <c r="D80" t="s">
        <v>159</v>
      </c>
      <c r="E80" s="10">
        <v>44562</v>
      </c>
      <c r="F80" s="10">
        <f t="shared" si="0"/>
        <v>46388</v>
      </c>
      <c r="G80" t="str">
        <f t="shared" ca="1" si="1"/>
        <v>Valid</v>
      </c>
    </row>
    <row r="81" spans="1:7" ht="15.75" customHeight="1">
      <c r="A81" t="s">
        <v>209</v>
      </c>
      <c r="B81" t="s">
        <v>210</v>
      </c>
      <c r="C81" t="s">
        <v>46</v>
      </c>
      <c r="D81" t="s">
        <v>159</v>
      </c>
      <c r="E81" s="10">
        <v>44470</v>
      </c>
      <c r="F81" s="10">
        <f t="shared" si="0"/>
        <v>46296</v>
      </c>
      <c r="G81" t="str">
        <f t="shared" ca="1" si="1"/>
        <v>Due</v>
      </c>
    </row>
    <row r="82" spans="1:7" ht="15.75" customHeight="1">
      <c r="A82" t="s">
        <v>211</v>
      </c>
      <c r="B82" t="s">
        <v>212</v>
      </c>
      <c r="C82" t="s">
        <v>46</v>
      </c>
      <c r="D82" t="s">
        <v>159</v>
      </c>
      <c r="E82" s="10">
        <v>44470</v>
      </c>
      <c r="F82" s="10">
        <f t="shared" si="0"/>
        <v>46296</v>
      </c>
      <c r="G82" t="str">
        <f t="shared" ca="1" si="1"/>
        <v>Due</v>
      </c>
    </row>
    <row r="83" spans="1:7" ht="15.75" customHeight="1">
      <c r="A83" t="s">
        <v>213</v>
      </c>
      <c r="B83" t="s">
        <v>214</v>
      </c>
      <c r="C83" t="s">
        <v>46</v>
      </c>
      <c r="D83" t="s">
        <v>159</v>
      </c>
      <c r="E83" s="10">
        <v>45658</v>
      </c>
      <c r="F83" s="10">
        <f t="shared" si="0"/>
        <v>47484</v>
      </c>
      <c r="G83" t="str">
        <f t="shared" ca="1" si="1"/>
        <v>Valid</v>
      </c>
    </row>
    <row r="84" spans="1:7" ht="15.75" customHeight="1">
      <c r="A84" t="s">
        <v>215</v>
      </c>
      <c r="B84" t="s">
        <v>216</v>
      </c>
      <c r="C84" t="s">
        <v>46</v>
      </c>
      <c r="D84" t="s">
        <v>159</v>
      </c>
      <c r="E84" s="10">
        <v>44501</v>
      </c>
      <c r="F84" s="10">
        <f t="shared" si="0"/>
        <v>46327</v>
      </c>
      <c r="G84" t="str">
        <f t="shared" ca="1" si="1"/>
        <v>Valid</v>
      </c>
    </row>
    <row r="85" spans="1:7" ht="15.75" customHeight="1">
      <c r="A85" t="s">
        <v>217</v>
      </c>
      <c r="B85" t="s">
        <v>218</v>
      </c>
      <c r="C85" t="s">
        <v>46</v>
      </c>
      <c r="D85" t="s">
        <v>159</v>
      </c>
      <c r="E85" s="10">
        <v>44562</v>
      </c>
      <c r="F85" s="10">
        <f t="shared" si="0"/>
        <v>46388</v>
      </c>
      <c r="G85" t="str">
        <f t="shared" ca="1" si="1"/>
        <v>Valid</v>
      </c>
    </row>
    <row r="86" spans="1:7" ht="15.75" customHeight="1">
      <c r="A86" t="s">
        <v>219</v>
      </c>
      <c r="B86" t="s">
        <v>220</v>
      </c>
      <c r="C86" t="s">
        <v>46</v>
      </c>
      <c r="D86" t="s">
        <v>159</v>
      </c>
      <c r="E86" s="10">
        <v>44562</v>
      </c>
      <c r="F86" s="10">
        <f t="shared" si="0"/>
        <v>46388</v>
      </c>
      <c r="G86" t="str">
        <f t="shared" ca="1" si="1"/>
        <v>Valid</v>
      </c>
    </row>
    <row r="87" spans="1:7" ht="15.75" customHeight="1">
      <c r="A87" t="s">
        <v>221</v>
      </c>
      <c r="B87" t="s">
        <v>222</v>
      </c>
      <c r="C87" t="s">
        <v>46</v>
      </c>
      <c r="D87" t="s">
        <v>159</v>
      </c>
      <c r="E87" s="10">
        <v>45658</v>
      </c>
      <c r="F87" s="10">
        <f t="shared" si="0"/>
        <v>47484</v>
      </c>
      <c r="G87" t="str">
        <f t="shared" ca="1" si="1"/>
        <v>Valid</v>
      </c>
    </row>
    <row r="88" spans="1:7" ht="15.75" customHeight="1">
      <c r="A88" t="s">
        <v>223</v>
      </c>
      <c r="B88" t="s">
        <v>224</v>
      </c>
      <c r="C88" t="s">
        <v>46</v>
      </c>
      <c r="D88" t="s">
        <v>159</v>
      </c>
      <c r="E88" s="10">
        <v>44562</v>
      </c>
      <c r="F88" s="10">
        <f t="shared" si="0"/>
        <v>46388</v>
      </c>
      <c r="G88" t="str">
        <f t="shared" ca="1" si="1"/>
        <v>Valid</v>
      </c>
    </row>
    <row r="89" spans="1:7" ht="15.75" customHeight="1">
      <c r="A89" t="s">
        <v>225</v>
      </c>
      <c r="B89" t="s">
        <v>226</v>
      </c>
      <c r="C89" t="s">
        <v>46</v>
      </c>
      <c r="D89" t="s">
        <v>159</v>
      </c>
      <c r="E89" s="10">
        <v>44562</v>
      </c>
      <c r="F89" s="10">
        <f t="shared" si="0"/>
        <v>46388</v>
      </c>
      <c r="G89" t="str">
        <f t="shared" ca="1" si="1"/>
        <v>Valid</v>
      </c>
    </row>
    <row r="90" spans="1:7" ht="15.75" customHeight="1">
      <c r="A90" t="s">
        <v>227</v>
      </c>
      <c r="B90" t="s">
        <v>228</v>
      </c>
      <c r="C90" t="s">
        <v>46</v>
      </c>
      <c r="D90" t="s">
        <v>159</v>
      </c>
      <c r="E90" s="10">
        <v>44562</v>
      </c>
      <c r="F90" s="10">
        <f t="shared" si="0"/>
        <v>46388</v>
      </c>
      <c r="G90" t="str">
        <f t="shared" ca="1" si="1"/>
        <v>Valid</v>
      </c>
    </row>
    <row r="91" spans="1:7" ht="15.75" customHeight="1">
      <c r="A91" t="s">
        <v>229</v>
      </c>
      <c r="B91" t="s">
        <v>230</v>
      </c>
      <c r="C91" t="s">
        <v>46</v>
      </c>
      <c r="D91" t="s">
        <v>159</v>
      </c>
      <c r="E91" s="10">
        <v>44927</v>
      </c>
      <c r="F91" s="10">
        <f t="shared" si="0"/>
        <v>46753</v>
      </c>
      <c r="G91" t="str">
        <f t="shared" ca="1" si="1"/>
        <v>Valid</v>
      </c>
    </row>
    <row r="92" spans="1:7" ht="15.75" customHeight="1">
      <c r="A92" t="s">
        <v>231</v>
      </c>
      <c r="B92" t="s">
        <v>232</v>
      </c>
      <c r="C92" t="s">
        <v>46</v>
      </c>
      <c r="D92" t="s">
        <v>159</v>
      </c>
      <c r="E92" s="10">
        <v>45658</v>
      </c>
      <c r="F92" s="10">
        <f t="shared" si="0"/>
        <v>47484</v>
      </c>
      <c r="G92" t="str">
        <f t="shared" ca="1" si="1"/>
        <v>Valid</v>
      </c>
    </row>
    <row r="93" spans="1:7" ht="15.75" customHeight="1">
      <c r="A93" t="s">
        <v>233</v>
      </c>
      <c r="B93" t="s">
        <v>234</v>
      </c>
      <c r="C93" t="s">
        <v>146</v>
      </c>
      <c r="D93" t="s">
        <v>159</v>
      </c>
      <c r="E93" s="10">
        <v>45292</v>
      </c>
      <c r="F93" s="10">
        <f t="shared" si="0"/>
        <v>47119</v>
      </c>
      <c r="G93" t="str">
        <f t="shared" ca="1" si="1"/>
        <v>Valid</v>
      </c>
    </row>
    <row r="94" spans="1:7" ht="15.75" customHeight="1">
      <c r="A94" t="s">
        <v>235</v>
      </c>
      <c r="B94" t="s">
        <v>236</v>
      </c>
      <c r="C94" t="s">
        <v>146</v>
      </c>
      <c r="D94" t="s">
        <v>159</v>
      </c>
      <c r="E94" s="10">
        <v>45292</v>
      </c>
      <c r="F94" s="10">
        <f t="shared" si="0"/>
        <v>47119</v>
      </c>
      <c r="G94" t="str">
        <f t="shared" ca="1" si="1"/>
        <v>Valid</v>
      </c>
    </row>
    <row r="95" spans="1:7" ht="15.75" customHeight="1">
      <c r="A95" t="s">
        <v>237</v>
      </c>
      <c r="B95" t="s">
        <v>238</v>
      </c>
      <c r="C95" t="s">
        <v>146</v>
      </c>
      <c r="D95" t="s">
        <v>159</v>
      </c>
      <c r="E95" s="10">
        <v>44409</v>
      </c>
      <c r="F95" s="10">
        <f t="shared" si="0"/>
        <v>46235</v>
      </c>
      <c r="G95" t="str">
        <f t="shared" ca="1" si="1"/>
        <v>Due</v>
      </c>
    </row>
    <row r="96" spans="1:7" ht="15.75" customHeight="1">
      <c r="A96" t="s">
        <v>239</v>
      </c>
      <c r="B96" t="s">
        <v>240</v>
      </c>
      <c r="C96" t="s">
        <v>146</v>
      </c>
      <c r="D96" t="s">
        <v>159</v>
      </c>
      <c r="E96" s="10">
        <v>44927</v>
      </c>
      <c r="F96" s="10">
        <f t="shared" si="0"/>
        <v>46753</v>
      </c>
      <c r="G96" t="str">
        <f t="shared" ca="1" si="1"/>
        <v>Valid</v>
      </c>
    </row>
    <row r="97" spans="1:7" ht="15.75" customHeight="1">
      <c r="A97" t="s">
        <v>241</v>
      </c>
      <c r="B97" t="s">
        <v>242</v>
      </c>
      <c r="C97" t="s">
        <v>71</v>
      </c>
      <c r="D97" t="s">
        <v>159</v>
      </c>
      <c r="E97" s="10">
        <v>45658</v>
      </c>
      <c r="F97" s="10">
        <f t="shared" si="0"/>
        <v>47484</v>
      </c>
      <c r="G97" t="str">
        <f t="shared" ca="1" si="1"/>
        <v>Valid</v>
      </c>
    </row>
    <row r="98" spans="1:7" ht="15.75" customHeight="1">
      <c r="A98" t="s">
        <v>243</v>
      </c>
      <c r="B98" t="s">
        <v>244</v>
      </c>
      <c r="C98" t="s">
        <v>71</v>
      </c>
      <c r="D98" t="s">
        <v>159</v>
      </c>
      <c r="E98" s="10">
        <v>44562</v>
      </c>
      <c r="F98" s="10">
        <f t="shared" si="0"/>
        <v>46388</v>
      </c>
      <c r="G98" t="str">
        <f t="shared" ca="1" si="1"/>
        <v>Valid</v>
      </c>
    </row>
    <row r="99" spans="1:7" ht="15.75" customHeight="1">
      <c r="A99" t="s">
        <v>245</v>
      </c>
      <c r="B99" t="s">
        <v>246</v>
      </c>
      <c r="C99" t="s">
        <v>247</v>
      </c>
      <c r="D99" t="s">
        <v>159</v>
      </c>
      <c r="E99" s="10">
        <v>44927</v>
      </c>
      <c r="F99" s="10">
        <f t="shared" si="0"/>
        <v>46753</v>
      </c>
      <c r="G99" t="str">
        <f t="shared" ca="1" si="1"/>
        <v>Valid</v>
      </c>
    </row>
    <row r="100" spans="1:7" ht="15.75" customHeight="1">
      <c r="A100" t="s">
        <v>248</v>
      </c>
      <c r="B100" t="s">
        <v>249</v>
      </c>
      <c r="C100" t="s">
        <v>18</v>
      </c>
      <c r="D100" t="s">
        <v>159</v>
      </c>
      <c r="E100" s="10">
        <v>45658</v>
      </c>
      <c r="F100" s="10">
        <f t="shared" si="0"/>
        <v>47484</v>
      </c>
      <c r="G100" t="str">
        <f t="shared" ca="1" si="1"/>
        <v>Valid</v>
      </c>
    </row>
    <row r="101" spans="1:7" ht="15.75" customHeight="1">
      <c r="A101" t="s">
        <v>250</v>
      </c>
      <c r="B101" t="s">
        <v>251</v>
      </c>
      <c r="C101" t="s">
        <v>18</v>
      </c>
      <c r="D101" t="s">
        <v>159</v>
      </c>
      <c r="E101" s="10">
        <v>45658</v>
      </c>
      <c r="F101" s="10">
        <f t="shared" si="0"/>
        <v>47484</v>
      </c>
      <c r="G101" t="str">
        <f t="shared" ca="1" si="1"/>
        <v>Valid</v>
      </c>
    </row>
    <row r="102" spans="1:7" ht="15.75" customHeight="1">
      <c r="A102" t="s">
        <v>252</v>
      </c>
      <c r="B102" t="s">
        <v>253</v>
      </c>
      <c r="C102" t="s">
        <v>18</v>
      </c>
      <c r="D102" t="s">
        <v>159</v>
      </c>
      <c r="E102" s="10">
        <v>45658</v>
      </c>
      <c r="F102" s="10">
        <f t="shared" si="0"/>
        <v>47484</v>
      </c>
      <c r="G102" t="str">
        <f t="shared" ca="1" si="1"/>
        <v>Valid</v>
      </c>
    </row>
    <row r="103" spans="1:7" ht="15.75" customHeight="1">
      <c r="A103" t="s">
        <v>254</v>
      </c>
      <c r="B103" t="s">
        <v>255</v>
      </c>
      <c r="C103" t="s">
        <v>18</v>
      </c>
      <c r="D103" t="s">
        <v>159</v>
      </c>
      <c r="E103" s="10">
        <v>44317</v>
      </c>
      <c r="F103" s="10">
        <f t="shared" si="0"/>
        <v>46143</v>
      </c>
      <c r="G103" t="str">
        <f t="shared" ca="1" si="1"/>
        <v>Due</v>
      </c>
    </row>
    <row r="104" spans="1:7" ht="15.75" customHeight="1">
      <c r="A104" t="s">
        <v>256</v>
      </c>
      <c r="B104" t="s">
        <v>257</v>
      </c>
      <c r="C104" t="s">
        <v>18</v>
      </c>
      <c r="D104" t="s">
        <v>159</v>
      </c>
      <c r="E104" s="10">
        <v>44317</v>
      </c>
      <c r="F104" s="10">
        <f t="shared" si="0"/>
        <v>46143</v>
      </c>
      <c r="G104" t="str">
        <f t="shared" ca="1" si="1"/>
        <v>Due</v>
      </c>
    </row>
    <row r="105" spans="1:7" ht="15.75" customHeight="1">
      <c r="A105" t="s">
        <v>258</v>
      </c>
      <c r="B105" t="s">
        <v>259</v>
      </c>
      <c r="C105" t="s">
        <v>18</v>
      </c>
      <c r="D105" t="s">
        <v>159</v>
      </c>
      <c r="F105" s="10" t="str">
        <f t="shared" si="0"/>
        <v/>
      </c>
      <c r="G105" t="e">
        <f t="shared" ca="1" si="1"/>
        <v>#VALUE!</v>
      </c>
    </row>
    <row r="106" spans="1:7" ht="15.75" customHeight="1">
      <c r="A106" t="s">
        <v>260</v>
      </c>
      <c r="B106" t="s">
        <v>261</v>
      </c>
      <c r="C106" t="s">
        <v>89</v>
      </c>
      <c r="D106" t="s">
        <v>159</v>
      </c>
      <c r="E106" s="10">
        <v>44348</v>
      </c>
      <c r="F106" s="10">
        <f t="shared" si="0"/>
        <v>46174</v>
      </c>
      <c r="G106" t="str">
        <f t="shared" ca="1" si="1"/>
        <v>Due</v>
      </c>
    </row>
    <row r="107" spans="1:7" ht="15.75" customHeight="1">
      <c r="A107" t="s">
        <v>262</v>
      </c>
      <c r="B107" t="s">
        <v>263</v>
      </c>
      <c r="C107" t="s">
        <v>89</v>
      </c>
      <c r="D107" t="s">
        <v>159</v>
      </c>
      <c r="E107" s="10">
        <v>45658</v>
      </c>
      <c r="F107" s="10">
        <f t="shared" si="0"/>
        <v>47484</v>
      </c>
      <c r="G107" t="str">
        <f t="shared" ca="1" si="1"/>
        <v>Valid</v>
      </c>
    </row>
    <row r="108" spans="1:7" ht="15.75" customHeight="1">
      <c r="A108" t="s">
        <v>264</v>
      </c>
      <c r="B108" t="s">
        <v>265</v>
      </c>
      <c r="C108" t="s">
        <v>178</v>
      </c>
      <c r="D108" t="s">
        <v>159</v>
      </c>
      <c r="E108" s="10">
        <v>44470</v>
      </c>
      <c r="F108" s="10">
        <f t="shared" si="0"/>
        <v>46296</v>
      </c>
      <c r="G108" t="str">
        <f t="shared" ca="1" si="1"/>
        <v>Due</v>
      </c>
    </row>
    <row r="109" spans="1:7" ht="15.75" customHeight="1">
      <c r="A109" t="s">
        <v>266</v>
      </c>
      <c r="B109" t="s">
        <v>267</v>
      </c>
      <c r="C109" t="s">
        <v>268</v>
      </c>
      <c r="D109" t="s">
        <v>159</v>
      </c>
      <c r="F109" s="10" t="str">
        <f t="shared" si="0"/>
        <v/>
      </c>
      <c r="G109" t="e">
        <f t="shared" ca="1" si="1"/>
        <v>#VALUE!</v>
      </c>
    </row>
    <row r="110" spans="1:7" ht="15.75" customHeight="1">
      <c r="A110" t="s">
        <v>269</v>
      </c>
      <c r="B110" t="s">
        <v>270</v>
      </c>
      <c r="C110" t="s">
        <v>74</v>
      </c>
      <c r="D110" t="s">
        <v>159</v>
      </c>
      <c r="F110" s="10" t="str">
        <f t="shared" si="0"/>
        <v/>
      </c>
      <c r="G110" t="e">
        <f t="shared" ca="1" si="1"/>
        <v>#VALUE!</v>
      </c>
    </row>
    <row r="111" spans="1:7" ht="15.75" customHeight="1">
      <c r="A111" t="s">
        <v>271</v>
      </c>
      <c r="B111" t="s">
        <v>272</v>
      </c>
      <c r="C111" t="s">
        <v>151</v>
      </c>
      <c r="D111" t="s">
        <v>159</v>
      </c>
      <c r="F111" s="10" t="str">
        <f t="shared" si="0"/>
        <v/>
      </c>
      <c r="G111" t="e">
        <f t="shared" ca="1" si="1"/>
        <v>#VALUE!</v>
      </c>
    </row>
    <row r="112" spans="1:7" ht="15.75" customHeight="1">
      <c r="A112" t="s">
        <v>273</v>
      </c>
      <c r="B112" t="s">
        <v>274</v>
      </c>
      <c r="C112" t="s">
        <v>275</v>
      </c>
      <c r="D112" t="s">
        <v>159</v>
      </c>
      <c r="F112" s="10" t="str">
        <f t="shared" si="0"/>
        <v/>
      </c>
      <c r="G112" t="e">
        <f t="shared" ca="1" si="1"/>
        <v>#VALUE!</v>
      </c>
    </row>
    <row r="113" spans="1:7" ht="15.75" customHeight="1">
      <c r="A113" t="s">
        <v>276</v>
      </c>
      <c r="B113" t="s">
        <v>277</v>
      </c>
      <c r="C113" t="s">
        <v>275</v>
      </c>
      <c r="D113" t="s">
        <v>159</v>
      </c>
      <c r="F113" s="10" t="str">
        <f t="shared" si="0"/>
        <v/>
      </c>
      <c r="G113" t="e">
        <f t="shared" ca="1" si="1"/>
        <v>#VALUE!</v>
      </c>
    </row>
    <row r="114" spans="1:7" ht="15.75" customHeight="1">
      <c r="A114" t="s">
        <v>278</v>
      </c>
      <c r="B114" t="s">
        <v>279</v>
      </c>
      <c r="C114" t="s">
        <v>275</v>
      </c>
      <c r="D114" t="s">
        <v>159</v>
      </c>
      <c r="F114" s="10" t="str">
        <f t="shared" si="0"/>
        <v/>
      </c>
      <c r="G114" t="e">
        <f t="shared" ca="1" si="1"/>
        <v>#VALUE!</v>
      </c>
    </row>
    <row r="115" spans="1:7" ht="15.75" customHeight="1">
      <c r="A115" t="s">
        <v>280</v>
      </c>
      <c r="B115" t="s">
        <v>281</v>
      </c>
      <c r="C115" t="s">
        <v>86</v>
      </c>
      <c r="D115" t="s">
        <v>159</v>
      </c>
      <c r="F115" s="10" t="str">
        <f t="shared" si="0"/>
        <v/>
      </c>
      <c r="G115" t="e">
        <f t="shared" ca="1" si="1"/>
        <v>#VALUE!</v>
      </c>
    </row>
    <row r="116" spans="1:7" ht="15.75" customHeight="1">
      <c r="A116" t="s">
        <v>282</v>
      </c>
      <c r="B116" t="s">
        <v>283</v>
      </c>
      <c r="C116" t="s">
        <v>86</v>
      </c>
      <c r="D116" t="s">
        <v>159</v>
      </c>
      <c r="F116" s="10" t="str">
        <f t="shared" si="0"/>
        <v/>
      </c>
      <c r="G116" t="e">
        <f t="shared" ca="1" si="1"/>
        <v>#VALUE!</v>
      </c>
    </row>
    <row r="117" spans="1:7" ht="15.75" customHeight="1">
      <c r="A117" t="s">
        <v>284</v>
      </c>
      <c r="B117" t="s">
        <v>285</v>
      </c>
      <c r="C117" t="s">
        <v>86</v>
      </c>
      <c r="D117" t="s">
        <v>159</v>
      </c>
      <c r="F117" s="10" t="str">
        <f t="shared" si="0"/>
        <v/>
      </c>
      <c r="G117" t="e">
        <f t="shared" ca="1" si="1"/>
        <v>#VALUE!</v>
      </c>
    </row>
    <row r="118" spans="1:7" ht="15.75" customHeight="1">
      <c r="A118" t="s">
        <v>286</v>
      </c>
      <c r="B118" t="s">
        <v>287</v>
      </c>
      <c r="C118" t="s">
        <v>86</v>
      </c>
      <c r="D118" t="s">
        <v>159</v>
      </c>
      <c r="F118" s="10" t="str">
        <f t="shared" si="0"/>
        <v/>
      </c>
      <c r="G118" t="e">
        <f t="shared" ca="1" si="1"/>
        <v>#VALUE!</v>
      </c>
    </row>
    <row r="119" spans="1:7" ht="15.75" customHeight="1">
      <c r="A119" t="s">
        <v>288</v>
      </c>
      <c r="B119" t="s">
        <v>289</v>
      </c>
      <c r="C119" t="s">
        <v>290</v>
      </c>
      <c r="D119" t="s">
        <v>159</v>
      </c>
      <c r="E119" s="10">
        <v>44287</v>
      </c>
      <c r="F119" s="10">
        <f t="shared" si="0"/>
        <v>46113</v>
      </c>
      <c r="G119" t="str">
        <f t="shared" ca="1" si="1"/>
        <v>Due</v>
      </c>
    </row>
    <row r="120" spans="1:7" ht="15.75" customHeight="1">
      <c r="A120" t="s">
        <v>291</v>
      </c>
      <c r="B120" t="s">
        <v>292</v>
      </c>
      <c r="C120" t="s">
        <v>46</v>
      </c>
      <c r="D120" t="s">
        <v>159</v>
      </c>
      <c r="E120" s="10">
        <v>44501</v>
      </c>
      <c r="F120" s="10">
        <f t="shared" si="0"/>
        <v>46327</v>
      </c>
      <c r="G120" t="str">
        <f t="shared" ca="1" si="1"/>
        <v>Valid</v>
      </c>
    </row>
    <row r="121" spans="1:7" ht="15.75" customHeight="1">
      <c r="A121" t="s">
        <v>293</v>
      </c>
      <c r="B121" t="s">
        <v>294</v>
      </c>
      <c r="C121" t="s">
        <v>46</v>
      </c>
      <c r="D121" t="s">
        <v>159</v>
      </c>
      <c r="E121" s="10">
        <v>44501</v>
      </c>
      <c r="F121" s="10">
        <f t="shared" si="0"/>
        <v>46327</v>
      </c>
      <c r="G121" t="str">
        <f t="shared" ca="1" si="1"/>
        <v>Valid</v>
      </c>
    </row>
    <row r="122" spans="1:7" ht="15.75" customHeight="1">
      <c r="A122" t="s">
        <v>295</v>
      </c>
      <c r="B122" t="s">
        <v>296</v>
      </c>
      <c r="C122" t="s">
        <v>46</v>
      </c>
      <c r="D122" t="s">
        <v>159</v>
      </c>
      <c r="E122" s="10">
        <v>44531</v>
      </c>
      <c r="F122" s="10">
        <f t="shared" si="0"/>
        <v>46357</v>
      </c>
      <c r="G122" t="str">
        <f t="shared" ca="1" si="1"/>
        <v>Valid</v>
      </c>
    </row>
    <row r="123" spans="1:7" ht="15.75" customHeight="1">
      <c r="A123" t="s">
        <v>297</v>
      </c>
      <c r="B123" t="s">
        <v>298</v>
      </c>
      <c r="C123" t="s">
        <v>46</v>
      </c>
      <c r="D123" t="s">
        <v>159</v>
      </c>
      <c r="E123" s="10">
        <v>44562</v>
      </c>
      <c r="F123" s="10">
        <f t="shared" si="0"/>
        <v>46388</v>
      </c>
      <c r="G123" t="str">
        <f t="shared" ca="1" si="1"/>
        <v>Valid</v>
      </c>
    </row>
    <row r="124" spans="1:7" ht="15.75" customHeight="1">
      <c r="A124" t="s">
        <v>299</v>
      </c>
      <c r="B124" t="s">
        <v>300</v>
      </c>
      <c r="C124" t="s">
        <v>146</v>
      </c>
      <c r="D124" t="s">
        <v>159</v>
      </c>
      <c r="E124" s="10">
        <v>44927</v>
      </c>
      <c r="F124" s="10">
        <f t="shared" si="0"/>
        <v>46753</v>
      </c>
      <c r="G124" t="str">
        <f t="shared" ca="1" si="1"/>
        <v>Valid</v>
      </c>
    </row>
    <row r="125" spans="1:7" ht="15.75" customHeight="1">
      <c r="A125" t="s">
        <v>301</v>
      </c>
      <c r="B125" t="s">
        <v>302</v>
      </c>
      <c r="C125" t="s">
        <v>146</v>
      </c>
      <c r="D125" t="s">
        <v>159</v>
      </c>
      <c r="E125" s="10">
        <v>44927</v>
      </c>
      <c r="F125" s="10">
        <f t="shared" si="0"/>
        <v>46753</v>
      </c>
      <c r="G125" t="str">
        <f t="shared" ca="1" si="1"/>
        <v>Valid</v>
      </c>
    </row>
    <row r="126" spans="1:7" ht="15.75" customHeight="1">
      <c r="A126" t="s">
        <v>303</v>
      </c>
      <c r="B126" t="s">
        <v>304</v>
      </c>
      <c r="C126" t="s">
        <v>71</v>
      </c>
      <c r="D126" t="s">
        <v>159</v>
      </c>
      <c r="E126" s="10">
        <v>45292</v>
      </c>
      <c r="F126" s="10">
        <f t="shared" si="0"/>
        <v>47119</v>
      </c>
      <c r="G126" t="str">
        <f t="shared" ca="1" si="1"/>
        <v>Valid</v>
      </c>
    </row>
    <row r="127" spans="1:7" ht="15.75" customHeight="1">
      <c r="A127" t="s">
        <v>305</v>
      </c>
      <c r="B127" t="s">
        <v>306</v>
      </c>
      <c r="C127" t="s">
        <v>307</v>
      </c>
      <c r="D127" t="s">
        <v>159</v>
      </c>
      <c r="E127" s="10">
        <v>45292</v>
      </c>
      <c r="F127" s="10">
        <f t="shared" si="0"/>
        <v>47119</v>
      </c>
      <c r="G127" t="str">
        <f t="shared" ca="1" si="1"/>
        <v>Valid</v>
      </c>
    </row>
    <row r="128" spans="1:7" ht="15.75" customHeight="1">
      <c r="A128" t="s">
        <v>308</v>
      </c>
      <c r="B128" t="s">
        <v>309</v>
      </c>
      <c r="C128" t="s">
        <v>181</v>
      </c>
      <c r="D128" t="s">
        <v>159</v>
      </c>
      <c r="F128" s="10" t="str">
        <f t="shared" si="0"/>
        <v/>
      </c>
      <c r="G128" t="e">
        <f t="shared" ca="1" si="1"/>
        <v>#VALUE!</v>
      </c>
    </row>
    <row r="129" spans="1:7" ht="15.75" customHeight="1">
      <c r="A129" t="s">
        <v>310</v>
      </c>
      <c r="B129" t="s">
        <v>311</v>
      </c>
      <c r="C129" t="s">
        <v>181</v>
      </c>
      <c r="D129" t="s">
        <v>159</v>
      </c>
      <c r="F129" s="10" t="str">
        <f t="shared" si="0"/>
        <v/>
      </c>
      <c r="G129" t="e">
        <f t="shared" ca="1" si="1"/>
        <v>#VALUE!</v>
      </c>
    </row>
    <row r="130" spans="1:7" ht="15.75" customHeight="1">
      <c r="A130" t="s">
        <v>312</v>
      </c>
      <c r="B130" t="s">
        <v>313</v>
      </c>
      <c r="C130" t="s">
        <v>181</v>
      </c>
      <c r="D130" t="s">
        <v>159</v>
      </c>
      <c r="F130" s="10" t="str">
        <f t="shared" si="0"/>
        <v/>
      </c>
      <c r="G130" t="e">
        <f t="shared" ca="1" si="1"/>
        <v>#VALUE!</v>
      </c>
    </row>
    <row r="131" spans="1:7" ht="15.75" customHeight="1">
      <c r="A131" t="s">
        <v>314</v>
      </c>
      <c r="B131" t="s">
        <v>315</v>
      </c>
      <c r="C131" t="s">
        <v>181</v>
      </c>
      <c r="D131" t="s">
        <v>159</v>
      </c>
      <c r="F131" s="10" t="str">
        <f t="shared" si="0"/>
        <v/>
      </c>
      <c r="G131" t="e">
        <f t="shared" ca="1" si="1"/>
        <v>#VALUE!</v>
      </c>
    </row>
    <row r="132" spans="1:7" ht="15.75" customHeight="1">
      <c r="A132" t="s">
        <v>316</v>
      </c>
      <c r="B132" t="s">
        <v>317</v>
      </c>
      <c r="C132" t="s">
        <v>86</v>
      </c>
      <c r="D132" t="s">
        <v>159</v>
      </c>
      <c r="F132" s="10" t="str">
        <f t="shared" si="0"/>
        <v/>
      </c>
      <c r="G132" t="e">
        <f t="shared" ca="1" si="1"/>
        <v>#VALUE!</v>
      </c>
    </row>
    <row r="133" spans="1:7" ht="15.75" customHeight="1">
      <c r="A133" t="s">
        <v>318</v>
      </c>
      <c r="B133" t="s">
        <v>319</v>
      </c>
      <c r="C133" t="s">
        <v>130</v>
      </c>
      <c r="D133" t="s">
        <v>159</v>
      </c>
      <c r="E133" s="10">
        <v>45658</v>
      </c>
      <c r="F133" s="10">
        <f t="shared" si="0"/>
        <v>47484</v>
      </c>
      <c r="G133" t="str">
        <f t="shared" ca="1" si="1"/>
        <v>Valid</v>
      </c>
    </row>
    <row r="134" spans="1:7" ht="15.75" customHeight="1">
      <c r="A134" t="s">
        <v>320</v>
      </c>
      <c r="B134" t="s">
        <v>321</v>
      </c>
      <c r="C134" t="s">
        <v>322</v>
      </c>
      <c r="D134" t="s">
        <v>159</v>
      </c>
      <c r="E134" s="10">
        <v>44562</v>
      </c>
      <c r="F134" s="10">
        <f t="shared" si="0"/>
        <v>46388</v>
      </c>
      <c r="G134" t="str">
        <f t="shared" ca="1" si="1"/>
        <v>Valid</v>
      </c>
    </row>
    <row r="135" spans="1:7" ht="15.75" customHeight="1">
      <c r="A135" t="s">
        <v>323</v>
      </c>
      <c r="B135" t="s">
        <v>324</v>
      </c>
      <c r="C135" t="s">
        <v>146</v>
      </c>
      <c r="D135" t="s">
        <v>159</v>
      </c>
      <c r="E135" s="10">
        <v>44927</v>
      </c>
      <c r="F135" s="10">
        <f t="shared" si="0"/>
        <v>46753</v>
      </c>
      <c r="G135" t="str">
        <f t="shared" ca="1" si="1"/>
        <v>Valid</v>
      </c>
    </row>
    <row r="136" spans="1:7" ht="15.75" customHeight="1">
      <c r="A136" t="s">
        <v>325</v>
      </c>
      <c r="B136" t="s">
        <v>326</v>
      </c>
      <c r="C136" t="s">
        <v>146</v>
      </c>
      <c r="D136" t="s">
        <v>159</v>
      </c>
      <c r="E136" s="10">
        <v>44470</v>
      </c>
      <c r="F136" s="10">
        <f t="shared" si="0"/>
        <v>46296</v>
      </c>
      <c r="G136" t="str">
        <f t="shared" ca="1" si="1"/>
        <v>Due</v>
      </c>
    </row>
    <row r="137" spans="1:7" ht="15.75" customHeight="1">
      <c r="A137" t="s">
        <v>327</v>
      </c>
      <c r="B137" t="s">
        <v>328</v>
      </c>
      <c r="C137" t="s">
        <v>146</v>
      </c>
      <c r="D137" t="s">
        <v>159</v>
      </c>
      <c r="E137" s="10">
        <v>45658</v>
      </c>
      <c r="F137" s="10">
        <f t="shared" si="0"/>
        <v>47484</v>
      </c>
      <c r="G137" t="str">
        <f t="shared" ca="1" si="1"/>
        <v>Valid</v>
      </c>
    </row>
    <row r="138" spans="1:7" ht="15.75" customHeight="1">
      <c r="A138" t="s">
        <v>329</v>
      </c>
      <c r="B138" t="s">
        <v>330</v>
      </c>
      <c r="C138" t="s">
        <v>146</v>
      </c>
      <c r="D138" t="s">
        <v>159</v>
      </c>
      <c r="E138" s="10">
        <v>45292</v>
      </c>
      <c r="F138" s="10">
        <f t="shared" si="0"/>
        <v>47119</v>
      </c>
      <c r="G138" t="str">
        <f t="shared" ca="1" si="1"/>
        <v>Valid</v>
      </c>
    </row>
    <row r="139" spans="1:7" ht="15.75" customHeight="1">
      <c r="A139" t="s">
        <v>331</v>
      </c>
      <c r="B139" t="s">
        <v>332</v>
      </c>
      <c r="C139" t="s">
        <v>71</v>
      </c>
      <c r="D139" t="s">
        <v>159</v>
      </c>
      <c r="E139" s="10">
        <v>44562</v>
      </c>
      <c r="F139" s="10">
        <f t="shared" si="0"/>
        <v>46388</v>
      </c>
      <c r="G139" t="str">
        <f t="shared" ca="1" si="1"/>
        <v>Valid</v>
      </c>
    </row>
    <row r="140" spans="1:7" ht="15.75" customHeight="1">
      <c r="A140" t="s">
        <v>333</v>
      </c>
      <c r="B140" t="s">
        <v>334</v>
      </c>
      <c r="C140" t="s">
        <v>181</v>
      </c>
      <c r="D140" t="s">
        <v>159</v>
      </c>
      <c r="F140" s="10" t="str">
        <f t="shared" si="0"/>
        <v/>
      </c>
      <c r="G140" t="e">
        <f t="shared" ca="1" si="1"/>
        <v>#VALUE!</v>
      </c>
    </row>
    <row r="141" spans="1:7" ht="15.75" customHeight="1">
      <c r="A141" t="s">
        <v>335</v>
      </c>
      <c r="B141" t="s">
        <v>336</v>
      </c>
      <c r="C141" t="s">
        <v>181</v>
      </c>
      <c r="D141" t="s">
        <v>159</v>
      </c>
      <c r="F141" s="10" t="str">
        <f t="shared" si="0"/>
        <v/>
      </c>
      <c r="G141" t="e">
        <f t="shared" ca="1" si="1"/>
        <v>#VALUE!</v>
      </c>
    </row>
    <row r="142" spans="1:7" ht="15.75" customHeight="1">
      <c r="A142" t="s">
        <v>337</v>
      </c>
      <c r="B142" t="s">
        <v>338</v>
      </c>
      <c r="C142" t="s">
        <v>86</v>
      </c>
      <c r="D142" t="s">
        <v>159</v>
      </c>
      <c r="F142" s="10" t="str">
        <f t="shared" si="0"/>
        <v/>
      </c>
      <c r="G142" t="e">
        <f t="shared" ca="1" si="1"/>
        <v>#VALUE!</v>
      </c>
    </row>
    <row r="143" spans="1:7" ht="15.75" customHeight="1">
      <c r="A143" t="s">
        <v>339</v>
      </c>
      <c r="B143" t="s">
        <v>340</v>
      </c>
      <c r="C143" t="s">
        <v>341</v>
      </c>
      <c r="D143" t="s">
        <v>159</v>
      </c>
      <c r="E143" s="10">
        <v>45658</v>
      </c>
      <c r="F143" s="10">
        <f t="shared" si="0"/>
        <v>47484</v>
      </c>
      <c r="G143" t="str">
        <f t="shared" ca="1" si="1"/>
        <v>Valid</v>
      </c>
    </row>
    <row r="144" spans="1:7" ht="15.75" customHeight="1">
      <c r="A144" t="s">
        <v>342</v>
      </c>
      <c r="B144" t="s">
        <v>343</v>
      </c>
      <c r="C144" t="s">
        <v>344</v>
      </c>
      <c r="D144" t="s">
        <v>159</v>
      </c>
      <c r="E144" s="10">
        <v>45658</v>
      </c>
      <c r="F144" s="10">
        <f t="shared" si="0"/>
        <v>47484</v>
      </c>
      <c r="G144" t="str">
        <f t="shared" ca="1" si="1"/>
        <v>Valid</v>
      </c>
    </row>
    <row r="145" spans="1:7" ht="15.75" customHeight="1">
      <c r="A145" t="s">
        <v>345</v>
      </c>
      <c r="B145" t="s">
        <v>346</v>
      </c>
      <c r="C145" t="s">
        <v>344</v>
      </c>
      <c r="D145" t="s">
        <v>159</v>
      </c>
      <c r="E145" s="10">
        <v>45658</v>
      </c>
      <c r="F145" s="10">
        <f t="shared" si="0"/>
        <v>47484</v>
      </c>
      <c r="G145" t="str">
        <f t="shared" ca="1" si="1"/>
        <v>Valid</v>
      </c>
    </row>
    <row r="146" spans="1:7" ht="15.75" customHeight="1">
      <c r="A146" t="s">
        <v>347</v>
      </c>
      <c r="B146" t="s">
        <v>348</v>
      </c>
      <c r="C146" t="s">
        <v>322</v>
      </c>
      <c r="D146" t="s">
        <v>159</v>
      </c>
      <c r="E146" s="10">
        <v>44562</v>
      </c>
      <c r="F146" s="10">
        <f t="shared" si="0"/>
        <v>46388</v>
      </c>
      <c r="G146" t="str">
        <f t="shared" ca="1" si="1"/>
        <v>Valid</v>
      </c>
    </row>
    <row r="147" spans="1:7" ht="15.75" customHeight="1">
      <c r="A147" t="s">
        <v>349</v>
      </c>
      <c r="B147" t="s">
        <v>350</v>
      </c>
      <c r="C147" t="s">
        <v>322</v>
      </c>
      <c r="D147" t="s">
        <v>159</v>
      </c>
      <c r="E147" s="10">
        <v>44562</v>
      </c>
      <c r="F147" s="10">
        <f t="shared" si="0"/>
        <v>46388</v>
      </c>
      <c r="G147" t="str">
        <f t="shared" ca="1" si="1"/>
        <v>Valid</v>
      </c>
    </row>
    <row r="148" spans="1:7" ht="15.75" customHeight="1">
      <c r="A148" t="s">
        <v>351</v>
      </c>
      <c r="B148" t="s">
        <v>352</v>
      </c>
      <c r="C148" t="s">
        <v>353</v>
      </c>
      <c r="D148" t="s">
        <v>159</v>
      </c>
      <c r="E148" s="10">
        <v>45292</v>
      </c>
      <c r="F148" s="10">
        <f t="shared" si="0"/>
        <v>47119</v>
      </c>
      <c r="G148" t="str">
        <f t="shared" ca="1" si="1"/>
        <v>Valid</v>
      </c>
    </row>
    <row r="149" spans="1:7" ht="15.75" customHeight="1">
      <c r="A149" t="s">
        <v>354</v>
      </c>
      <c r="B149" t="s">
        <v>355</v>
      </c>
      <c r="C149" t="s">
        <v>46</v>
      </c>
      <c r="D149" t="s">
        <v>159</v>
      </c>
      <c r="E149" s="10">
        <v>45292</v>
      </c>
      <c r="F149" s="10">
        <f t="shared" si="0"/>
        <v>47119</v>
      </c>
      <c r="G149" t="str">
        <f t="shared" ca="1" si="1"/>
        <v>Valid</v>
      </c>
    </row>
    <row r="150" spans="1:7" ht="15.75" customHeight="1">
      <c r="A150" t="s">
        <v>356</v>
      </c>
      <c r="B150" t="s">
        <v>357</v>
      </c>
      <c r="C150" t="s">
        <v>46</v>
      </c>
      <c r="D150" t="s">
        <v>159</v>
      </c>
      <c r="E150" s="10">
        <v>45658</v>
      </c>
      <c r="F150" s="10">
        <f t="shared" si="0"/>
        <v>47484</v>
      </c>
      <c r="G150" t="str">
        <f t="shared" ca="1" si="1"/>
        <v>Valid</v>
      </c>
    </row>
    <row r="151" spans="1:7" ht="15.75" customHeight="1">
      <c r="A151" t="s">
        <v>358</v>
      </c>
      <c r="B151" t="s">
        <v>359</v>
      </c>
      <c r="C151" t="s">
        <v>46</v>
      </c>
      <c r="D151" t="s">
        <v>159</v>
      </c>
      <c r="E151" s="10">
        <v>44470</v>
      </c>
      <c r="F151" s="10">
        <f t="shared" si="0"/>
        <v>46296</v>
      </c>
      <c r="G151" t="str">
        <f t="shared" ca="1" si="1"/>
        <v>Due</v>
      </c>
    </row>
    <row r="152" spans="1:7" ht="15.75" customHeight="1">
      <c r="A152" t="s">
        <v>360</v>
      </c>
      <c r="B152" t="s">
        <v>361</v>
      </c>
      <c r="C152" t="s">
        <v>46</v>
      </c>
      <c r="D152" t="s">
        <v>159</v>
      </c>
      <c r="E152" s="10">
        <v>44470</v>
      </c>
      <c r="F152" s="10">
        <f t="shared" si="0"/>
        <v>46296</v>
      </c>
      <c r="G152" t="str">
        <f t="shared" ca="1" si="1"/>
        <v>Due</v>
      </c>
    </row>
    <row r="153" spans="1:7" ht="15.75" customHeight="1">
      <c r="A153" t="s">
        <v>362</v>
      </c>
      <c r="B153" t="s">
        <v>363</v>
      </c>
      <c r="C153" t="s">
        <v>46</v>
      </c>
      <c r="D153" t="s">
        <v>159</v>
      </c>
      <c r="E153" s="10">
        <v>44927</v>
      </c>
      <c r="F153" s="10">
        <f t="shared" si="0"/>
        <v>46753</v>
      </c>
      <c r="G153" t="str">
        <f t="shared" ca="1" si="1"/>
        <v>Valid</v>
      </c>
    </row>
    <row r="154" spans="1:7" ht="15.75" customHeight="1">
      <c r="A154" t="s">
        <v>364</v>
      </c>
      <c r="B154" t="s">
        <v>365</v>
      </c>
      <c r="C154" t="s">
        <v>46</v>
      </c>
      <c r="D154" t="s">
        <v>159</v>
      </c>
      <c r="E154" s="10">
        <v>44501</v>
      </c>
      <c r="F154" s="10">
        <f t="shared" si="0"/>
        <v>46327</v>
      </c>
      <c r="G154" t="str">
        <f t="shared" ca="1" si="1"/>
        <v>Valid</v>
      </c>
    </row>
    <row r="155" spans="1:7" ht="15.75" customHeight="1">
      <c r="A155" t="s">
        <v>366</v>
      </c>
      <c r="B155" t="s">
        <v>367</v>
      </c>
      <c r="C155" t="s">
        <v>146</v>
      </c>
      <c r="D155" t="s">
        <v>159</v>
      </c>
      <c r="E155" s="10">
        <v>45292</v>
      </c>
      <c r="F155" s="10">
        <f t="shared" si="0"/>
        <v>47119</v>
      </c>
      <c r="G155" t="str">
        <f t="shared" ca="1" si="1"/>
        <v>Valid</v>
      </c>
    </row>
    <row r="156" spans="1:7" ht="15.75" customHeight="1">
      <c r="A156" t="s">
        <v>368</v>
      </c>
      <c r="B156" t="s">
        <v>369</v>
      </c>
      <c r="C156" t="s">
        <v>146</v>
      </c>
      <c r="D156" t="s">
        <v>159</v>
      </c>
      <c r="E156" s="10">
        <v>45292</v>
      </c>
      <c r="F156" s="10">
        <f t="shared" si="0"/>
        <v>47119</v>
      </c>
      <c r="G156" t="str">
        <f t="shared" ca="1" si="1"/>
        <v>Valid</v>
      </c>
    </row>
    <row r="157" spans="1:7" ht="15.75" customHeight="1">
      <c r="A157" t="s">
        <v>370</v>
      </c>
      <c r="B157" t="s">
        <v>371</v>
      </c>
      <c r="C157" t="s">
        <v>146</v>
      </c>
      <c r="D157" t="s">
        <v>159</v>
      </c>
      <c r="E157" s="10">
        <v>45292</v>
      </c>
      <c r="F157" s="10">
        <f t="shared" si="0"/>
        <v>47119</v>
      </c>
      <c r="G157" t="str">
        <f t="shared" ca="1" si="1"/>
        <v>Valid</v>
      </c>
    </row>
    <row r="158" spans="1:7" ht="15.75" customHeight="1">
      <c r="A158" t="s">
        <v>372</v>
      </c>
      <c r="B158" t="s">
        <v>373</v>
      </c>
      <c r="C158" t="s">
        <v>146</v>
      </c>
      <c r="D158" t="s">
        <v>159</v>
      </c>
      <c r="E158" s="10">
        <v>44927</v>
      </c>
      <c r="F158" s="10">
        <f t="shared" si="0"/>
        <v>46753</v>
      </c>
      <c r="G158" t="str">
        <f t="shared" ca="1" si="1"/>
        <v>Valid</v>
      </c>
    </row>
    <row r="159" spans="1:7" ht="15.75" customHeight="1">
      <c r="A159" t="s">
        <v>374</v>
      </c>
      <c r="B159" t="s">
        <v>375</v>
      </c>
      <c r="C159" t="s">
        <v>146</v>
      </c>
      <c r="D159" t="s">
        <v>159</v>
      </c>
      <c r="E159" s="10">
        <v>44927</v>
      </c>
      <c r="F159" s="10">
        <f t="shared" si="0"/>
        <v>46753</v>
      </c>
      <c r="G159" t="str">
        <f t="shared" ca="1" si="1"/>
        <v>Valid</v>
      </c>
    </row>
    <row r="160" spans="1:7" ht="15.75" customHeight="1">
      <c r="A160" t="s">
        <v>376</v>
      </c>
      <c r="B160" t="s">
        <v>377</v>
      </c>
      <c r="C160" t="s">
        <v>146</v>
      </c>
      <c r="D160" t="s">
        <v>159</v>
      </c>
      <c r="E160" s="10">
        <v>44927</v>
      </c>
      <c r="F160" s="10">
        <f t="shared" si="0"/>
        <v>46753</v>
      </c>
      <c r="G160" t="str">
        <f t="shared" ca="1" si="1"/>
        <v>Valid</v>
      </c>
    </row>
    <row r="161" spans="1:7" ht="15.75" customHeight="1">
      <c r="A161" t="s">
        <v>378</v>
      </c>
      <c r="B161" t="s">
        <v>379</v>
      </c>
      <c r="C161" t="s">
        <v>71</v>
      </c>
      <c r="D161" t="s">
        <v>159</v>
      </c>
      <c r="E161" s="10">
        <v>44562</v>
      </c>
      <c r="F161" s="10">
        <f t="shared" si="0"/>
        <v>46388</v>
      </c>
      <c r="G161" t="str">
        <f t="shared" ca="1" si="1"/>
        <v>Valid</v>
      </c>
    </row>
    <row r="162" spans="1:7" ht="15.75" customHeight="1">
      <c r="A162" t="s">
        <v>380</v>
      </c>
      <c r="B162" t="s">
        <v>381</v>
      </c>
      <c r="C162" t="s">
        <v>18</v>
      </c>
      <c r="D162" t="s">
        <v>159</v>
      </c>
      <c r="E162" s="10">
        <v>45658</v>
      </c>
      <c r="F162" s="10">
        <f t="shared" si="0"/>
        <v>47484</v>
      </c>
      <c r="G162" t="str">
        <f t="shared" ca="1" si="1"/>
        <v>Valid</v>
      </c>
    </row>
    <row r="163" spans="1:7" ht="15.75" customHeight="1">
      <c r="A163" t="s">
        <v>382</v>
      </c>
      <c r="B163" t="s">
        <v>383</v>
      </c>
      <c r="C163" t="s">
        <v>89</v>
      </c>
      <c r="D163" t="s">
        <v>159</v>
      </c>
      <c r="E163" s="10">
        <v>44927</v>
      </c>
      <c r="F163" s="10">
        <f t="shared" si="0"/>
        <v>46753</v>
      </c>
      <c r="G163" t="str">
        <f t="shared" ca="1" si="1"/>
        <v>Valid</v>
      </c>
    </row>
    <row r="164" spans="1:7" ht="15.75" customHeight="1">
      <c r="A164" t="s">
        <v>384</v>
      </c>
      <c r="B164" t="s">
        <v>385</v>
      </c>
      <c r="C164" t="s">
        <v>386</v>
      </c>
      <c r="D164" t="s">
        <v>159</v>
      </c>
      <c r="E164" s="10">
        <v>45292</v>
      </c>
      <c r="F164" s="10">
        <f t="shared" si="0"/>
        <v>47119</v>
      </c>
      <c r="G164" t="str">
        <f t="shared" ca="1" si="1"/>
        <v>Valid</v>
      </c>
    </row>
    <row r="165" spans="1:7" ht="15.75" customHeight="1">
      <c r="A165" t="s">
        <v>387</v>
      </c>
      <c r="B165" t="s">
        <v>388</v>
      </c>
      <c r="C165" t="s">
        <v>389</v>
      </c>
      <c r="D165" t="s">
        <v>159</v>
      </c>
      <c r="E165" s="10">
        <v>44927</v>
      </c>
      <c r="F165" s="10">
        <f t="shared" si="0"/>
        <v>46753</v>
      </c>
      <c r="G165" t="str">
        <f t="shared" ca="1" si="1"/>
        <v>Valid</v>
      </c>
    </row>
    <row r="166" spans="1:7" ht="15.75" customHeight="1">
      <c r="A166" t="s">
        <v>390</v>
      </c>
      <c r="B166" t="s">
        <v>391</v>
      </c>
      <c r="C166" t="s">
        <v>130</v>
      </c>
      <c r="D166" t="s">
        <v>159</v>
      </c>
      <c r="E166" s="10">
        <v>45292</v>
      </c>
      <c r="F166" s="10">
        <f t="shared" si="0"/>
        <v>47119</v>
      </c>
      <c r="G166" t="str">
        <f t="shared" ca="1" si="1"/>
        <v>Valid</v>
      </c>
    </row>
    <row r="167" spans="1:7" ht="15.75" customHeight="1">
      <c r="A167" t="s">
        <v>392</v>
      </c>
      <c r="B167" t="s">
        <v>300</v>
      </c>
      <c r="C167" t="s">
        <v>322</v>
      </c>
      <c r="D167" t="s">
        <v>159</v>
      </c>
      <c r="E167" s="10">
        <v>44531</v>
      </c>
      <c r="F167" s="10">
        <f t="shared" si="0"/>
        <v>46357</v>
      </c>
      <c r="G167" t="str">
        <f t="shared" ca="1" si="1"/>
        <v>Valid</v>
      </c>
    </row>
    <row r="168" spans="1:7" ht="15.75" customHeight="1">
      <c r="A168" t="s">
        <v>393</v>
      </c>
      <c r="B168" t="s">
        <v>394</v>
      </c>
      <c r="C168" t="s">
        <v>395</v>
      </c>
      <c r="D168" t="s">
        <v>159</v>
      </c>
      <c r="E168" s="10">
        <v>44562</v>
      </c>
      <c r="F168" s="10">
        <f t="shared" si="0"/>
        <v>46388</v>
      </c>
      <c r="G168" t="str">
        <f t="shared" ca="1" si="1"/>
        <v>Valid</v>
      </c>
    </row>
    <row r="169" spans="1:7" ht="15.75" customHeight="1">
      <c r="A169" t="s">
        <v>396</v>
      </c>
      <c r="B169" t="s">
        <v>397</v>
      </c>
      <c r="C169" t="s">
        <v>46</v>
      </c>
      <c r="D169" t="s">
        <v>159</v>
      </c>
      <c r="E169" s="10">
        <v>45292</v>
      </c>
      <c r="F169" s="10">
        <f t="shared" si="0"/>
        <v>47119</v>
      </c>
      <c r="G169" t="str">
        <f t="shared" ca="1" si="1"/>
        <v>Valid</v>
      </c>
    </row>
    <row r="170" spans="1:7" ht="15.75" customHeight="1">
      <c r="A170" t="s">
        <v>398</v>
      </c>
      <c r="B170" t="s">
        <v>399</v>
      </c>
      <c r="C170" t="s">
        <v>18</v>
      </c>
      <c r="D170" t="s">
        <v>159</v>
      </c>
      <c r="E170" s="10">
        <v>45658</v>
      </c>
      <c r="F170" s="10">
        <f t="shared" si="0"/>
        <v>47484</v>
      </c>
      <c r="G170" t="str">
        <f t="shared" ca="1" si="1"/>
        <v>Valid</v>
      </c>
    </row>
    <row r="171" spans="1:7" ht="15.75" customHeight="1">
      <c r="A171" t="s">
        <v>400</v>
      </c>
      <c r="B171" t="s">
        <v>401</v>
      </c>
      <c r="C171" t="s">
        <v>18</v>
      </c>
      <c r="D171" t="s">
        <v>159</v>
      </c>
      <c r="F171" s="10" t="str">
        <f t="shared" si="0"/>
        <v/>
      </c>
      <c r="G171" t="e">
        <f t="shared" ca="1" si="1"/>
        <v>#VALUE!</v>
      </c>
    </row>
    <row r="172" spans="1:7" ht="15.75" customHeight="1">
      <c r="A172" t="s">
        <v>402</v>
      </c>
      <c r="B172" t="s">
        <v>403</v>
      </c>
      <c r="C172" t="s">
        <v>181</v>
      </c>
      <c r="D172" t="s">
        <v>159</v>
      </c>
      <c r="F172" s="10" t="str">
        <f t="shared" si="0"/>
        <v/>
      </c>
      <c r="G172" t="e">
        <f t="shared" ca="1" si="1"/>
        <v>#VALUE!</v>
      </c>
    </row>
    <row r="173" spans="1:7" ht="15.75" customHeight="1">
      <c r="A173" t="s">
        <v>404</v>
      </c>
      <c r="B173" t="s">
        <v>405</v>
      </c>
      <c r="C173" t="s">
        <v>86</v>
      </c>
      <c r="D173" t="s">
        <v>159</v>
      </c>
      <c r="F173" s="10" t="str">
        <f t="shared" si="0"/>
        <v/>
      </c>
      <c r="G173" t="e">
        <f t="shared" ca="1" si="1"/>
        <v>#VALUE!</v>
      </c>
    </row>
    <row r="174" spans="1:7" ht="15.75" customHeight="1">
      <c r="A174" t="s">
        <v>406</v>
      </c>
      <c r="B174" t="s">
        <v>407</v>
      </c>
      <c r="C174" t="s">
        <v>408</v>
      </c>
      <c r="D174" t="s">
        <v>159</v>
      </c>
      <c r="E174" s="10">
        <v>45658</v>
      </c>
      <c r="F174" s="10">
        <f t="shared" si="0"/>
        <v>47484</v>
      </c>
      <c r="G174" t="str">
        <f t="shared" ca="1" si="1"/>
        <v>Valid</v>
      </c>
    </row>
    <row r="175" spans="1:7" ht="15.75" customHeight="1">
      <c r="A175" t="s">
        <v>409</v>
      </c>
      <c r="B175" t="s">
        <v>410</v>
      </c>
      <c r="C175" t="s">
        <v>322</v>
      </c>
      <c r="D175" t="s">
        <v>159</v>
      </c>
      <c r="E175" s="10">
        <v>45292</v>
      </c>
      <c r="F175" s="10">
        <f t="shared" si="0"/>
        <v>47119</v>
      </c>
      <c r="G175" t="str">
        <f t="shared" ca="1" si="1"/>
        <v>Valid</v>
      </c>
    </row>
    <row r="176" spans="1:7" ht="15.75" customHeight="1">
      <c r="A176" t="s">
        <v>411</v>
      </c>
      <c r="B176" t="s">
        <v>412</v>
      </c>
      <c r="C176" t="s">
        <v>395</v>
      </c>
      <c r="D176" t="s">
        <v>159</v>
      </c>
      <c r="E176" s="10">
        <v>44562</v>
      </c>
      <c r="F176" s="10">
        <f t="shared" si="0"/>
        <v>46388</v>
      </c>
      <c r="G176" t="str">
        <f t="shared" ca="1" si="1"/>
        <v>Valid</v>
      </c>
    </row>
    <row r="177" spans="1:7" ht="15.75" customHeight="1">
      <c r="A177" t="s">
        <v>413</v>
      </c>
      <c r="B177" t="s">
        <v>414</v>
      </c>
      <c r="C177" t="s">
        <v>46</v>
      </c>
      <c r="D177" t="s">
        <v>159</v>
      </c>
      <c r="E177" s="10">
        <v>44409</v>
      </c>
      <c r="F177" s="10">
        <f t="shared" si="0"/>
        <v>46235</v>
      </c>
      <c r="G177" t="str">
        <f t="shared" ca="1" si="1"/>
        <v>Due</v>
      </c>
    </row>
    <row r="178" spans="1:7" ht="15.75" customHeight="1">
      <c r="A178" t="s">
        <v>415</v>
      </c>
      <c r="B178" t="s">
        <v>416</v>
      </c>
      <c r="C178" t="s">
        <v>408</v>
      </c>
      <c r="D178" t="s">
        <v>159</v>
      </c>
      <c r="E178" s="10">
        <v>45658</v>
      </c>
      <c r="F178" s="10">
        <f t="shared" si="0"/>
        <v>47484</v>
      </c>
      <c r="G178" t="str">
        <f t="shared" ca="1" si="1"/>
        <v>Valid</v>
      </c>
    </row>
    <row r="179" spans="1:7" ht="15.75" customHeight="1">
      <c r="A179" t="s">
        <v>417</v>
      </c>
      <c r="B179" t="s">
        <v>418</v>
      </c>
      <c r="C179" t="s">
        <v>46</v>
      </c>
      <c r="D179" t="s">
        <v>159</v>
      </c>
      <c r="E179" s="10">
        <v>45292</v>
      </c>
      <c r="F179" s="10">
        <f t="shared" si="0"/>
        <v>47119</v>
      </c>
      <c r="G179" t="str">
        <f t="shared" ca="1" si="1"/>
        <v>Valid</v>
      </c>
    </row>
    <row r="180" spans="1:7" ht="15.75" customHeight="1">
      <c r="A180" t="s">
        <v>419</v>
      </c>
      <c r="B180" t="s">
        <v>420</v>
      </c>
      <c r="C180" t="s">
        <v>146</v>
      </c>
      <c r="D180" t="s">
        <v>159</v>
      </c>
      <c r="E180" s="10">
        <v>44409</v>
      </c>
      <c r="F180" s="10">
        <f t="shared" si="0"/>
        <v>46235</v>
      </c>
      <c r="G180" t="str">
        <f t="shared" ca="1" si="1"/>
        <v>Due</v>
      </c>
    </row>
    <row r="181" spans="1:7" ht="15.75" customHeight="1">
      <c r="A181" t="s">
        <v>421</v>
      </c>
      <c r="B181" t="s">
        <v>422</v>
      </c>
      <c r="C181" t="s">
        <v>423</v>
      </c>
      <c r="D181" t="s">
        <v>159</v>
      </c>
      <c r="E181" s="10">
        <v>45292</v>
      </c>
      <c r="F181" s="10">
        <f t="shared" si="0"/>
        <v>47119</v>
      </c>
      <c r="G181" t="str">
        <f t="shared" ca="1" si="1"/>
        <v>Valid</v>
      </c>
    </row>
    <row r="182" spans="1:7" ht="15.75" customHeight="1">
      <c r="A182" t="s">
        <v>424</v>
      </c>
      <c r="B182" t="s">
        <v>425</v>
      </c>
      <c r="C182" t="s">
        <v>423</v>
      </c>
      <c r="D182" t="s">
        <v>159</v>
      </c>
      <c r="E182" s="10">
        <v>45292</v>
      </c>
      <c r="F182" s="10">
        <f t="shared" si="0"/>
        <v>47119</v>
      </c>
      <c r="G182" t="str">
        <f t="shared" ca="1" si="1"/>
        <v>Valid</v>
      </c>
    </row>
    <row r="183" spans="1:7" ht="15.75" customHeight="1">
      <c r="A183" t="s">
        <v>426</v>
      </c>
      <c r="B183" t="s">
        <v>427</v>
      </c>
      <c r="C183" t="s">
        <v>428</v>
      </c>
      <c r="D183" t="s">
        <v>159</v>
      </c>
      <c r="E183" s="10">
        <v>44927</v>
      </c>
      <c r="F183" s="10">
        <f t="shared" si="0"/>
        <v>46753</v>
      </c>
      <c r="G183" t="str">
        <f t="shared" ca="1" si="1"/>
        <v>Valid</v>
      </c>
    </row>
    <row r="184" spans="1:7" ht="15.75" customHeight="1">
      <c r="A184" t="s">
        <v>429</v>
      </c>
      <c r="B184" t="s">
        <v>430</v>
      </c>
      <c r="C184" t="s">
        <v>431</v>
      </c>
      <c r="D184" t="s">
        <v>432</v>
      </c>
      <c r="F184" s="10" t="str">
        <f t="shared" si="0"/>
        <v/>
      </c>
      <c r="G184" t="e">
        <f t="shared" ca="1" si="1"/>
        <v>#VALUE!</v>
      </c>
    </row>
    <row r="185" spans="1:7" ht="15.75" customHeight="1">
      <c r="A185" t="s">
        <v>433</v>
      </c>
      <c r="B185" t="s">
        <v>434</v>
      </c>
      <c r="C185" t="s">
        <v>435</v>
      </c>
      <c r="D185" t="s">
        <v>432</v>
      </c>
      <c r="F185" s="10" t="str">
        <f t="shared" si="0"/>
        <v/>
      </c>
      <c r="G185" t="e">
        <f t="shared" ca="1" si="1"/>
        <v>#VALUE!</v>
      </c>
    </row>
    <row r="186" spans="1:7" ht="15.75" customHeight="1">
      <c r="A186" t="s">
        <v>436</v>
      </c>
      <c r="B186" t="s">
        <v>437</v>
      </c>
      <c r="C186" t="s">
        <v>435</v>
      </c>
      <c r="D186" t="s">
        <v>432</v>
      </c>
      <c r="F186" s="10" t="str">
        <f t="shared" si="0"/>
        <v/>
      </c>
      <c r="G186" t="e">
        <f t="shared" ca="1" si="1"/>
        <v>#VALUE!</v>
      </c>
    </row>
    <row r="187" spans="1:7" ht="15.75" customHeight="1">
      <c r="A187" t="s">
        <v>438</v>
      </c>
      <c r="B187" t="s">
        <v>439</v>
      </c>
      <c r="C187" t="s">
        <v>146</v>
      </c>
      <c r="D187" t="s">
        <v>432</v>
      </c>
      <c r="E187" s="10">
        <v>45292</v>
      </c>
      <c r="F187" s="10">
        <f t="shared" si="0"/>
        <v>47119</v>
      </c>
      <c r="G187" t="str">
        <f t="shared" ca="1" si="1"/>
        <v>Valid</v>
      </c>
    </row>
    <row r="188" spans="1:7" ht="15.75" customHeight="1">
      <c r="A188" t="s">
        <v>440</v>
      </c>
      <c r="B188" t="s">
        <v>441</v>
      </c>
      <c r="C188" t="s">
        <v>146</v>
      </c>
      <c r="D188" t="s">
        <v>432</v>
      </c>
      <c r="E188" s="10">
        <v>45292</v>
      </c>
      <c r="F188" s="10">
        <f t="shared" si="0"/>
        <v>47119</v>
      </c>
      <c r="G188" t="str">
        <f t="shared" ca="1" si="1"/>
        <v>Valid</v>
      </c>
    </row>
    <row r="189" spans="1:7" ht="15.75" customHeight="1">
      <c r="A189" t="s">
        <v>442</v>
      </c>
      <c r="B189" t="s">
        <v>170</v>
      </c>
      <c r="C189" t="s">
        <v>71</v>
      </c>
      <c r="D189" t="s">
        <v>432</v>
      </c>
      <c r="E189" s="10">
        <v>44562</v>
      </c>
      <c r="F189" s="10">
        <f t="shared" si="0"/>
        <v>46388</v>
      </c>
      <c r="G189" t="str">
        <f t="shared" ca="1" si="1"/>
        <v>Valid</v>
      </c>
    </row>
    <row r="190" spans="1:7" ht="15.75" customHeight="1">
      <c r="A190" t="s">
        <v>443</v>
      </c>
      <c r="B190" t="s">
        <v>444</v>
      </c>
      <c r="C190" t="s">
        <v>445</v>
      </c>
      <c r="D190" t="s">
        <v>432</v>
      </c>
      <c r="E190" s="10">
        <v>44531</v>
      </c>
      <c r="F190" s="10">
        <f t="shared" si="0"/>
        <v>46357</v>
      </c>
      <c r="G190" t="str">
        <f t="shared" ca="1" si="1"/>
        <v>Valid</v>
      </c>
    </row>
    <row r="191" spans="1:7" ht="15.75" customHeight="1">
      <c r="A191" t="s">
        <v>446</v>
      </c>
      <c r="B191" t="s">
        <v>447</v>
      </c>
      <c r="C191" t="s">
        <v>448</v>
      </c>
      <c r="D191" t="s">
        <v>432</v>
      </c>
      <c r="E191" s="10">
        <v>44927</v>
      </c>
      <c r="F191" s="10">
        <f t="shared" si="0"/>
        <v>46753</v>
      </c>
      <c r="G191" t="str">
        <f t="shared" ca="1" si="1"/>
        <v>Valid</v>
      </c>
    </row>
    <row r="192" spans="1:7" ht="15.75" customHeight="1">
      <c r="A192" t="s">
        <v>449</v>
      </c>
      <c r="B192" t="s">
        <v>450</v>
      </c>
      <c r="C192" t="s">
        <v>451</v>
      </c>
      <c r="D192" t="s">
        <v>432</v>
      </c>
      <c r="F192" s="10" t="str">
        <f t="shared" si="0"/>
        <v/>
      </c>
      <c r="G192" t="e">
        <f t="shared" ca="1" si="1"/>
        <v>#VALUE!</v>
      </c>
    </row>
    <row r="193" spans="1:7" ht="15.75" customHeight="1">
      <c r="A193" t="s">
        <v>452</v>
      </c>
      <c r="B193" t="s">
        <v>453</v>
      </c>
      <c r="C193" t="s">
        <v>451</v>
      </c>
      <c r="D193" t="s">
        <v>432</v>
      </c>
      <c r="F193" s="10" t="str">
        <f t="shared" si="0"/>
        <v/>
      </c>
      <c r="G193" t="e">
        <f t="shared" ca="1" si="1"/>
        <v>#VALUE!</v>
      </c>
    </row>
    <row r="194" spans="1:7" ht="15.75" customHeight="1">
      <c r="A194" t="s">
        <v>454</v>
      </c>
      <c r="B194" t="s">
        <v>455</v>
      </c>
      <c r="C194" t="s">
        <v>451</v>
      </c>
      <c r="D194" t="s">
        <v>432</v>
      </c>
      <c r="F194" s="10" t="str">
        <f t="shared" si="0"/>
        <v/>
      </c>
      <c r="G194" t="e">
        <f t="shared" ca="1" si="1"/>
        <v>#VALUE!</v>
      </c>
    </row>
    <row r="195" spans="1:7" ht="15.75" customHeight="1">
      <c r="A195" t="s">
        <v>456</v>
      </c>
      <c r="B195" t="s">
        <v>457</v>
      </c>
      <c r="C195" t="s">
        <v>451</v>
      </c>
      <c r="D195" t="s">
        <v>432</v>
      </c>
      <c r="F195" s="10" t="str">
        <f t="shared" si="0"/>
        <v/>
      </c>
      <c r="G195" t="e">
        <f t="shared" ca="1" si="1"/>
        <v>#VALUE!</v>
      </c>
    </row>
    <row r="196" spans="1:7" ht="15.75" customHeight="1">
      <c r="A196" t="s">
        <v>458</v>
      </c>
      <c r="B196" t="s">
        <v>459</v>
      </c>
      <c r="C196" t="s">
        <v>451</v>
      </c>
      <c r="D196" t="s">
        <v>432</v>
      </c>
      <c r="F196" s="10" t="str">
        <f t="shared" si="0"/>
        <v/>
      </c>
      <c r="G196" t="e">
        <f t="shared" ca="1" si="1"/>
        <v>#VALUE!</v>
      </c>
    </row>
    <row r="197" spans="1:7" ht="15.75" customHeight="1">
      <c r="A197" t="s">
        <v>460</v>
      </c>
      <c r="B197" t="s">
        <v>461</v>
      </c>
      <c r="C197" t="s">
        <v>100</v>
      </c>
      <c r="D197" t="s">
        <v>432</v>
      </c>
      <c r="E197" s="10">
        <v>44927</v>
      </c>
      <c r="F197" s="10">
        <f t="shared" si="0"/>
        <v>46753</v>
      </c>
      <c r="G197" t="str">
        <f t="shared" ca="1" si="1"/>
        <v>Valid</v>
      </c>
    </row>
    <row r="198" spans="1:7" ht="15.75" customHeight="1">
      <c r="A198" t="s">
        <v>462</v>
      </c>
      <c r="B198" t="s">
        <v>463</v>
      </c>
      <c r="C198" t="s">
        <v>100</v>
      </c>
      <c r="D198" t="s">
        <v>432</v>
      </c>
      <c r="E198" s="10">
        <v>44927</v>
      </c>
      <c r="F198" s="10">
        <f t="shared" si="0"/>
        <v>46753</v>
      </c>
      <c r="G198" t="str">
        <f t="shared" ca="1" si="1"/>
        <v>Valid</v>
      </c>
    </row>
    <row r="199" spans="1:7" ht="15.75" customHeight="1">
      <c r="A199" t="s">
        <v>464</v>
      </c>
      <c r="B199" t="s">
        <v>465</v>
      </c>
      <c r="C199" t="s">
        <v>100</v>
      </c>
      <c r="D199" t="s">
        <v>432</v>
      </c>
      <c r="F199" s="10" t="str">
        <f t="shared" si="0"/>
        <v/>
      </c>
      <c r="G199" t="e">
        <f t="shared" ca="1" si="1"/>
        <v>#VALUE!</v>
      </c>
    </row>
    <row r="200" spans="1:7" ht="15.75" customHeight="1">
      <c r="A200" t="s">
        <v>466</v>
      </c>
      <c r="B200" t="s">
        <v>467</v>
      </c>
      <c r="C200" t="s">
        <v>468</v>
      </c>
      <c r="D200" t="s">
        <v>432</v>
      </c>
      <c r="E200" s="10">
        <v>44562</v>
      </c>
      <c r="F200" s="10">
        <f t="shared" si="0"/>
        <v>46388</v>
      </c>
      <c r="G200" t="str">
        <f t="shared" ca="1" si="1"/>
        <v>Valid</v>
      </c>
    </row>
    <row r="201" spans="1:7" ht="15.75" customHeight="1">
      <c r="A201" t="s">
        <v>469</v>
      </c>
      <c r="B201" t="s">
        <v>470</v>
      </c>
      <c r="C201" t="s">
        <v>468</v>
      </c>
      <c r="D201" t="s">
        <v>432</v>
      </c>
      <c r="E201" s="10">
        <v>44562</v>
      </c>
      <c r="F201" s="10">
        <f t="shared" si="0"/>
        <v>46388</v>
      </c>
      <c r="G201" t="str">
        <f t="shared" ca="1" si="1"/>
        <v>Valid</v>
      </c>
    </row>
    <row r="202" spans="1:7" ht="15.75" customHeight="1">
      <c r="A202" t="s">
        <v>471</v>
      </c>
      <c r="B202" t="s">
        <v>472</v>
      </c>
      <c r="C202" t="s">
        <v>468</v>
      </c>
      <c r="D202" t="s">
        <v>432</v>
      </c>
      <c r="E202" s="10">
        <v>44562</v>
      </c>
      <c r="F202" s="10">
        <f t="shared" si="0"/>
        <v>46388</v>
      </c>
      <c r="G202" t="str">
        <f t="shared" ca="1" si="1"/>
        <v>Valid</v>
      </c>
    </row>
    <row r="203" spans="1:7" ht="15.75" customHeight="1">
      <c r="A203" t="s">
        <v>473</v>
      </c>
      <c r="B203" t="s">
        <v>474</v>
      </c>
      <c r="C203" t="s">
        <v>468</v>
      </c>
      <c r="D203" t="s">
        <v>432</v>
      </c>
      <c r="E203" s="10">
        <v>44562</v>
      </c>
      <c r="F203" s="10">
        <f t="shared" si="0"/>
        <v>46388</v>
      </c>
      <c r="G203" t="str">
        <f t="shared" ca="1" si="1"/>
        <v>Valid</v>
      </c>
    </row>
    <row r="204" spans="1:7" ht="15.75" customHeight="1">
      <c r="A204" t="s">
        <v>475</v>
      </c>
      <c r="B204" t="s">
        <v>476</v>
      </c>
      <c r="C204" t="s">
        <v>468</v>
      </c>
      <c r="D204" t="s">
        <v>432</v>
      </c>
      <c r="E204" s="10">
        <v>44470</v>
      </c>
      <c r="F204" s="10">
        <f t="shared" si="0"/>
        <v>46296</v>
      </c>
      <c r="G204" t="str">
        <f t="shared" ca="1" si="1"/>
        <v>Due</v>
      </c>
    </row>
    <row r="205" spans="1:7" ht="15.75" customHeight="1">
      <c r="A205" t="s">
        <v>477</v>
      </c>
      <c r="B205" t="s">
        <v>478</v>
      </c>
      <c r="C205" t="s">
        <v>468</v>
      </c>
      <c r="D205" t="s">
        <v>432</v>
      </c>
      <c r="E205" s="10">
        <v>44470</v>
      </c>
      <c r="F205" s="10">
        <f t="shared" si="0"/>
        <v>46296</v>
      </c>
      <c r="G205" t="str">
        <f t="shared" ca="1" si="1"/>
        <v>Due</v>
      </c>
    </row>
    <row r="206" spans="1:7" ht="15.75" customHeight="1">
      <c r="A206" t="s">
        <v>479</v>
      </c>
      <c r="B206" t="s">
        <v>480</v>
      </c>
      <c r="C206" t="s">
        <v>468</v>
      </c>
      <c r="D206" t="s">
        <v>432</v>
      </c>
      <c r="E206" s="10">
        <v>44409</v>
      </c>
      <c r="F206" s="10">
        <f t="shared" si="0"/>
        <v>46235</v>
      </c>
      <c r="G206" t="str">
        <f t="shared" ca="1" si="1"/>
        <v>Due</v>
      </c>
    </row>
    <row r="207" spans="1:7" ht="15.75" customHeight="1">
      <c r="A207" t="s">
        <v>481</v>
      </c>
      <c r="B207" t="s">
        <v>482</v>
      </c>
      <c r="C207" t="s">
        <v>468</v>
      </c>
      <c r="D207" t="s">
        <v>432</v>
      </c>
      <c r="E207" s="10">
        <v>44562</v>
      </c>
      <c r="F207" s="10">
        <f t="shared" si="0"/>
        <v>46388</v>
      </c>
      <c r="G207" t="str">
        <f t="shared" ca="1" si="1"/>
        <v>Valid</v>
      </c>
    </row>
    <row r="208" spans="1:7" ht="15.75" customHeight="1">
      <c r="A208" t="s">
        <v>483</v>
      </c>
      <c r="B208" t="s">
        <v>484</v>
      </c>
      <c r="C208" t="s">
        <v>468</v>
      </c>
      <c r="D208" t="s">
        <v>432</v>
      </c>
      <c r="E208" s="10">
        <v>44562</v>
      </c>
      <c r="F208" s="10">
        <f t="shared" si="0"/>
        <v>46388</v>
      </c>
      <c r="G208" t="str">
        <f t="shared" ca="1" si="1"/>
        <v>Valid</v>
      </c>
    </row>
    <row r="209" spans="1:7" ht="15.75" customHeight="1">
      <c r="A209" t="s">
        <v>485</v>
      </c>
      <c r="B209" t="s">
        <v>486</v>
      </c>
      <c r="C209" t="s">
        <v>468</v>
      </c>
      <c r="D209" t="s">
        <v>432</v>
      </c>
      <c r="E209" s="10">
        <v>44501</v>
      </c>
      <c r="F209" s="10">
        <f t="shared" si="0"/>
        <v>46327</v>
      </c>
      <c r="G209" t="str">
        <f t="shared" ca="1" si="1"/>
        <v>Valid</v>
      </c>
    </row>
    <row r="210" spans="1:7" ht="15.75" customHeight="1">
      <c r="A210" t="s">
        <v>487</v>
      </c>
      <c r="B210" t="s">
        <v>488</v>
      </c>
      <c r="C210" t="s">
        <v>468</v>
      </c>
      <c r="D210" t="s">
        <v>432</v>
      </c>
      <c r="E210" s="10">
        <v>44470</v>
      </c>
      <c r="F210" s="10">
        <f t="shared" si="0"/>
        <v>46296</v>
      </c>
      <c r="G210" t="str">
        <f t="shared" ca="1" si="1"/>
        <v>Due</v>
      </c>
    </row>
    <row r="211" spans="1:7" ht="15.75" customHeight="1">
      <c r="A211" t="s">
        <v>489</v>
      </c>
      <c r="B211" t="s">
        <v>490</v>
      </c>
      <c r="C211" t="s">
        <v>468</v>
      </c>
      <c r="D211" t="s">
        <v>432</v>
      </c>
      <c r="E211" s="10">
        <v>44562</v>
      </c>
      <c r="F211" s="10">
        <f t="shared" si="0"/>
        <v>46388</v>
      </c>
      <c r="G211" t="str">
        <f t="shared" ca="1" si="1"/>
        <v>Valid</v>
      </c>
    </row>
    <row r="212" spans="1:7" ht="15.75" customHeight="1">
      <c r="A212" t="s">
        <v>491</v>
      </c>
      <c r="B212" t="s">
        <v>492</v>
      </c>
      <c r="C212" t="s">
        <v>468</v>
      </c>
      <c r="D212" t="s">
        <v>432</v>
      </c>
      <c r="E212" s="10">
        <v>44501</v>
      </c>
      <c r="F212" s="10">
        <f t="shared" si="0"/>
        <v>46327</v>
      </c>
      <c r="G212" t="str">
        <f t="shared" ca="1" si="1"/>
        <v>Valid</v>
      </c>
    </row>
    <row r="213" spans="1:7" ht="15.75" customHeight="1">
      <c r="A213" t="s">
        <v>493</v>
      </c>
      <c r="B213" t="s">
        <v>494</v>
      </c>
      <c r="C213" t="s">
        <v>468</v>
      </c>
      <c r="D213" t="s">
        <v>432</v>
      </c>
      <c r="E213" s="10">
        <v>44531</v>
      </c>
      <c r="F213" s="10">
        <f t="shared" si="0"/>
        <v>46357</v>
      </c>
      <c r="G213" t="str">
        <f t="shared" ca="1" si="1"/>
        <v>Valid</v>
      </c>
    </row>
    <row r="214" spans="1:7" ht="15.75" customHeight="1">
      <c r="A214" t="s">
        <v>495</v>
      </c>
      <c r="B214" t="s">
        <v>496</v>
      </c>
      <c r="C214" t="s">
        <v>468</v>
      </c>
      <c r="D214" t="s">
        <v>432</v>
      </c>
      <c r="E214" s="10">
        <v>44562</v>
      </c>
      <c r="F214" s="10">
        <f t="shared" si="0"/>
        <v>46388</v>
      </c>
      <c r="G214" t="str">
        <f t="shared" ca="1" si="1"/>
        <v>Valid</v>
      </c>
    </row>
    <row r="215" spans="1:7" ht="15.75" customHeight="1">
      <c r="A215" t="s">
        <v>497</v>
      </c>
      <c r="B215" t="s">
        <v>498</v>
      </c>
      <c r="C215" t="s">
        <v>468</v>
      </c>
      <c r="D215" t="s">
        <v>432</v>
      </c>
      <c r="E215" s="10">
        <v>44531</v>
      </c>
      <c r="F215" s="10">
        <f t="shared" si="0"/>
        <v>46357</v>
      </c>
      <c r="G215" t="str">
        <f t="shared" ca="1" si="1"/>
        <v>Valid</v>
      </c>
    </row>
    <row r="216" spans="1:7" ht="15.75" customHeight="1">
      <c r="A216" t="s">
        <v>499</v>
      </c>
      <c r="B216" t="s">
        <v>500</v>
      </c>
      <c r="C216" t="s">
        <v>468</v>
      </c>
      <c r="D216" t="s">
        <v>432</v>
      </c>
      <c r="E216" s="10">
        <v>44562</v>
      </c>
      <c r="F216" s="10">
        <f t="shared" si="0"/>
        <v>46388</v>
      </c>
      <c r="G216" t="str">
        <f t="shared" ca="1" si="1"/>
        <v>Valid</v>
      </c>
    </row>
    <row r="217" spans="1:7" ht="15.75" customHeight="1">
      <c r="A217" t="s">
        <v>501</v>
      </c>
      <c r="B217" t="s">
        <v>502</v>
      </c>
      <c r="C217" t="s">
        <v>468</v>
      </c>
      <c r="D217" t="s">
        <v>432</v>
      </c>
      <c r="E217" s="10">
        <v>44501</v>
      </c>
      <c r="F217" s="10">
        <f t="shared" si="0"/>
        <v>46327</v>
      </c>
      <c r="G217" t="str">
        <f t="shared" ca="1" si="1"/>
        <v>Valid</v>
      </c>
    </row>
    <row r="218" spans="1:7" ht="15.75" customHeight="1">
      <c r="A218" t="s">
        <v>503</v>
      </c>
      <c r="B218" t="s">
        <v>504</v>
      </c>
      <c r="C218" t="s">
        <v>468</v>
      </c>
      <c r="D218" t="s">
        <v>432</v>
      </c>
      <c r="E218" s="10">
        <v>44562</v>
      </c>
      <c r="F218" s="10">
        <f t="shared" si="0"/>
        <v>46388</v>
      </c>
      <c r="G218" t="str">
        <f t="shared" ca="1" si="1"/>
        <v>Valid</v>
      </c>
    </row>
    <row r="219" spans="1:7" ht="15.75" customHeight="1">
      <c r="A219" t="s">
        <v>505</v>
      </c>
      <c r="B219" t="s">
        <v>506</v>
      </c>
      <c r="C219" t="s">
        <v>468</v>
      </c>
      <c r="D219" t="s">
        <v>432</v>
      </c>
      <c r="E219" s="10">
        <v>44562</v>
      </c>
      <c r="F219" s="10">
        <f t="shared" si="0"/>
        <v>46388</v>
      </c>
      <c r="G219" t="str">
        <f t="shared" ca="1" si="1"/>
        <v>Valid</v>
      </c>
    </row>
    <row r="220" spans="1:7" ht="15.75" customHeight="1">
      <c r="A220" t="s">
        <v>507</v>
      </c>
      <c r="B220" t="s">
        <v>508</v>
      </c>
      <c r="C220" t="s">
        <v>468</v>
      </c>
      <c r="D220" t="s">
        <v>432</v>
      </c>
      <c r="E220" s="10">
        <v>44562</v>
      </c>
      <c r="F220" s="10">
        <f t="shared" si="0"/>
        <v>46388</v>
      </c>
      <c r="G220" t="str">
        <f t="shared" ca="1" si="1"/>
        <v>Valid</v>
      </c>
    </row>
    <row r="221" spans="1:7" ht="15.75" customHeight="1">
      <c r="A221" t="s">
        <v>509</v>
      </c>
      <c r="B221" t="s">
        <v>510</v>
      </c>
      <c r="C221" t="s">
        <v>468</v>
      </c>
      <c r="D221" t="s">
        <v>432</v>
      </c>
      <c r="E221" s="10">
        <v>44562</v>
      </c>
      <c r="F221" s="10">
        <f t="shared" si="0"/>
        <v>46388</v>
      </c>
      <c r="G221" t="str">
        <f t="shared" ca="1" si="1"/>
        <v>Valid</v>
      </c>
    </row>
    <row r="222" spans="1:7" ht="15.75" customHeight="1">
      <c r="A222" t="s">
        <v>511</v>
      </c>
      <c r="B222" t="s">
        <v>512</v>
      </c>
      <c r="C222" t="s">
        <v>468</v>
      </c>
      <c r="D222" t="s">
        <v>432</v>
      </c>
      <c r="E222" s="10">
        <v>44562</v>
      </c>
      <c r="F222" s="10">
        <f t="shared" si="0"/>
        <v>46388</v>
      </c>
      <c r="G222" t="str">
        <f t="shared" ca="1" si="1"/>
        <v>Valid</v>
      </c>
    </row>
    <row r="223" spans="1:7" ht="15.75" customHeight="1">
      <c r="A223" t="s">
        <v>513</v>
      </c>
      <c r="B223" t="s">
        <v>514</v>
      </c>
      <c r="C223" t="s">
        <v>468</v>
      </c>
      <c r="D223" t="s">
        <v>432</v>
      </c>
      <c r="E223" s="10">
        <v>44562</v>
      </c>
      <c r="F223" s="10">
        <f t="shared" si="0"/>
        <v>46388</v>
      </c>
      <c r="G223" t="str">
        <f t="shared" ca="1" si="1"/>
        <v>Valid</v>
      </c>
    </row>
    <row r="224" spans="1:7" ht="15.75" customHeight="1">
      <c r="A224" t="s">
        <v>515</v>
      </c>
      <c r="B224" t="s">
        <v>516</v>
      </c>
      <c r="C224" t="s">
        <v>468</v>
      </c>
      <c r="D224" t="s">
        <v>432</v>
      </c>
      <c r="E224" s="10">
        <v>44562</v>
      </c>
      <c r="F224" s="10">
        <f t="shared" si="0"/>
        <v>46388</v>
      </c>
      <c r="G224" t="str">
        <f t="shared" ca="1" si="1"/>
        <v>Valid</v>
      </c>
    </row>
    <row r="225" spans="1:7" ht="15.75" customHeight="1">
      <c r="A225" t="s">
        <v>517</v>
      </c>
      <c r="B225" t="s">
        <v>518</v>
      </c>
      <c r="C225" t="s">
        <v>468</v>
      </c>
      <c r="D225" t="s">
        <v>432</v>
      </c>
      <c r="E225" s="10">
        <v>44562</v>
      </c>
      <c r="F225" s="10">
        <f t="shared" si="0"/>
        <v>46388</v>
      </c>
      <c r="G225" t="str">
        <f t="shared" ca="1" si="1"/>
        <v>Valid</v>
      </c>
    </row>
    <row r="226" spans="1:7" ht="15.75" customHeight="1">
      <c r="A226" t="s">
        <v>519</v>
      </c>
      <c r="B226" t="s">
        <v>520</v>
      </c>
      <c r="C226" t="s">
        <v>468</v>
      </c>
      <c r="D226" t="s">
        <v>432</v>
      </c>
      <c r="E226" s="10">
        <v>44562</v>
      </c>
      <c r="F226" s="10">
        <f t="shared" si="0"/>
        <v>46388</v>
      </c>
      <c r="G226" t="str">
        <f t="shared" ca="1" si="1"/>
        <v>Valid</v>
      </c>
    </row>
    <row r="227" spans="1:7" ht="15.75" customHeight="1">
      <c r="A227" t="s">
        <v>521</v>
      </c>
      <c r="B227" t="s">
        <v>522</v>
      </c>
      <c r="C227" t="s">
        <v>100</v>
      </c>
      <c r="D227" t="s">
        <v>432</v>
      </c>
      <c r="E227" s="10">
        <v>44562</v>
      </c>
      <c r="F227" s="10">
        <f t="shared" si="0"/>
        <v>46388</v>
      </c>
      <c r="G227" t="str">
        <f t="shared" ca="1" si="1"/>
        <v>Valid</v>
      </c>
    </row>
    <row r="228" spans="1:7" ht="15.75" customHeight="1">
      <c r="A228" t="s">
        <v>523</v>
      </c>
      <c r="B228" t="s">
        <v>524</v>
      </c>
      <c r="C228" t="s">
        <v>468</v>
      </c>
      <c r="D228" t="s">
        <v>432</v>
      </c>
      <c r="E228" s="10">
        <v>44927</v>
      </c>
      <c r="F228" s="10">
        <f t="shared" si="0"/>
        <v>46753</v>
      </c>
      <c r="G228" t="str">
        <f t="shared" ca="1" si="1"/>
        <v>Valid</v>
      </c>
    </row>
    <row r="229" spans="1:7" ht="15.75" customHeight="1">
      <c r="A229" t="s">
        <v>525</v>
      </c>
      <c r="B229" t="s">
        <v>526</v>
      </c>
      <c r="C229" t="s">
        <v>468</v>
      </c>
      <c r="D229" t="s">
        <v>432</v>
      </c>
      <c r="E229" s="10">
        <v>44927</v>
      </c>
      <c r="F229" s="10">
        <f t="shared" si="0"/>
        <v>46753</v>
      </c>
      <c r="G229" t="str">
        <f t="shared" ca="1" si="1"/>
        <v>Valid</v>
      </c>
    </row>
    <row r="230" spans="1:7" ht="15.75" customHeight="1">
      <c r="A230" t="s">
        <v>527</v>
      </c>
      <c r="B230" t="s">
        <v>528</v>
      </c>
      <c r="C230" t="s">
        <v>468</v>
      </c>
      <c r="D230" t="s">
        <v>432</v>
      </c>
      <c r="E230" s="10">
        <v>44927</v>
      </c>
      <c r="F230" s="10">
        <f t="shared" si="0"/>
        <v>46753</v>
      </c>
      <c r="G230" t="str">
        <f t="shared" ca="1" si="1"/>
        <v>Valid</v>
      </c>
    </row>
    <row r="231" spans="1:7" ht="15.75" customHeight="1">
      <c r="A231" t="s">
        <v>529</v>
      </c>
      <c r="B231" t="s">
        <v>530</v>
      </c>
      <c r="C231" t="s">
        <v>468</v>
      </c>
      <c r="D231" t="s">
        <v>432</v>
      </c>
      <c r="E231" s="10">
        <v>44927</v>
      </c>
      <c r="F231" s="10">
        <f t="shared" si="0"/>
        <v>46753</v>
      </c>
      <c r="G231" t="str">
        <f t="shared" ca="1" si="1"/>
        <v>Valid</v>
      </c>
    </row>
    <row r="232" spans="1:7" ht="15.75" customHeight="1">
      <c r="A232" t="s">
        <v>531</v>
      </c>
      <c r="B232" t="s">
        <v>532</v>
      </c>
      <c r="C232" t="s">
        <v>468</v>
      </c>
      <c r="D232" t="s">
        <v>432</v>
      </c>
      <c r="E232" s="10">
        <v>44562</v>
      </c>
      <c r="F232" s="10">
        <f t="shared" si="0"/>
        <v>46388</v>
      </c>
      <c r="G232" t="str">
        <f t="shared" ca="1" si="1"/>
        <v>Valid</v>
      </c>
    </row>
    <row r="233" spans="1:7" ht="15.75" customHeight="1">
      <c r="A233" t="s">
        <v>533</v>
      </c>
      <c r="B233" t="s">
        <v>534</v>
      </c>
      <c r="C233" t="s">
        <v>468</v>
      </c>
      <c r="D233" t="s">
        <v>432</v>
      </c>
      <c r="E233" s="10">
        <v>44927</v>
      </c>
      <c r="F233" s="10">
        <f t="shared" si="0"/>
        <v>46753</v>
      </c>
      <c r="G233" t="str">
        <f t="shared" ca="1" si="1"/>
        <v>Valid</v>
      </c>
    </row>
    <row r="234" spans="1:7" ht="15.75" customHeight="1">
      <c r="A234" t="s">
        <v>535</v>
      </c>
      <c r="B234" t="s">
        <v>536</v>
      </c>
      <c r="C234" t="s">
        <v>468</v>
      </c>
      <c r="D234" t="s">
        <v>432</v>
      </c>
      <c r="E234" s="10">
        <v>44927</v>
      </c>
      <c r="F234" s="10">
        <f t="shared" si="0"/>
        <v>46753</v>
      </c>
      <c r="G234" t="str">
        <f t="shared" ca="1" si="1"/>
        <v>Valid</v>
      </c>
    </row>
    <row r="235" spans="1:7" ht="15.75" customHeight="1">
      <c r="A235" t="s">
        <v>537</v>
      </c>
      <c r="B235" t="s">
        <v>538</v>
      </c>
      <c r="C235" t="s">
        <v>468</v>
      </c>
      <c r="D235" t="s">
        <v>432</v>
      </c>
      <c r="E235" s="10">
        <v>44927</v>
      </c>
      <c r="F235" s="10">
        <f t="shared" si="0"/>
        <v>46753</v>
      </c>
      <c r="G235" t="str">
        <f t="shared" ca="1" si="1"/>
        <v>Valid</v>
      </c>
    </row>
    <row r="236" spans="1:7" ht="15.75" customHeight="1">
      <c r="A236" t="s">
        <v>539</v>
      </c>
      <c r="B236" t="s">
        <v>540</v>
      </c>
      <c r="C236" t="s">
        <v>468</v>
      </c>
      <c r="D236" t="s">
        <v>432</v>
      </c>
      <c r="E236" s="10">
        <v>44927</v>
      </c>
      <c r="F236" s="10">
        <f t="shared" si="0"/>
        <v>46753</v>
      </c>
      <c r="G236" t="str">
        <f t="shared" ca="1" si="1"/>
        <v>Valid</v>
      </c>
    </row>
    <row r="237" spans="1:7" ht="15.75" customHeight="1">
      <c r="A237" t="s">
        <v>541</v>
      </c>
      <c r="B237" t="s">
        <v>542</v>
      </c>
      <c r="C237" t="s">
        <v>468</v>
      </c>
      <c r="D237" t="s">
        <v>432</v>
      </c>
      <c r="E237" s="10">
        <v>44927</v>
      </c>
      <c r="F237" s="10">
        <f t="shared" si="0"/>
        <v>46753</v>
      </c>
      <c r="G237" t="str">
        <f t="shared" ca="1" si="1"/>
        <v>Valid</v>
      </c>
    </row>
    <row r="238" spans="1:7" ht="15.75" customHeight="1">
      <c r="A238" t="s">
        <v>543</v>
      </c>
      <c r="B238" t="s">
        <v>544</v>
      </c>
      <c r="C238" t="s">
        <v>468</v>
      </c>
      <c r="D238" t="s">
        <v>432</v>
      </c>
      <c r="E238" s="10">
        <v>44927</v>
      </c>
      <c r="F238" s="10">
        <f t="shared" si="0"/>
        <v>46753</v>
      </c>
      <c r="G238" t="str">
        <f t="shared" ca="1" si="1"/>
        <v>Valid</v>
      </c>
    </row>
    <row r="239" spans="1:7" ht="15.75" customHeight="1">
      <c r="A239" t="s">
        <v>545</v>
      </c>
      <c r="B239" t="s">
        <v>546</v>
      </c>
      <c r="C239" t="s">
        <v>46</v>
      </c>
      <c r="D239" t="s">
        <v>432</v>
      </c>
      <c r="E239" s="10">
        <v>45292</v>
      </c>
      <c r="F239" s="10">
        <f t="shared" si="0"/>
        <v>47119</v>
      </c>
      <c r="G239" t="str">
        <f t="shared" ca="1" si="1"/>
        <v>Valid</v>
      </c>
    </row>
    <row r="240" spans="1:7" ht="15.75" customHeight="1">
      <c r="A240" t="s">
        <v>547</v>
      </c>
      <c r="B240" t="s">
        <v>548</v>
      </c>
      <c r="C240" t="s">
        <v>46</v>
      </c>
      <c r="D240" t="s">
        <v>432</v>
      </c>
      <c r="E240" s="10">
        <v>44501</v>
      </c>
      <c r="F240" s="10">
        <f t="shared" si="0"/>
        <v>46327</v>
      </c>
      <c r="G240" t="str">
        <f t="shared" ca="1" si="1"/>
        <v>Valid</v>
      </c>
    </row>
    <row r="241" spans="1:7" ht="15.75" customHeight="1">
      <c r="A241" t="s">
        <v>549</v>
      </c>
      <c r="B241" t="s">
        <v>550</v>
      </c>
      <c r="C241" t="s">
        <v>46</v>
      </c>
      <c r="D241" t="s">
        <v>432</v>
      </c>
      <c r="E241" s="10">
        <v>44927</v>
      </c>
      <c r="F241" s="10">
        <f t="shared" si="0"/>
        <v>46753</v>
      </c>
      <c r="G241" t="str">
        <f t="shared" ca="1" si="1"/>
        <v>Valid</v>
      </c>
    </row>
    <row r="242" spans="1:7" ht="15.75" customHeight="1">
      <c r="A242" t="s">
        <v>551</v>
      </c>
      <c r="B242" t="s">
        <v>552</v>
      </c>
      <c r="C242" t="s">
        <v>46</v>
      </c>
      <c r="D242" t="s">
        <v>432</v>
      </c>
      <c r="E242" s="10">
        <v>44927</v>
      </c>
      <c r="F242" s="10">
        <f t="shared" si="0"/>
        <v>46753</v>
      </c>
      <c r="G242" t="str">
        <f t="shared" ca="1" si="1"/>
        <v>Valid</v>
      </c>
    </row>
    <row r="243" spans="1:7" ht="15.75" customHeight="1">
      <c r="A243" t="s">
        <v>553</v>
      </c>
      <c r="B243" t="s">
        <v>554</v>
      </c>
      <c r="C243" t="s">
        <v>46</v>
      </c>
      <c r="D243" t="s">
        <v>432</v>
      </c>
      <c r="E243" s="10">
        <v>44501</v>
      </c>
      <c r="F243" s="10">
        <f t="shared" si="0"/>
        <v>46327</v>
      </c>
      <c r="G243" t="str">
        <f t="shared" ca="1" si="1"/>
        <v>Valid</v>
      </c>
    </row>
    <row r="244" spans="1:7" ht="15.75" customHeight="1">
      <c r="A244" t="s">
        <v>555</v>
      </c>
      <c r="B244" t="s">
        <v>556</v>
      </c>
      <c r="C244" t="s">
        <v>46</v>
      </c>
      <c r="D244" t="s">
        <v>432</v>
      </c>
      <c r="E244" s="10">
        <v>44470</v>
      </c>
      <c r="F244" s="10">
        <f t="shared" si="0"/>
        <v>46296</v>
      </c>
      <c r="G244" t="str">
        <f t="shared" ca="1" si="1"/>
        <v>Due</v>
      </c>
    </row>
    <row r="245" spans="1:7" ht="15.75" customHeight="1">
      <c r="A245" t="s">
        <v>557</v>
      </c>
      <c r="B245" t="s">
        <v>558</v>
      </c>
      <c r="C245" t="s">
        <v>46</v>
      </c>
      <c r="D245" t="s">
        <v>432</v>
      </c>
      <c r="E245" s="10">
        <v>44501</v>
      </c>
      <c r="F245" s="10">
        <f t="shared" si="0"/>
        <v>46327</v>
      </c>
      <c r="G245" t="str">
        <f t="shared" ca="1" si="1"/>
        <v>Valid</v>
      </c>
    </row>
    <row r="246" spans="1:7" ht="15.75" customHeight="1">
      <c r="A246" t="s">
        <v>559</v>
      </c>
      <c r="B246" t="s">
        <v>560</v>
      </c>
      <c r="C246" t="s">
        <v>46</v>
      </c>
      <c r="D246" t="s">
        <v>432</v>
      </c>
      <c r="E246" s="10">
        <v>44501</v>
      </c>
      <c r="F246" s="10">
        <f t="shared" si="0"/>
        <v>46327</v>
      </c>
      <c r="G246" t="str">
        <f t="shared" ca="1" si="1"/>
        <v>Valid</v>
      </c>
    </row>
    <row r="247" spans="1:7" ht="15.75" customHeight="1">
      <c r="A247" t="s">
        <v>561</v>
      </c>
      <c r="B247" t="s">
        <v>562</v>
      </c>
      <c r="C247" t="s">
        <v>46</v>
      </c>
      <c r="D247" t="s">
        <v>432</v>
      </c>
      <c r="E247" s="10">
        <v>44470</v>
      </c>
      <c r="F247" s="10">
        <f t="shared" si="0"/>
        <v>46296</v>
      </c>
      <c r="G247" t="str">
        <f t="shared" ca="1" si="1"/>
        <v>Due</v>
      </c>
    </row>
    <row r="248" spans="1:7" ht="15.75" customHeight="1">
      <c r="A248" t="s">
        <v>563</v>
      </c>
      <c r="B248" t="s">
        <v>564</v>
      </c>
      <c r="C248" t="s">
        <v>46</v>
      </c>
      <c r="D248" t="s">
        <v>432</v>
      </c>
      <c r="E248" s="10">
        <v>44409</v>
      </c>
      <c r="F248" s="10">
        <f t="shared" si="0"/>
        <v>46235</v>
      </c>
      <c r="G248" t="str">
        <f t="shared" ca="1" si="1"/>
        <v>Due</v>
      </c>
    </row>
    <row r="249" spans="1:7" ht="15.75" customHeight="1">
      <c r="A249" t="s">
        <v>565</v>
      </c>
      <c r="B249" t="s">
        <v>566</v>
      </c>
      <c r="C249" t="s">
        <v>146</v>
      </c>
      <c r="D249" t="s">
        <v>432</v>
      </c>
      <c r="E249" s="10">
        <v>45292</v>
      </c>
      <c r="F249" s="10">
        <f t="shared" si="0"/>
        <v>47119</v>
      </c>
      <c r="G249" t="str">
        <f t="shared" ca="1" si="1"/>
        <v>Valid</v>
      </c>
    </row>
    <row r="250" spans="1:7" ht="15.75" customHeight="1">
      <c r="A250" t="s">
        <v>567</v>
      </c>
      <c r="B250" t="s">
        <v>568</v>
      </c>
      <c r="C250" t="s">
        <v>146</v>
      </c>
      <c r="D250" t="s">
        <v>432</v>
      </c>
      <c r="E250" s="10">
        <v>45292</v>
      </c>
      <c r="F250" s="10">
        <f t="shared" si="0"/>
        <v>47119</v>
      </c>
      <c r="G250" t="str">
        <f t="shared" ca="1" si="1"/>
        <v>Valid</v>
      </c>
    </row>
    <row r="251" spans="1:7" ht="15.75" customHeight="1">
      <c r="A251" t="s">
        <v>569</v>
      </c>
      <c r="B251" t="s">
        <v>570</v>
      </c>
      <c r="C251" t="s">
        <v>146</v>
      </c>
      <c r="D251" t="s">
        <v>432</v>
      </c>
      <c r="E251" s="10">
        <v>45292</v>
      </c>
      <c r="F251" s="10">
        <f t="shared" si="0"/>
        <v>47119</v>
      </c>
      <c r="G251" t="str">
        <f t="shared" ca="1" si="1"/>
        <v>Valid</v>
      </c>
    </row>
    <row r="252" spans="1:7" ht="15.75" customHeight="1">
      <c r="A252" t="s">
        <v>571</v>
      </c>
      <c r="B252" t="s">
        <v>572</v>
      </c>
      <c r="C252" t="s">
        <v>146</v>
      </c>
      <c r="D252" t="s">
        <v>432</v>
      </c>
      <c r="E252" s="10">
        <v>45658</v>
      </c>
      <c r="F252" s="10">
        <f t="shared" si="0"/>
        <v>47484</v>
      </c>
      <c r="G252" t="str">
        <f t="shared" ca="1" si="1"/>
        <v>Valid</v>
      </c>
    </row>
    <row r="253" spans="1:7" ht="15.75" customHeight="1">
      <c r="A253" t="s">
        <v>573</v>
      </c>
      <c r="B253" t="s">
        <v>574</v>
      </c>
      <c r="C253" t="s">
        <v>146</v>
      </c>
      <c r="D253" t="s">
        <v>432</v>
      </c>
      <c r="E253" s="10">
        <v>45658</v>
      </c>
      <c r="F253" s="10">
        <f t="shared" si="0"/>
        <v>47484</v>
      </c>
      <c r="G253" t="str">
        <f t="shared" ca="1" si="1"/>
        <v>Valid</v>
      </c>
    </row>
    <row r="254" spans="1:7" ht="15.75" customHeight="1">
      <c r="A254" t="s">
        <v>575</v>
      </c>
      <c r="B254" t="s">
        <v>576</v>
      </c>
      <c r="C254" t="s">
        <v>146</v>
      </c>
      <c r="D254" t="s">
        <v>432</v>
      </c>
      <c r="E254" s="10">
        <v>44409</v>
      </c>
      <c r="F254" s="10">
        <f t="shared" si="0"/>
        <v>46235</v>
      </c>
      <c r="G254" t="str">
        <f t="shared" ca="1" si="1"/>
        <v>Due</v>
      </c>
    </row>
    <row r="255" spans="1:7" ht="15.75" customHeight="1">
      <c r="A255" t="s">
        <v>577</v>
      </c>
      <c r="B255" t="s">
        <v>578</v>
      </c>
      <c r="C255" t="s">
        <v>146</v>
      </c>
      <c r="D255" t="s">
        <v>432</v>
      </c>
      <c r="E255" s="10">
        <v>44409</v>
      </c>
      <c r="F255" s="10">
        <f t="shared" si="0"/>
        <v>46235</v>
      </c>
      <c r="G255" t="str">
        <f t="shared" ca="1" si="1"/>
        <v>Due</v>
      </c>
    </row>
    <row r="256" spans="1:7" ht="15.75" customHeight="1">
      <c r="A256" t="s">
        <v>579</v>
      </c>
      <c r="B256" t="s">
        <v>580</v>
      </c>
      <c r="C256" t="s">
        <v>146</v>
      </c>
      <c r="D256" t="s">
        <v>432</v>
      </c>
      <c r="E256" s="10">
        <v>44927</v>
      </c>
      <c r="F256" s="10">
        <f t="shared" si="0"/>
        <v>46753</v>
      </c>
      <c r="G256" t="str">
        <f t="shared" ca="1" si="1"/>
        <v>Valid</v>
      </c>
    </row>
    <row r="257" spans="1:7" ht="15.75" customHeight="1">
      <c r="A257" t="s">
        <v>581</v>
      </c>
      <c r="B257" t="s">
        <v>582</v>
      </c>
      <c r="C257" t="s">
        <v>146</v>
      </c>
      <c r="D257" t="s">
        <v>432</v>
      </c>
      <c r="E257" s="10">
        <v>45292</v>
      </c>
      <c r="F257" s="10">
        <f t="shared" si="0"/>
        <v>47119</v>
      </c>
      <c r="G257" t="str">
        <f t="shared" ca="1" si="1"/>
        <v>Valid</v>
      </c>
    </row>
    <row r="258" spans="1:7" ht="15.75" customHeight="1">
      <c r="A258" t="s">
        <v>583</v>
      </c>
      <c r="B258" t="s">
        <v>584</v>
      </c>
      <c r="C258" t="s">
        <v>146</v>
      </c>
      <c r="D258" t="s">
        <v>432</v>
      </c>
      <c r="E258" s="10">
        <v>45292</v>
      </c>
      <c r="F258" s="10">
        <f t="shared" si="0"/>
        <v>47119</v>
      </c>
      <c r="G258" t="str">
        <f t="shared" ca="1" si="1"/>
        <v>Valid</v>
      </c>
    </row>
    <row r="259" spans="1:7" ht="15.75" customHeight="1">
      <c r="A259" t="s">
        <v>585</v>
      </c>
      <c r="B259" t="s">
        <v>586</v>
      </c>
      <c r="C259" t="s">
        <v>146</v>
      </c>
      <c r="D259" t="s">
        <v>432</v>
      </c>
      <c r="E259" s="10">
        <v>44927</v>
      </c>
      <c r="F259" s="10">
        <f t="shared" si="0"/>
        <v>46753</v>
      </c>
      <c r="G259" t="str">
        <f t="shared" ca="1" si="1"/>
        <v>Valid</v>
      </c>
    </row>
    <row r="260" spans="1:7" ht="15.75" customHeight="1">
      <c r="A260" t="s">
        <v>587</v>
      </c>
      <c r="B260" t="s">
        <v>588</v>
      </c>
      <c r="C260" t="s">
        <v>146</v>
      </c>
      <c r="D260" t="s">
        <v>432</v>
      </c>
      <c r="E260" s="10">
        <v>44927</v>
      </c>
      <c r="F260" s="10">
        <f t="shared" si="0"/>
        <v>46753</v>
      </c>
      <c r="G260" t="str">
        <f t="shared" ca="1" si="1"/>
        <v>Valid</v>
      </c>
    </row>
    <row r="261" spans="1:7" ht="15.75" customHeight="1">
      <c r="A261" t="s">
        <v>589</v>
      </c>
      <c r="B261" t="s">
        <v>590</v>
      </c>
      <c r="C261" t="s">
        <v>71</v>
      </c>
      <c r="D261" t="s">
        <v>432</v>
      </c>
      <c r="E261" s="10">
        <v>44409</v>
      </c>
      <c r="F261" s="10">
        <f t="shared" si="0"/>
        <v>46235</v>
      </c>
      <c r="G261" t="str">
        <f t="shared" ca="1" si="1"/>
        <v>Due</v>
      </c>
    </row>
    <row r="262" spans="1:7" ht="15.75" customHeight="1">
      <c r="A262" t="s">
        <v>591</v>
      </c>
      <c r="B262" t="s">
        <v>592</v>
      </c>
      <c r="C262" t="s">
        <v>71</v>
      </c>
      <c r="D262" t="s">
        <v>432</v>
      </c>
      <c r="E262" s="10">
        <v>44562</v>
      </c>
      <c r="F262" s="10">
        <f t="shared" si="0"/>
        <v>46388</v>
      </c>
      <c r="G262" t="str">
        <f t="shared" ca="1" si="1"/>
        <v>Valid</v>
      </c>
    </row>
    <row r="263" spans="1:7" ht="15.75" customHeight="1">
      <c r="A263" t="s">
        <v>593</v>
      </c>
      <c r="B263" t="s">
        <v>594</v>
      </c>
      <c r="C263" t="s">
        <v>71</v>
      </c>
      <c r="D263" t="s">
        <v>432</v>
      </c>
      <c r="E263" s="10">
        <v>44562</v>
      </c>
      <c r="F263" s="10">
        <f t="shared" si="0"/>
        <v>46388</v>
      </c>
      <c r="G263" t="str">
        <f t="shared" ca="1" si="1"/>
        <v>Valid</v>
      </c>
    </row>
    <row r="264" spans="1:7" ht="15.75" customHeight="1">
      <c r="A264" t="s">
        <v>595</v>
      </c>
      <c r="B264" t="s">
        <v>596</v>
      </c>
      <c r="C264" t="s">
        <v>445</v>
      </c>
      <c r="D264" t="s">
        <v>432</v>
      </c>
      <c r="E264" s="10">
        <v>45292</v>
      </c>
      <c r="F264" s="10">
        <f t="shared" si="0"/>
        <v>47119</v>
      </c>
      <c r="G264" t="str">
        <f t="shared" ca="1" si="1"/>
        <v>Valid</v>
      </c>
    </row>
    <row r="265" spans="1:7" ht="15.75" customHeight="1">
      <c r="A265" t="s">
        <v>597</v>
      </c>
      <c r="B265" t="s">
        <v>598</v>
      </c>
      <c r="C265" t="s">
        <v>599</v>
      </c>
      <c r="D265" t="s">
        <v>432</v>
      </c>
      <c r="E265" s="10">
        <v>44927</v>
      </c>
      <c r="F265" s="10">
        <f t="shared" si="0"/>
        <v>46753</v>
      </c>
      <c r="G265" t="str">
        <f t="shared" ca="1" si="1"/>
        <v>Valid</v>
      </c>
    </row>
    <row r="266" spans="1:7" ht="15.75" customHeight="1">
      <c r="A266" t="s">
        <v>600</v>
      </c>
      <c r="B266" t="s">
        <v>601</v>
      </c>
      <c r="C266" t="s">
        <v>175</v>
      </c>
      <c r="D266" t="s">
        <v>432</v>
      </c>
      <c r="E266" s="10">
        <v>44927</v>
      </c>
      <c r="F266" s="10">
        <f t="shared" si="0"/>
        <v>46753</v>
      </c>
      <c r="G266" t="str">
        <f t="shared" ca="1" si="1"/>
        <v>Valid</v>
      </c>
    </row>
    <row r="267" spans="1:7" ht="15.75" customHeight="1">
      <c r="A267" t="s">
        <v>602</v>
      </c>
      <c r="B267" t="s">
        <v>603</v>
      </c>
      <c r="C267" t="s">
        <v>599</v>
      </c>
      <c r="D267" t="s">
        <v>432</v>
      </c>
      <c r="E267" s="10">
        <v>44927</v>
      </c>
      <c r="F267" s="10">
        <f t="shared" si="0"/>
        <v>46753</v>
      </c>
      <c r="G267" t="str">
        <f t="shared" ca="1" si="1"/>
        <v>Valid</v>
      </c>
    </row>
    <row r="268" spans="1:7" ht="15.75" customHeight="1">
      <c r="A268" t="s">
        <v>604</v>
      </c>
      <c r="B268" t="s">
        <v>605</v>
      </c>
      <c r="C268" t="s">
        <v>175</v>
      </c>
      <c r="D268" t="s">
        <v>432</v>
      </c>
      <c r="E268" s="10">
        <v>45292</v>
      </c>
      <c r="F268" s="10">
        <f t="shared" si="0"/>
        <v>47119</v>
      </c>
      <c r="G268" t="str">
        <f t="shared" ca="1" si="1"/>
        <v>Valid</v>
      </c>
    </row>
    <row r="269" spans="1:7" ht="15.75" customHeight="1">
      <c r="A269" t="s">
        <v>606</v>
      </c>
      <c r="B269" t="s">
        <v>607</v>
      </c>
      <c r="C269" t="s">
        <v>71</v>
      </c>
      <c r="D269" t="s">
        <v>432</v>
      </c>
      <c r="E269" s="10">
        <v>45658</v>
      </c>
      <c r="F269" s="10">
        <f t="shared" si="0"/>
        <v>47484</v>
      </c>
      <c r="G269" t="str">
        <f t="shared" ca="1" si="1"/>
        <v>Valid</v>
      </c>
    </row>
    <row r="270" spans="1:7" ht="15.75" customHeight="1">
      <c r="A270" t="s">
        <v>608</v>
      </c>
      <c r="B270" t="s">
        <v>609</v>
      </c>
      <c r="C270" t="s">
        <v>89</v>
      </c>
      <c r="D270" t="s">
        <v>432</v>
      </c>
      <c r="E270" s="10">
        <v>44348</v>
      </c>
      <c r="F270" s="10">
        <f t="shared" si="0"/>
        <v>46174</v>
      </c>
      <c r="G270" t="str">
        <f t="shared" ca="1" si="1"/>
        <v>Due</v>
      </c>
    </row>
    <row r="271" spans="1:7" ht="15.75" customHeight="1">
      <c r="A271" t="s">
        <v>610</v>
      </c>
      <c r="B271" t="s">
        <v>611</v>
      </c>
      <c r="C271" t="s">
        <v>22</v>
      </c>
      <c r="D271" t="s">
        <v>432</v>
      </c>
      <c r="E271" s="10">
        <v>44409</v>
      </c>
      <c r="F271" s="10">
        <f t="shared" si="0"/>
        <v>46235</v>
      </c>
      <c r="G271" t="str">
        <f t="shared" ca="1" si="1"/>
        <v>Due</v>
      </c>
    </row>
    <row r="272" spans="1:7" ht="15.75" customHeight="1">
      <c r="A272" t="s">
        <v>612</v>
      </c>
      <c r="B272" t="s">
        <v>613</v>
      </c>
      <c r="C272" t="s">
        <v>614</v>
      </c>
      <c r="D272" t="s">
        <v>432</v>
      </c>
      <c r="F272" s="10" t="str">
        <f t="shared" si="0"/>
        <v/>
      </c>
      <c r="G272" t="e">
        <f t="shared" ca="1" si="1"/>
        <v>#VALUE!</v>
      </c>
    </row>
    <row r="273" spans="1:7" ht="15.75" customHeight="1">
      <c r="A273" t="s">
        <v>615</v>
      </c>
      <c r="B273" t="s">
        <v>616</v>
      </c>
      <c r="C273" t="s">
        <v>448</v>
      </c>
      <c r="D273" t="s">
        <v>432</v>
      </c>
      <c r="F273" s="10" t="str">
        <f t="shared" si="0"/>
        <v/>
      </c>
      <c r="G273" t="e">
        <f t="shared" ca="1" si="1"/>
        <v>#VALUE!</v>
      </c>
    </row>
    <row r="274" spans="1:7" ht="15.75" customHeight="1">
      <c r="A274" t="s">
        <v>617</v>
      </c>
      <c r="B274" t="s">
        <v>618</v>
      </c>
      <c r="C274" t="s">
        <v>468</v>
      </c>
      <c r="D274" t="s">
        <v>432</v>
      </c>
      <c r="E274" s="10">
        <v>44531</v>
      </c>
      <c r="F274" s="10">
        <f t="shared" si="0"/>
        <v>46357</v>
      </c>
      <c r="G274" t="str">
        <f t="shared" ca="1" si="1"/>
        <v>Valid</v>
      </c>
    </row>
    <row r="275" spans="1:7" ht="15.75" customHeight="1">
      <c r="A275" t="s">
        <v>619</v>
      </c>
      <c r="B275" t="s">
        <v>620</v>
      </c>
      <c r="C275" t="s">
        <v>468</v>
      </c>
      <c r="D275" t="s">
        <v>432</v>
      </c>
      <c r="E275" s="10">
        <v>44531</v>
      </c>
      <c r="F275" s="10">
        <f t="shared" si="0"/>
        <v>46357</v>
      </c>
      <c r="G275" t="str">
        <f t="shared" ca="1" si="1"/>
        <v>Valid</v>
      </c>
    </row>
    <row r="276" spans="1:7" ht="15.75" customHeight="1">
      <c r="A276" t="s">
        <v>621</v>
      </c>
      <c r="B276" t="s">
        <v>622</v>
      </c>
      <c r="C276" t="s">
        <v>468</v>
      </c>
      <c r="D276" t="s">
        <v>432</v>
      </c>
      <c r="E276" s="10">
        <v>44562</v>
      </c>
      <c r="F276" s="10">
        <f t="shared" si="0"/>
        <v>46388</v>
      </c>
      <c r="G276" t="str">
        <f t="shared" ca="1" si="1"/>
        <v>Valid</v>
      </c>
    </row>
    <row r="277" spans="1:7" ht="15.75" customHeight="1">
      <c r="A277" t="s">
        <v>623</v>
      </c>
      <c r="B277" t="s">
        <v>624</v>
      </c>
      <c r="C277" t="s">
        <v>468</v>
      </c>
      <c r="D277" t="s">
        <v>432</v>
      </c>
      <c r="E277" s="10">
        <v>44501</v>
      </c>
      <c r="F277" s="10">
        <f t="shared" si="0"/>
        <v>46327</v>
      </c>
      <c r="G277" t="str">
        <f t="shared" ca="1" si="1"/>
        <v>Valid</v>
      </c>
    </row>
    <row r="278" spans="1:7" ht="15.75" customHeight="1">
      <c r="A278" t="s">
        <v>625</v>
      </c>
      <c r="B278" t="s">
        <v>296</v>
      </c>
      <c r="C278" t="s">
        <v>468</v>
      </c>
      <c r="D278" t="s">
        <v>432</v>
      </c>
      <c r="E278" s="10">
        <v>44562</v>
      </c>
      <c r="F278" s="10">
        <f t="shared" si="0"/>
        <v>46388</v>
      </c>
      <c r="G278" t="str">
        <f t="shared" ca="1" si="1"/>
        <v>Valid</v>
      </c>
    </row>
    <row r="279" spans="1:7" ht="15.75" customHeight="1">
      <c r="A279" t="s">
        <v>626</v>
      </c>
      <c r="B279" t="s">
        <v>627</v>
      </c>
      <c r="C279" t="s">
        <v>468</v>
      </c>
      <c r="D279" t="s">
        <v>432</v>
      </c>
      <c r="E279" s="10">
        <v>44562</v>
      </c>
      <c r="F279" s="10">
        <f t="shared" si="0"/>
        <v>46388</v>
      </c>
      <c r="G279" t="str">
        <f t="shared" ca="1" si="1"/>
        <v>Valid</v>
      </c>
    </row>
    <row r="280" spans="1:7" ht="15.75" customHeight="1">
      <c r="A280" t="s">
        <v>628</v>
      </c>
      <c r="B280" t="s">
        <v>629</v>
      </c>
      <c r="C280" t="s">
        <v>468</v>
      </c>
      <c r="D280" t="s">
        <v>432</v>
      </c>
      <c r="E280" s="10">
        <v>44927</v>
      </c>
      <c r="F280" s="10">
        <f t="shared" si="0"/>
        <v>46753</v>
      </c>
      <c r="G280" t="str">
        <f t="shared" ca="1" si="1"/>
        <v>Valid</v>
      </c>
    </row>
    <row r="281" spans="1:7" ht="15.75" customHeight="1">
      <c r="A281" t="s">
        <v>630</v>
      </c>
      <c r="B281" t="s">
        <v>631</v>
      </c>
      <c r="C281" t="s">
        <v>46</v>
      </c>
      <c r="D281" t="s">
        <v>432</v>
      </c>
      <c r="E281" s="10">
        <v>44501</v>
      </c>
      <c r="F281" s="10">
        <f t="shared" si="0"/>
        <v>46327</v>
      </c>
      <c r="G281" t="str">
        <f t="shared" ca="1" si="1"/>
        <v>Valid</v>
      </c>
    </row>
    <row r="282" spans="1:7" ht="15.75" customHeight="1">
      <c r="A282" t="s">
        <v>632</v>
      </c>
      <c r="B282" t="s">
        <v>633</v>
      </c>
      <c r="C282" t="s">
        <v>46</v>
      </c>
      <c r="D282" t="s">
        <v>432</v>
      </c>
      <c r="E282" s="10">
        <v>44470</v>
      </c>
      <c r="F282" s="10">
        <f t="shared" si="0"/>
        <v>46296</v>
      </c>
      <c r="G282" t="str">
        <f t="shared" ca="1" si="1"/>
        <v>Due</v>
      </c>
    </row>
    <row r="283" spans="1:7" ht="15.75" customHeight="1">
      <c r="A283" t="s">
        <v>634</v>
      </c>
      <c r="B283" t="s">
        <v>635</v>
      </c>
      <c r="C283" t="s">
        <v>146</v>
      </c>
      <c r="D283" t="s">
        <v>432</v>
      </c>
      <c r="E283" s="10">
        <v>45292</v>
      </c>
      <c r="F283" s="10">
        <f t="shared" si="0"/>
        <v>47119</v>
      </c>
      <c r="G283" t="str">
        <f t="shared" ca="1" si="1"/>
        <v>Valid</v>
      </c>
    </row>
    <row r="284" spans="1:7" ht="15.75" customHeight="1">
      <c r="A284" t="s">
        <v>636</v>
      </c>
      <c r="B284" t="s">
        <v>637</v>
      </c>
      <c r="C284" t="s">
        <v>146</v>
      </c>
      <c r="D284" t="s">
        <v>432</v>
      </c>
      <c r="E284" s="10">
        <v>45292</v>
      </c>
      <c r="F284" s="10">
        <f t="shared" si="0"/>
        <v>47119</v>
      </c>
      <c r="G284" t="str">
        <f t="shared" ca="1" si="1"/>
        <v>Valid</v>
      </c>
    </row>
    <row r="285" spans="1:7" ht="15.75" customHeight="1">
      <c r="A285" t="s">
        <v>638</v>
      </c>
      <c r="B285" t="s">
        <v>639</v>
      </c>
      <c r="C285" t="s">
        <v>146</v>
      </c>
      <c r="D285" t="s">
        <v>432</v>
      </c>
      <c r="E285" s="10">
        <v>45658</v>
      </c>
      <c r="F285" s="10">
        <f t="shared" si="0"/>
        <v>47484</v>
      </c>
      <c r="G285" t="str">
        <f t="shared" ca="1" si="1"/>
        <v>Valid</v>
      </c>
    </row>
    <row r="286" spans="1:7" ht="15.75" customHeight="1">
      <c r="A286" t="s">
        <v>640</v>
      </c>
      <c r="B286" t="s">
        <v>641</v>
      </c>
      <c r="C286" t="s">
        <v>175</v>
      </c>
      <c r="D286" t="s">
        <v>432</v>
      </c>
      <c r="E286" s="10">
        <v>45658</v>
      </c>
      <c r="F286" s="10">
        <f t="shared" si="0"/>
        <v>47484</v>
      </c>
      <c r="G286" t="str">
        <f t="shared" ca="1" si="1"/>
        <v>Valid</v>
      </c>
    </row>
    <row r="287" spans="1:7" ht="15.75" customHeight="1">
      <c r="A287" t="s">
        <v>642</v>
      </c>
      <c r="B287" t="s">
        <v>643</v>
      </c>
      <c r="C287" t="s">
        <v>614</v>
      </c>
      <c r="D287" t="s">
        <v>432</v>
      </c>
      <c r="F287" s="10" t="str">
        <f t="shared" si="0"/>
        <v/>
      </c>
      <c r="G287" t="e">
        <f t="shared" ca="1" si="1"/>
        <v>#VALUE!</v>
      </c>
    </row>
    <row r="288" spans="1:7" ht="15.75" customHeight="1">
      <c r="A288" t="s">
        <v>644</v>
      </c>
      <c r="B288" t="s">
        <v>645</v>
      </c>
      <c r="C288" t="s">
        <v>614</v>
      </c>
      <c r="D288" t="s">
        <v>432</v>
      </c>
      <c r="F288" s="10" t="str">
        <f t="shared" si="0"/>
        <v/>
      </c>
      <c r="G288" t="e">
        <f t="shared" ca="1" si="1"/>
        <v>#VALUE!</v>
      </c>
    </row>
    <row r="289" spans="1:7" ht="15.75" customHeight="1">
      <c r="A289" t="s">
        <v>646</v>
      </c>
      <c r="B289" t="s">
        <v>647</v>
      </c>
      <c r="C289" t="s">
        <v>648</v>
      </c>
      <c r="D289" t="s">
        <v>432</v>
      </c>
      <c r="F289" s="10" t="str">
        <f t="shared" si="0"/>
        <v/>
      </c>
      <c r="G289" t="e">
        <f t="shared" ca="1" si="1"/>
        <v>#VALUE!</v>
      </c>
    </row>
    <row r="290" spans="1:7" ht="15.75" customHeight="1">
      <c r="A290" t="s">
        <v>649</v>
      </c>
      <c r="B290" t="s">
        <v>650</v>
      </c>
      <c r="C290" t="s">
        <v>146</v>
      </c>
      <c r="D290" t="s">
        <v>432</v>
      </c>
      <c r="F290" s="10" t="str">
        <f t="shared" si="0"/>
        <v/>
      </c>
      <c r="G290" t="e">
        <f t="shared" ca="1" si="1"/>
        <v>#VALUE!</v>
      </c>
    </row>
    <row r="291" spans="1:7" ht="15.75" customHeight="1">
      <c r="A291" t="s">
        <v>651</v>
      </c>
      <c r="B291" t="s">
        <v>652</v>
      </c>
      <c r="C291" t="s">
        <v>653</v>
      </c>
      <c r="D291" t="s">
        <v>432</v>
      </c>
      <c r="F291" s="10" t="str">
        <f t="shared" si="0"/>
        <v/>
      </c>
      <c r="G291" t="e">
        <f t="shared" ca="1" si="1"/>
        <v>#VALUE!</v>
      </c>
    </row>
    <row r="292" spans="1:7" ht="15.75" customHeight="1">
      <c r="A292" t="s">
        <v>654</v>
      </c>
      <c r="B292" t="s">
        <v>655</v>
      </c>
      <c r="C292" t="s">
        <v>656</v>
      </c>
      <c r="D292" t="s">
        <v>432</v>
      </c>
      <c r="E292" s="10">
        <v>45658</v>
      </c>
      <c r="F292" s="10">
        <f t="shared" si="0"/>
        <v>47484</v>
      </c>
      <c r="G292" t="str">
        <f t="shared" ca="1" si="1"/>
        <v>Valid</v>
      </c>
    </row>
    <row r="293" spans="1:7" ht="15.75" customHeight="1">
      <c r="A293" t="s">
        <v>657</v>
      </c>
      <c r="B293" t="s">
        <v>658</v>
      </c>
      <c r="C293" t="s">
        <v>659</v>
      </c>
      <c r="D293" t="s">
        <v>432</v>
      </c>
      <c r="E293" s="10">
        <v>45292</v>
      </c>
      <c r="F293" s="10">
        <f t="shared" si="0"/>
        <v>47119</v>
      </c>
      <c r="G293" t="str">
        <f t="shared" ca="1" si="1"/>
        <v>Valid</v>
      </c>
    </row>
    <row r="294" spans="1:7" ht="15.75" customHeight="1">
      <c r="A294" t="s">
        <v>660</v>
      </c>
      <c r="B294" t="s">
        <v>661</v>
      </c>
      <c r="C294" t="s">
        <v>89</v>
      </c>
      <c r="D294" t="s">
        <v>432</v>
      </c>
      <c r="E294" s="10">
        <v>44348</v>
      </c>
      <c r="F294" s="10">
        <f t="shared" si="0"/>
        <v>46174</v>
      </c>
      <c r="G294" t="str">
        <f t="shared" ca="1" si="1"/>
        <v>Due</v>
      </c>
    </row>
    <row r="295" spans="1:7" ht="15.75" customHeight="1">
      <c r="A295" t="s">
        <v>662</v>
      </c>
      <c r="B295" t="s">
        <v>663</v>
      </c>
      <c r="C295" t="s">
        <v>46</v>
      </c>
      <c r="D295" t="s">
        <v>19</v>
      </c>
      <c r="E295" s="10">
        <v>45658</v>
      </c>
      <c r="F295" s="10">
        <f t="shared" si="0"/>
        <v>47484</v>
      </c>
      <c r="G295" t="str">
        <f t="shared" ca="1" si="1"/>
        <v>Valid</v>
      </c>
    </row>
    <row r="296" spans="1:7" ht="15.75" customHeight="1">
      <c r="A296" t="s">
        <v>664</v>
      </c>
      <c r="B296" t="s">
        <v>665</v>
      </c>
      <c r="C296" t="s">
        <v>666</v>
      </c>
      <c r="D296" t="s">
        <v>19</v>
      </c>
      <c r="F296" s="10" t="str">
        <f t="shared" si="0"/>
        <v/>
      </c>
      <c r="G296" t="e">
        <f t="shared" ca="1" si="1"/>
        <v>#VALUE!</v>
      </c>
    </row>
    <row r="297" spans="1:7" ht="15.75" customHeight="1">
      <c r="A297" t="s">
        <v>667</v>
      </c>
      <c r="B297" t="s">
        <v>668</v>
      </c>
      <c r="C297" t="s">
        <v>46</v>
      </c>
      <c r="D297" t="s">
        <v>19</v>
      </c>
      <c r="F297" s="10" t="str">
        <f t="shared" si="0"/>
        <v/>
      </c>
      <c r="G297" t="e">
        <f t="shared" ca="1" si="1"/>
        <v>#VALUE!</v>
      </c>
    </row>
    <row r="298" spans="1:7" ht="15.75" customHeight="1">
      <c r="A298" t="s">
        <v>669</v>
      </c>
      <c r="B298" t="s">
        <v>670</v>
      </c>
      <c r="C298" t="s">
        <v>46</v>
      </c>
      <c r="D298" t="s">
        <v>19</v>
      </c>
      <c r="E298" s="10">
        <v>44501</v>
      </c>
      <c r="F298" s="10">
        <f t="shared" si="0"/>
        <v>46327</v>
      </c>
      <c r="G298" t="str">
        <f t="shared" ca="1" si="1"/>
        <v>Valid</v>
      </c>
    </row>
    <row r="299" spans="1:7" ht="15.75" customHeight="1">
      <c r="A299" t="s">
        <v>671</v>
      </c>
      <c r="B299" t="s">
        <v>672</v>
      </c>
      <c r="C299" t="s">
        <v>46</v>
      </c>
      <c r="D299" t="s">
        <v>432</v>
      </c>
      <c r="E299" s="10">
        <v>44501</v>
      </c>
      <c r="F299" s="10">
        <f t="shared" si="0"/>
        <v>46327</v>
      </c>
      <c r="G299" t="str">
        <f t="shared" ca="1" si="1"/>
        <v>Valid</v>
      </c>
    </row>
    <row r="300" spans="1:7" ht="15.75" customHeight="1">
      <c r="A300" t="s">
        <v>673</v>
      </c>
      <c r="B300" t="s">
        <v>674</v>
      </c>
      <c r="C300" t="s">
        <v>46</v>
      </c>
      <c r="D300" t="s">
        <v>432</v>
      </c>
      <c r="E300" s="10">
        <v>44470</v>
      </c>
      <c r="F300" s="10">
        <f t="shared" si="0"/>
        <v>46296</v>
      </c>
      <c r="G300" t="str">
        <f t="shared" ca="1" si="1"/>
        <v>Due</v>
      </c>
    </row>
    <row r="301" spans="1:7" ht="15.75" customHeight="1">
      <c r="A301" t="s">
        <v>675</v>
      </c>
      <c r="B301" t="s">
        <v>676</v>
      </c>
      <c r="C301" t="s">
        <v>146</v>
      </c>
      <c r="D301" t="s">
        <v>19</v>
      </c>
      <c r="E301" s="10">
        <v>45292</v>
      </c>
      <c r="F301" s="10">
        <f t="shared" si="0"/>
        <v>47119</v>
      </c>
      <c r="G301" t="str">
        <f t="shared" ca="1" si="1"/>
        <v>Valid</v>
      </c>
    </row>
    <row r="302" spans="1:7" ht="15.75" customHeight="1">
      <c r="A302" t="s">
        <v>677</v>
      </c>
      <c r="B302" t="s">
        <v>678</v>
      </c>
      <c r="C302" t="s">
        <v>146</v>
      </c>
      <c r="D302" t="s">
        <v>19</v>
      </c>
      <c r="E302" s="10">
        <v>44501</v>
      </c>
      <c r="F302" s="10">
        <f t="shared" si="0"/>
        <v>46327</v>
      </c>
      <c r="G302" t="str">
        <f t="shared" ca="1" si="1"/>
        <v>Valid</v>
      </c>
    </row>
    <row r="303" spans="1:7" ht="15.75" customHeight="1">
      <c r="A303" t="s">
        <v>679</v>
      </c>
      <c r="B303" t="s">
        <v>680</v>
      </c>
      <c r="C303" t="s">
        <v>681</v>
      </c>
      <c r="D303" t="s">
        <v>19</v>
      </c>
      <c r="F303" s="10" t="str">
        <f t="shared" si="0"/>
        <v/>
      </c>
      <c r="G303" t="e">
        <f t="shared" ca="1" si="1"/>
        <v>#VALUE!</v>
      </c>
    </row>
    <row r="304" spans="1:7" ht="15.75" customHeight="1">
      <c r="A304" t="s">
        <v>682</v>
      </c>
      <c r="B304" t="s">
        <v>683</v>
      </c>
      <c r="C304" t="s">
        <v>71</v>
      </c>
      <c r="D304" t="s">
        <v>19</v>
      </c>
      <c r="E304" s="10">
        <v>45292</v>
      </c>
      <c r="F304" s="10">
        <f t="shared" si="0"/>
        <v>47119</v>
      </c>
      <c r="G304" t="str">
        <f t="shared" ca="1" si="1"/>
        <v>Valid</v>
      </c>
    </row>
    <row r="305" spans="1:7" ht="15.75" customHeight="1">
      <c r="A305" t="s">
        <v>684</v>
      </c>
      <c r="B305" t="s">
        <v>685</v>
      </c>
      <c r="C305" t="s">
        <v>71</v>
      </c>
      <c r="D305" t="s">
        <v>19</v>
      </c>
      <c r="E305" s="10">
        <v>45292</v>
      </c>
      <c r="F305" s="10">
        <f t="shared" si="0"/>
        <v>47119</v>
      </c>
      <c r="G305" t="str">
        <f t="shared" ca="1" si="1"/>
        <v>Valid</v>
      </c>
    </row>
    <row r="306" spans="1:7" ht="15.75" customHeight="1">
      <c r="A306" t="s">
        <v>686</v>
      </c>
      <c r="B306" t="s">
        <v>687</v>
      </c>
      <c r="C306" t="s">
        <v>688</v>
      </c>
      <c r="D306" t="s">
        <v>19</v>
      </c>
      <c r="E306" s="10">
        <v>44562</v>
      </c>
      <c r="F306" s="10">
        <f t="shared" si="0"/>
        <v>46388</v>
      </c>
      <c r="G306" t="str">
        <f t="shared" ca="1" si="1"/>
        <v>Valid</v>
      </c>
    </row>
    <row r="307" spans="1:7" ht="15.75" customHeight="1">
      <c r="A307" t="s">
        <v>689</v>
      </c>
      <c r="B307" t="s">
        <v>690</v>
      </c>
      <c r="C307" t="s">
        <v>599</v>
      </c>
      <c r="D307" t="s">
        <v>19</v>
      </c>
      <c r="E307" s="10">
        <v>44562</v>
      </c>
      <c r="F307" s="10">
        <f t="shared" si="0"/>
        <v>46388</v>
      </c>
      <c r="G307" t="str">
        <f t="shared" ca="1" si="1"/>
        <v>Valid</v>
      </c>
    </row>
  </sheetData>
  <autoFilter ref="A3:G307"/>
  <conditionalFormatting sqref="G4:G307">
    <cfRule type="cellIs" dxfId="824" priority="1" operator="equal">
      <formula>"Due"</formula>
    </cfRule>
  </conditionalFormatting>
  <conditionalFormatting sqref="G4:G307">
    <cfRule type="cellIs" dxfId="823" priority="2" operator="equal">
      <formula>"Due"</formula>
    </cfRule>
  </conditionalFormatting>
  <conditionalFormatting sqref="G4:G307">
    <cfRule type="cellIs" dxfId="822" priority="3" operator="equal">
      <formula>"Due"</formula>
    </cfRule>
  </conditionalFormatting>
  <conditionalFormatting sqref="G4:G307">
    <cfRule type="cellIs" dxfId="821" priority="4" operator="equal">
      <formula>"Due"</formula>
    </cfRule>
  </conditionalFormatting>
  <conditionalFormatting sqref="G4:G307">
    <cfRule type="cellIs" dxfId="820" priority="5" operator="equal">
      <formula>"Due"</formula>
    </cfRule>
  </conditionalFormatting>
  <conditionalFormatting sqref="G4:G307">
    <cfRule type="cellIs" dxfId="819" priority="6" operator="equal">
      <formula>"Due"</formula>
    </cfRule>
  </conditionalFormatting>
  <conditionalFormatting sqref="G4:G307">
    <cfRule type="cellIs" dxfId="818" priority="7" operator="equal">
      <formula>"Due"</formula>
    </cfRule>
  </conditionalFormatting>
  <conditionalFormatting sqref="G4:G307">
    <cfRule type="cellIs" dxfId="817" priority="8" operator="equal">
      <formula>"Due"</formula>
    </cfRule>
  </conditionalFormatting>
  <conditionalFormatting sqref="G4:G307">
    <cfRule type="cellIs" dxfId="816" priority="9" operator="equal">
      <formula>"Due"</formula>
    </cfRule>
  </conditionalFormatting>
  <conditionalFormatting sqref="G4:G307">
    <cfRule type="cellIs" dxfId="815" priority="10" operator="equal">
      <formula>"Due"</formula>
    </cfRule>
  </conditionalFormatting>
  <conditionalFormatting sqref="G4:G307">
    <cfRule type="cellIs" dxfId="814" priority="11" operator="equal">
      <formula>"Due"</formula>
    </cfRule>
  </conditionalFormatting>
  <conditionalFormatting sqref="G4:G307">
    <cfRule type="cellIs" dxfId="813" priority="12" operator="equal">
      <formula>"Due"</formula>
    </cfRule>
  </conditionalFormatting>
  <conditionalFormatting sqref="G4:G307">
    <cfRule type="cellIs" dxfId="812" priority="13" operator="equal">
      <formula>"Due"</formula>
    </cfRule>
  </conditionalFormatting>
  <conditionalFormatting sqref="G4:G307">
    <cfRule type="cellIs" dxfId="811" priority="14" operator="equal">
      <formula>"Due"</formula>
    </cfRule>
  </conditionalFormatting>
  <conditionalFormatting sqref="G4:G307">
    <cfRule type="cellIs" dxfId="810" priority="15" operator="equal">
      <formula>"Due"</formula>
    </cfRule>
  </conditionalFormatting>
  <conditionalFormatting sqref="G4:G307">
    <cfRule type="cellIs" dxfId="809" priority="16" operator="equal">
      <formula>"Due"</formula>
    </cfRule>
  </conditionalFormatting>
  <conditionalFormatting sqref="G4:G307">
    <cfRule type="cellIs" dxfId="808" priority="17" operator="equal">
      <formula>"Due"</formula>
    </cfRule>
  </conditionalFormatting>
  <conditionalFormatting sqref="G4:G307">
    <cfRule type="cellIs" dxfId="807" priority="18" operator="equal">
      <formula>"Due"</formula>
    </cfRule>
  </conditionalFormatting>
  <conditionalFormatting sqref="G4:G307">
    <cfRule type="cellIs" dxfId="806" priority="19" operator="equal">
      <formula>"Due"</formula>
    </cfRule>
  </conditionalFormatting>
  <conditionalFormatting sqref="G4:G307">
    <cfRule type="cellIs" dxfId="805" priority="20" operator="equal">
      <formula>"Due"</formula>
    </cfRule>
  </conditionalFormatting>
  <conditionalFormatting sqref="G4:G307">
    <cfRule type="cellIs" dxfId="804" priority="21" operator="equal">
      <formula>"Due"</formula>
    </cfRule>
  </conditionalFormatting>
  <conditionalFormatting sqref="G4:G307">
    <cfRule type="cellIs" dxfId="803" priority="22" operator="equal">
      <formula>"Due"</formula>
    </cfRule>
  </conditionalFormatting>
  <conditionalFormatting sqref="G4:G307">
    <cfRule type="cellIs" dxfId="802" priority="23" operator="equal">
      <formula>"Due"</formula>
    </cfRule>
  </conditionalFormatting>
  <conditionalFormatting sqref="G4:G307">
    <cfRule type="cellIs" dxfId="801" priority="24" operator="equal">
      <formula>"Due"</formula>
    </cfRule>
  </conditionalFormatting>
  <conditionalFormatting sqref="G4:G307">
    <cfRule type="cellIs" dxfId="800" priority="25" operator="equal">
      <formula>"Due"</formula>
    </cfRule>
  </conditionalFormatting>
  <conditionalFormatting sqref="G4:G307">
    <cfRule type="cellIs" dxfId="799" priority="26" operator="equal">
      <formula>"Due"</formula>
    </cfRule>
  </conditionalFormatting>
  <conditionalFormatting sqref="G4:G307">
    <cfRule type="cellIs" dxfId="798" priority="27" operator="equal">
      <formula>"Due"</formula>
    </cfRule>
  </conditionalFormatting>
  <conditionalFormatting sqref="G4:G307">
    <cfRule type="cellIs" dxfId="797" priority="28" operator="equal">
      <formula>"Due"</formula>
    </cfRule>
  </conditionalFormatting>
  <conditionalFormatting sqref="G4:G307">
    <cfRule type="cellIs" dxfId="796" priority="29" operator="equal">
      <formula>"Due"</formula>
    </cfRule>
  </conditionalFormatting>
  <conditionalFormatting sqref="G4:G307">
    <cfRule type="cellIs" dxfId="795" priority="30" operator="equal">
      <formula>"Due"</formula>
    </cfRule>
  </conditionalFormatting>
  <conditionalFormatting sqref="G4:G307">
    <cfRule type="cellIs" dxfId="794" priority="31" operator="equal">
      <formula>"Due"</formula>
    </cfRule>
  </conditionalFormatting>
  <conditionalFormatting sqref="G4:G307">
    <cfRule type="cellIs" dxfId="793" priority="32" operator="equal">
      <formula>"Due"</formula>
    </cfRule>
  </conditionalFormatting>
  <conditionalFormatting sqref="G4:G307">
    <cfRule type="cellIs" dxfId="792" priority="33" operator="equal">
      <formula>"Due"</formula>
    </cfRule>
  </conditionalFormatting>
  <conditionalFormatting sqref="G4:G307">
    <cfRule type="cellIs" dxfId="791" priority="34" operator="equal">
      <formula>"Due"</formula>
    </cfRule>
  </conditionalFormatting>
  <conditionalFormatting sqref="G4:G307">
    <cfRule type="cellIs" dxfId="790" priority="35" operator="equal">
      <formula>"Due"</formula>
    </cfRule>
  </conditionalFormatting>
  <conditionalFormatting sqref="G4:G307">
    <cfRule type="cellIs" dxfId="789" priority="36" operator="equal">
      <formula>"Due"</formula>
    </cfRule>
  </conditionalFormatting>
  <conditionalFormatting sqref="G4:G307">
    <cfRule type="cellIs" dxfId="788" priority="37" operator="equal">
      <formula>"Due"</formula>
    </cfRule>
  </conditionalFormatting>
  <conditionalFormatting sqref="G4:G307">
    <cfRule type="cellIs" dxfId="787" priority="38" operator="equal">
      <formula>"Due"</formula>
    </cfRule>
  </conditionalFormatting>
  <conditionalFormatting sqref="G4:G307">
    <cfRule type="cellIs" dxfId="786" priority="39" operator="equal">
      <formula>"Due"</formula>
    </cfRule>
  </conditionalFormatting>
  <conditionalFormatting sqref="G4:G307">
    <cfRule type="cellIs" dxfId="785" priority="40" operator="equal">
      <formula>"Due"</formula>
    </cfRule>
  </conditionalFormatting>
  <conditionalFormatting sqref="G4:G307">
    <cfRule type="cellIs" dxfId="784" priority="41" operator="equal">
      <formula>"Due"</formula>
    </cfRule>
  </conditionalFormatting>
  <conditionalFormatting sqref="G4:G307">
    <cfRule type="cellIs" dxfId="783" priority="42" operator="equal">
      <formula>"Due"</formula>
    </cfRule>
  </conditionalFormatting>
  <conditionalFormatting sqref="G4:G307">
    <cfRule type="cellIs" dxfId="782" priority="43" operator="equal">
      <formula>"Due"</formula>
    </cfRule>
  </conditionalFormatting>
  <conditionalFormatting sqref="G4:G307">
    <cfRule type="cellIs" dxfId="781" priority="44" operator="equal">
      <formula>"Due"</formula>
    </cfRule>
  </conditionalFormatting>
  <conditionalFormatting sqref="G4:G307">
    <cfRule type="cellIs" dxfId="780" priority="45" operator="equal">
      <formula>"Due"</formula>
    </cfRule>
  </conditionalFormatting>
  <conditionalFormatting sqref="G4:G307">
    <cfRule type="cellIs" dxfId="779" priority="46" operator="equal">
      <formula>"Due"</formula>
    </cfRule>
  </conditionalFormatting>
  <conditionalFormatting sqref="G4:G307">
    <cfRule type="cellIs" dxfId="778" priority="47" operator="equal">
      <formula>"Due"</formula>
    </cfRule>
  </conditionalFormatting>
  <conditionalFormatting sqref="G4:G307">
    <cfRule type="cellIs" dxfId="777" priority="48" operator="equal">
      <formula>"Due"</formula>
    </cfRule>
  </conditionalFormatting>
  <conditionalFormatting sqref="G4:G307">
    <cfRule type="cellIs" dxfId="776" priority="49" operator="equal">
      <formula>"Due"</formula>
    </cfRule>
  </conditionalFormatting>
  <conditionalFormatting sqref="G4:G307">
    <cfRule type="cellIs" dxfId="775" priority="50" operator="equal">
      <formula>"Due"</formula>
    </cfRule>
  </conditionalFormatting>
  <conditionalFormatting sqref="G4:G307">
    <cfRule type="cellIs" dxfId="774" priority="51" operator="equal">
      <formula>"Due"</formula>
    </cfRule>
  </conditionalFormatting>
  <conditionalFormatting sqref="G4:G307">
    <cfRule type="cellIs" dxfId="773" priority="52" operator="equal">
      <formula>"Due"</formula>
    </cfRule>
  </conditionalFormatting>
  <conditionalFormatting sqref="G4:G307">
    <cfRule type="cellIs" dxfId="772" priority="53" operator="equal">
      <formula>"Due"</formula>
    </cfRule>
  </conditionalFormatting>
  <conditionalFormatting sqref="G4:G307">
    <cfRule type="cellIs" dxfId="771" priority="54" operator="equal">
      <formula>"Due"</formula>
    </cfRule>
  </conditionalFormatting>
  <conditionalFormatting sqref="G4:G307">
    <cfRule type="cellIs" dxfId="770" priority="55" operator="equal">
      <formula>"Due"</formula>
    </cfRule>
  </conditionalFormatting>
  <conditionalFormatting sqref="G4:G307">
    <cfRule type="cellIs" dxfId="769" priority="56" operator="equal">
      <formula>"Due"</formula>
    </cfRule>
  </conditionalFormatting>
  <conditionalFormatting sqref="G4:G307">
    <cfRule type="cellIs" dxfId="768" priority="57" operator="equal">
      <formula>"Due"</formula>
    </cfRule>
  </conditionalFormatting>
  <conditionalFormatting sqref="G4:G307">
    <cfRule type="cellIs" dxfId="767" priority="58" operator="equal">
      <formula>"Due"</formula>
    </cfRule>
  </conditionalFormatting>
  <conditionalFormatting sqref="G4:G307">
    <cfRule type="cellIs" dxfId="766" priority="59" operator="equal">
      <formula>"Due"</formula>
    </cfRule>
  </conditionalFormatting>
  <conditionalFormatting sqref="G4:G307">
    <cfRule type="cellIs" dxfId="765" priority="60" operator="equal">
      <formula>"Due"</formula>
    </cfRule>
  </conditionalFormatting>
  <conditionalFormatting sqref="G4:G307">
    <cfRule type="cellIs" dxfId="764" priority="61" operator="equal">
      <formula>"Due"</formula>
    </cfRule>
  </conditionalFormatting>
  <conditionalFormatting sqref="G4:G307">
    <cfRule type="cellIs" dxfId="763" priority="62" operator="equal">
      <formula>"Due"</formula>
    </cfRule>
  </conditionalFormatting>
  <conditionalFormatting sqref="G4:G307">
    <cfRule type="cellIs" dxfId="762" priority="63" operator="equal">
      <formula>"Due"</formula>
    </cfRule>
  </conditionalFormatting>
  <conditionalFormatting sqref="G4:G307">
    <cfRule type="cellIs" dxfId="761" priority="64" operator="equal">
      <formula>"Due"</formula>
    </cfRule>
  </conditionalFormatting>
  <conditionalFormatting sqref="G4:G307">
    <cfRule type="cellIs" dxfId="760" priority="65" operator="equal">
      <formula>"Due"</formula>
    </cfRule>
  </conditionalFormatting>
  <conditionalFormatting sqref="G4:G307">
    <cfRule type="cellIs" dxfId="759" priority="66" operator="equal">
      <formula>"Due"</formula>
    </cfRule>
  </conditionalFormatting>
  <conditionalFormatting sqref="G4:G307">
    <cfRule type="cellIs" dxfId="758" priority="67" operator="equal">
      <formula>"Due"</formula>
    </cfRule>
  </conditionalFormatting>
  <conditionalFormatting sqref="G4:G307">
    <cfRule type="cellIs" dxfId="757" priority="68" operator="equal">
      <formula>"Due"</formula>
    </cfRule>
  </conditionalFormatting>
  <conditionalFormatting sqref="G4:G307">
    <cfRule type="cellIs" dxfId="756" priority="69" operator="equal">
      <formula>"Due"</formula>
    </cfRule>
  </conditionalFormatting>
  <conditionalFormatting sqref="G4:G307">
    <cfRule type="cellIs" dxfId="755" priority="70" operator="equal">
      <formula>"Due"</formula>
    </cfRule>
  </conditionalFormatting>
  <conditionalFormatting sqref="G4:G307">
    <cfRule type="cellIs" dxfId="754" priority="71" operator="equal">
      <formula>"Due"</formula>
    </cfRule>
  </conditionalFormatting>
  <conditionalFormatting sqref="G4:G307">
    <cfRule type="cellIs" dxfId="753" priority="72" operator="equal">
      <formula>"Due"</formula>
    </cfRule>
  </conditionalFormatting>
  <conditionalFormatting sqref="G4:G307">
    <cfRule type="cellIs" dxfId="752" priority="73" operator="equal">
      <formula>"Due"</formula>
    </cfRule>
  </conditionalFormatting>
  <conditionalFormatting sqref="G4:G307">
    <cfRule type="cellIs" dxfId="751" priority="74" operator="equal">
      <formula>"Due"</formula>
    </cfRule>
  </conditionalFormatting>
  <conditionalFormatting sqref="G4:G307">
    <cfRule type="cellIs" dxfId="750" priority="75" operator="equal">
      <formula>"Due"</formula>
    </cfRule>
  </conditionalFormatting>
  <conditionalFormatting sqref="G4:G307">
    <cfRule type="cellIs" dxfId="749" priority="76" operator="equal">
      <formula>"Due"</formula>
    </cfRule>
  </conditionalFormatting>
  <conditionalFormatting sqref="G4:G307">
    <cfRule type="cellIs" dxfId="748" priority="77" operator="equal">
      <formula>"Due"</formula>
    </cfRule>
  </conditionalFormatting>
  <conditionalFormatting sqref="G4:G307">
    <cfRule type="cellIs" dxfId="747" priority="78" operator="equal">
      <formula>"Due"</formula>
    </cfRule>
  </conditionalFormatting>
  <conditionalFormatting sqref="G4:G307">
    <cfRule type="cellIs" dxfId="746" priority="79" operator="equal">
      <formula>"Due"</formula>
    </cfRule>
  </conditionalFormatting>
  <conditionalFormatting sqref="G4:G307">
    <cfRule type="cellIs" dxfId="745" priority="80" operator="equal">
      <formula>"Due"</formula>
    </cfRule>
  </conditionalFormatting>
  <conditionalFormatting sqref="G4:G307">
    <cfRule type="cellIs" dxfId="744" priority="81" operator="equal">
      <formula>"Due"</formula>
    </cfRule>
  </conditionalFormatting>
  <conditionalFormatting sqref="G4:G307">
    <cfRule type="cellIs" dxfId="743" priority="82" operator="equal">
      <formula>"Due"</formula>
    </cfRule>
  </conditionalFormatting>
  <conditionalFormatting sqref="G4:G307">
    <cfRule type="cellIs" dxfId="742" priority="83" operator="equal">
      <formula>"Due"</formula>
    </cfRule>
  </conditionalFormatting>
  <conditionalFormatting sqref="G4:G307">
    <cfRule type="cellIs" dxfId="741" priority="84" operator="equal">
      <formula>"Due"</formula>
    </cfRule>
  </conditionalFormatting>
  <conditionalFormatting sqref="G4:G307">
    <cfRule type="cellIs" dxfId="740" priority="85" operator="equal">
      <formula>"Due"</formula>
    </cfRule>
  </conditionalFormatting>
  <conditionalFormatting sqref="G4:G307">
    <cfRule type="cellIs" dxfId="739" priority="86" operator="equal">
      <formula>"Due"</formula>
    </cfRule>
  </conditionalFormatting>
  <conditionalFormatting sqref="G4:G307">
    <cfRule type="cellIs" dxfId="738" priority="87" operator="equal">
      <formula>"Due"</formula>
    </cfRule>
  </conditionalFormatting>
  <conditionalFormatting sqref="G4:G307">
    <cfRule type="cellIs" dxfId="737" priority="88" operator="equal">
      <formula>"Due"</formula>
    </cfRule>
  </conditionalFormatting>
  <conditionalFormatting sqref="G4:G307">
    <cfRule type="cellIs" dxfId="736" priority="89" operator="equal">
      <formula>"Due"</formula>
    </cfRule>
  </conditionalFormatting>
  <conditionalFormatting sqref="G4:G307">
    <cfRule type="cellIs" dxfId="735" priority="90" operator="equal">
      <formula>"Due"</formula>
    </cfRule>
  </conditionalFormatting>
  <conditionalFormatting sqref="G4:G307">
    <cfRule type="cellIs" dxfId="734" priority="91" operator="equal">
      <formula>"Due"</formula>
    </cfRule>
  </conditionalFormatting>
  <conditionalFormatting sqref="G4:G307">
    <cfRule type="cellIs" dxfId="733" priority="92" operator="equal">
      <formula>"Due"</formula>
    </cfRule>
  </conditionalFormatting>
  <conditionalFormatting sqref="G4:G307">
    <cfRule type="cellIs" dxfId="732" priority="93" operator="equal">
      <formula>"Due"</formula>
    </cfRule>
  </conditionalFormatting>
  <conditionalFormatting sqref="G4:G307">
    <cfRule type="cellIs" dxfId="731" priority="94" operator="equal">
      <formula>"Due"</formula>
    </cfRule>
  </conditionalFormatting>
  <conditionalFormatting sqref="G4:G307">
    <cfRule type="cellIs" dxfId="730" priority="95" operator="equal">
      <formula>"Due"</formula>
    </cfRule>
  </conditionalFormatting>
  <conditionalFormatting sqref="G4:G307">
    <cfRule type="cellIs" dxfId="729" priority="96" operator="equal">
      <formula>"Due"</formula>
    </cfRule>
  </conditionalFormatting>
  <conditionalFormatting sqref="G4:G307">
    <cfRule type="cellIs" dxfId="728" priority="97" operator="equal">
      <formula>"Due"</formula>
    </cfRule>
  </conditionalFormatting>
  <conditionalFormatting sqref="G4:G307">
    <cfRule type="cellIs" dxfId="727" priority="98" operator="equal">
      <formula>"Due"</formula>
    </cfRule>
  </conditionalFormatting>
  <conditionalFormatting sqref="G4:G307">
    <cfRule type="cellIs" dxfId="726" priority="99" operator="equal">
      <formula>"Due"</formula>
    </cfRule>
  </conditionalFormatting>
  <conditionalFormatting sqref="G4:G307">
    <cfRule type="cellIs" dxfId="725" priority="100" operator="equal">
      <formula>"Due"</formula>
    </cfRule>
  </conditionalFormatting>
  <conditionalFormatting sqref="G4:G307">
    <cfRule type="cellIs" dxfId="724" priority="101" operator="equal">
      <formula>"Due"</formula>
    </cfRule>
  </conditionalFormatting>
  <conditionalFormatting sqref="G4:G307">
    <cfRule type="cellIs" dxfId="723" priority="102" operator="equal">
      <formula>"Due"</formula>
    </cfRule>
  </conditionalFormatting>
  <conditionalFormatting sqref="G4:G307">
    <cfRule type="cellIs" dxfId="722" priority="103" operator="equal">
      <formula>"Due"</formula>
    </cfRule>
  </conditionalFormatting>
  <conditionalFormatting sqref="G4:G307">
    <cfRule type="cellIs" dxfId="721" priority="104" operator="equal">
      <formula>"Due"</formula>
    </cfRule>
  </conditionalFormatting>
  <conditionalFormatting sqref="G4:G307">
    <cfRule type="cellIs" dxfId="720" priority="105" operator="equal">
      <formula>"Due"</formula>
    </cfRule>
  </conditionalFormatting>
  <conditionalFormatting sqref="G4:G307">
    <cfRule type="cellIs" dxfId="719" priority="106" operator="equal">
      <formula>"Due"</formula>
    </cfRule>
  </conditionalFormatting>
  <conditionalFormatting sqref="G4:G307">
    <cfRule type="cellIs" dxfId="718" priority="107" operator="equal">
      <formula>"Due"</formula>
    </cfRule>
  </conditionalFormatting>
  <conditionalFormatting sqref="G4:G307">
    <cfRule type="cellIs" dxfId="717" priority="108" operator="equal">
      <formula>"Due"</formula>
    </cfRule>
  </conditionalFormatting>
  <conditionalFormatting sqref="G4:G307">
    <cfRule type="cellIs" dxfId="716" priority="109" operator="equal">
      <formula>"Due"</formula>
    </cfRule>
  </conditionalFormatting>
  <conditionalFormatting sqref="G4:G307">
    <cfRule type="cellIs" dxfId="715" priority="110" operator="equal">
      <formula>"Due"</formula>
    </cfRule>
  </conditionalFormatting>
  <conditionalFormatting sqref="G4:G307">
    <cfRule type="cellIs" dxfId="714" priority="111" operator="equal">
      <formula>"Due"</formula>
    </cfRule>
  </conditionalFormatting>
  <conditionalFormatting sqref="G4:G307">
    <cfRule type="cellIs" dxfId="713" priority="112" operator="equal">
      <formula>"Due"</formula>
    </cfRule>
  </conditionalFormatting>
  <conditionalFormatting sqref="G4:G307">
    <cfRule type="cellIs" dxfId="712" priority="113" operator="equal">
      <formula>"Due"</formula>
    </cfRule>
  </conditionalFormatting>
  <conditionalFormatting sqref="G4:G307">
    <cfRule type="cellIs" dxfId="711" priority="114" operator="equal">
      <formula>"Due"</formula>
    </cfRule>
  </conditionalFormatting>
  <conditionalFormatting sqref="G4:G307">
    <cfRule type="cellIs" dxfId="710" priority="115" operator="equal">
      <formula>"Due"</formula>
    </cfRule>
  </conditionalFormatting>
  <conditionalFormatting sqref="G4:G307">
    <cfRule type="cellIs" dxfId="709" priority="116" operator="equal">
      <formula>"Due"</formula>
    </cfRule>
  </conditionalFormatting>
  <conditionalFormatting sqref="G4:G307">
    <cfRule type="cellIs" dxfId="708" priority="117" operator="equal">
      <formula>"Due"</formula>
    </cfRule>
  </conditionalFormatting>
  <conditionalFormatting sqref="G4:G307">
    <cfRule type="cellIs" dxfId="707" priority="118" operator="equal">
      <formula>"Due"</formula>
    </cfRule>
  </conditionalFormatting>
  <conditionalFormatting sqref="G4:G307">
    <cfRule type="cellIs" dxfId="706" priority="119" operator="equal">
      <formula>"Due"</formula>
    </cfRule>
  </conditionalFormatting>
  <conditionalFormatting sqref="G4:G307">
    <cfRule type="cellIs" dxfId="705" priority="120" operator="equal">
      <formula>"Due"</formula>
    </cfRule>
  </conditionalFormatting>
  <conditionalFormatting sqref="G4:G307">
    <cfRule type="cellIs" dxfId="704" priority="121" operator="equal">
      <formula>"Due"</formula>
    </cfRule>
  </conditionalFormatting>
  <conditionalFormatting sqref="G4:G307">
    <cfRule type="cellIs" dxfId="703" priority="122" operator="equal">
      <formula>"Due"</formula>
    </cfRule>
  </conditionalFormatting>
  <conditionalFormatting sqref="G4:G307">
    <cfRule type="cellIs" dxfId="702" priority="123" operator="equal">
      <formula>"Due"</formula>
    </cfRule>
  </conditionalFormatting>
  <conditionalFormatting sqref="G4:G307">
    <cfRule type="cellIs" dxfId="701" priority="124" operator="equal">
      <formula>"Due"</formula>
    </cfRule>
  </conditionalFormatting>
  <conditionalFormatting sqref="G4:G307">
    <cfRule type="cellIs" dxfId="700" priority="125" operator="equal">
      <formula>"Due"</formula>
    </cfRule>
  </conditionalFormatting>
  <conditionalFormatting sqref="G4:G307">
    <cfRule type="cellIs" dxfId="699" priority="126" operator="equal">
      <formula>"Due"</formula>
    </cfRule>
  </conditionalFormatting>
  <conditionalFormatting sqref="G4:G307">
    <cfRule type="cellIs" dxfId="698" priority="127" operator="equal">
      <formula>"Due"</formula>
    </cfRule>
  </conditionalFormatting>
  <conditionalFormatting sqref="G4:G307">
    <cfRule type="cellIs" dxfId="697" priority="128" operator="equal">
      <formula>"Due"</formula>
    </cfRule>
  </conditionalFormatting>
  <conditionalFormatting sqref="G4:G307">
    <cfRule type="cellIs" dxfId="696" priority="129" operator="equal">
      <formula>"Due"</formula>
    </cfRule>
  </conditionalFormatting>
  <conditionalFormatting sqref="G4:G307">
    <cfRule type="cellIs" dxfId="695" priority="130" operator="equal">
      <formula>"Due"</formula>
    </cfRule>
  </conditionalFormatting>
  <conditionalFormatting sqref="G4:G307">
    <cfRule type="cellIs" dxfId="694" priority="131" operator="equal">
      <formula>"Due"</formula>
    </cfRule>
  </conditionalFormatting>
  <conditionalFormatting sqref="G4:G307">
    <cfRule type="cellIs" dxfId="693" priority="132" operator="equal">
      <formula>"Due"</formula>
    </cfRule>
  </conditionalFormatting>
  <conditionalFormatting sqref="G4:G307">
    <cfRule type="cellIs" dxfId="692" priority="133" operator="equal">
      <formula>"Due"</formula>
    </cfRule>
  </conditionalFormatting>
  <conditionalFormatting sqref="G4:G307">
    <cfRule type="cellIs" dxfId="691" priority="134" operator="equal">
      <formula>"Due"</formula>
    </cfRule>
  </conditionalFormatting>
  <conditionalFormatting sqref="G4:G307">
    <cfRule type="cellIs" dxfId="690" priority="135" operator="equal">
      <formula>"Due"</formula>
    </cfRule>
  </conditionalFormatting>
  <conditionalFormatting sqref="G4:G307">
    <cfRule type="cellIs" dxfId="689" priority="136" operator="equal">
      <formula>"Due"</formula>
    </cfRule>
  </conditionalFormatting>
  <conditionalFormatting sqref="G4:G307">
    <cfRule type="cellIs" dxfId="688" priority="137" operator="equal">
      <formula>"Due"</formula>
    </cfRule>
  </conditionalFormatting>
  <conditionalFormatting sqref="G4:G307">
    <cfRule type="cellIs" dxfId="687" priority="138" operator="equal">
      <formula>"Due"</formula>
    </cfRule>
  </conditionalFormatting>
  <conditionalFormatting sqref="G4:G307">
    <cfRule type="cellIs" dxfId="686" priority="139" operator="equal">
      <formula>"Due"</formula>
    </cfRule>
  </conditionalFormatting>
  <conditionalFormatting sqref="G4:G307">
    <cfRule type="cellIs" dxfId="685" priority="140" operator="equal">
      <formula>"Due"</formula>
    </cfRule>
  </conditionalFormatting>
  <conditionalFormatting sqref="G4:G307">
    <cfRule type="cellIs" dxfId="684" priority="141" operator="equal">
      <formula>"Due"</formula>
    </cfRule>
  </conditionalFormatting>
  <conditionalFormatting sqref="G4:G307">
    <cfRule type="cellIs" dxfId="683" priority="142" operator="equal">
      <formula>"Due"</formula>
    </cfRule>
  </conditionalFormatting>
  <conditionalFormatting sqref="G4:G307">
    <cfRule type="cellIs" dxfId="682" priority="143" operator="equal">
      <formula>"Due"</formula>
    </cfRule>
  </conditionalFormatting>
  <conditionalFormatting sqref="G4:G307">
    <cfRule type="cellIs" dxfId="681" priority="144" operator="equal">
      <formula>"Due"</formula>
    </cfRule>
  </conditionalFormatting>
  <conditionalFormatting sqref="G4:G307">
    <cfRule type="cellIs" dxfId="680" priority="145" operator="equal">
      <formula>"Due"</formula>
    </cfRule>
  </conditionalFormatting>
  <conditionalFormatting sqref="G4:G307">
    <cfRule type="cellIs" dxfId="679" priority="146" operator="equal">
      <formula>"Due"</formula>
    </cfRule>
  </conditionalFormatting>
  <conditionalFormatting sqref="G4:G307">
    <cfRule type="cellIs" dxfId="678" priority="147" operator="equal">
      <formula>"Due"</formula>
    </cfRule>
  </conditionalFormatting>
  <conditionalFormatting sqref="G4:G307">
    <cfRule type="cellIs" dxfId="677" priority="148" operator="equal">
      <formula>"Due"</formula>
    </cfRule>
  </conditionalFormatting>
  <conditionalFormatting sqref="G4:G307">
    <cfRule type="cellIs" dxfId="676" priority="149" operator="equal">
      <formula>"Due"</formula>
    </cfRule>
  </conditionalFormatting>
  <conditionalFormatting sqref="G4:G307">
    <cfRule type="cellIs" dxfId="675" priority="150" operator="equal">
      <formula>"Due"</formula>
    </cfRule>
  </conditionalFormatting>
  <conditionalFormatting sqref="G4:G307">
    <cfRule type="cellIs" dxfId="674" priority="151" operator="equal">
      <formula>"Due"</formula>
    </cfRule>
  </conditionalFormatting>
  <conditionalFormatting sqref="G4:G307">
    <cfRule type="cellIs" dxfId="673" priority="152" operator="equal">
      <formula>"Due"</formula>
    </cfRule>
  </conditionalFormatting>
  <conditionalFormatting sqref="G4:G307">
    <cfRule type="cellIs" dxfId="672" priority="153" operator="equal">
      <formula>"Due"</formula>
    </cfRule>
  </conditionalFormatting>
  <conditionalFormatting sqref="G4:G307">
    <cfRule type="cellIs" dxfId="671" priority="154" operator="equal">
      <formula>"Due"</formula>
    </cfRule>
  </conditionalFormatting>
  <conditionalFormatting sqref="G4:G307">
    <cfRule type="cellIs" dxfId="670" priority="155" operator="equal">
      <formula>"Due"</formula>
    </cfRule>
  </conditionalFormatting>
  <conditionalFormatting sqref="G4:G307">
    <cfRule type="cellIs" dxfId="669" priority="156" operator="equal">
      <formula>"Due"</formula>
    </cfRule>
  </conditionalFormatting>
  <conditionalFormatting sqref="G4:G307">
    <cfRule type="cellIs" dxfId="668" priority="157" operator="equal">
      <formula>"Due"</formula>
    </cfRule>
  </conditionalFormatting>
  <conditionalFormatting sqref="G4:G307">
    <cfRule type="cellIs" dxfId="667" priority="158" operator="equal">
      <formula>"Due"</formula>
    </cfRule>
  </conditionalFormatting>
  <conditionalFormatting sqref="G4:G307">
    <cfRule type="cellIs" dxfId="666" priority="159" operator="equal">
      <formula>"Due"</formula>
    </cfRule>
  </conditionalFormatting>
  <conditionalFormatting sqref="G4:G307">
    <cfRule type="cellIs" dxfId="665" priority="160" operator="equal">
      <formula>"Due"</formula>
    </cfRule>
  </conditionalFormatting>
  <conditionalFormatting sqref="G4:G307">
    <cfRule type="cellIs" dxfId="664" priority="161" operator="equal">
      <formula>"Due"</formula>
    </cfRule>
  </conditionalFormatting>
  <conditionalFormatting sqref="G4:G307">
    <cfRule type="cellIs" dxfId="663" priority="162" operator="equal">
      <formula>"Due"</formula>
    </cfRule>
  </conditionalFormatting>
  <conditionalFormatting sqref="G4:G307">
    <cfRule type="cellIs" dxfId="662" priority="163" operator="equal">
      <formula>"Due"</formula>
    </cfRule>
  </conditionalFormatting>
  <conditionalFormatting sqref="G4:G307">
    <cfRule type="cellIs" dxfId="661" priority="164" operator="equal">
      <formula>"Due"</formula>
    </cfRule>
  </conditionalFormatting>
  <conditionalFormatting sqref="G4:G307">
    <cfRule type="cellIs" dxfId="660" priority="165" operator="equal">
      <formula>"Due"</formula>
    </cfRule>
  </conditionalFormatting>
  <conditionalFormatting sqref="G4:G307">
    <cfRule type="cellIs" dxfId="659" priority="166" operator="equal">
      <formula>"Due"</formula>
    </cfRule>
  </conditionalFormatting>
  <conditionalFormatting sqref="G4:G307">
    <cfRule type="cellIs" dxfId="658" priority="167" operator="equal">
      <formula>"Due"</formula>
    </cfRule>
  </conditionalFormatting>
  <conditionalFormatting sqref="G4:G307">
    <cfRule type="cellIs" dxfId="657" priority="168" operator="equal">
      <formula>"Due"</formula>
    </cfRule>
  </conditionalFormatting>
  <conditionalFormatting sqref="G4:G307">
    <cfRule type="cellIs" dxfId="656" priority="169" operator="equal">
      <formula>"Due"</formula>
    </cfRule>
  </conditionalFormatting>
  <conditionalFormatting sqref="G4:G307">
    <cfRule type="cellIs" dxfId="655" priority="170" operator="equal">
      <formula>"Due"</formula>
    </cfRule>
  </conditionalFormatting>
  <conditionalFormatting sqref="G4:G307">
    <cfRule type="cellIs" dxfId="654" priority="171" operator="equal">
      <formula>"Due"</formula>
    </cfRule>
  </conditionalFormatting>
  <conditionalFormatting sqref="G4:G307">
    <cfRule type="cellIs" dxfId="653" priority="172" operator="equal">
      <formula>"Due"</formula>
    </cfRule>
  </conditionalFormatting>
  <conditionalFormatting sqref="G4:G307">
    <cfRule type="cellIs" dxfId="652" priority="173" operator="equal">
      <formula>"Due"</formula>
    </cfRule>
  </conditionalFormatting>
  <conditionalFormatting sqref="G4:G307">
    <cfRule type="cellIs" dxfId="651" priority="174" operator="equal">
      <formula>"Due"</formula>
    </cfRule>
  </conditionalFormatting>
  <conditionalFormatting sqref="G4:G307">
    <cfRule type="cellIs" dxfId="650" priority="175" operator="equal">
      <formula>"Due"</formula>
    </cfRule>
  </conditionalFormatting>
  <conditionalFormatting sqref="G4:G307">
    <cfRule type="cellIs" dxfId="649" priority="176" operator="equal">
      <formula>"Due"</formula>
    </cfRule>
  </conditionalFormatting>
  <conditionalFormatting sqref="G4:G307">
    <cfRule type="cellIs" dxfId="648" priority="177" operator="equal">
      <formula>"Due"</formula>
    </cfRule>
  </conditionalFormatting>
  <conditionalFormatting sqref="G4:G307">
    <cfRule type="cellIs" dxfId="647" priority="178" operator="equal">
      <formula>"Due"</formula>
    </cfRule>
  </conditionalFormatting>
  <conditionalFormatting sqref="G4:G307">
    <cfRule type="cellIs" dxfId="646" priority="179" operator="equal">
      <formula>"Due"</formula>
    </cfRule>
  </conditionalFormatting>
  <conditionalFormatting sqref="G4:G307">
    <cfRule type="cellIs" dxfId="645" priority="180" operator="equal">
      <formula>"Due"</formula>
    </cfRule>
  </conditionalFormatting>
  <conditionalFormatting sqref="G4:G307">
    <cfRule type="cellIs" dxfId="644" priority="181" operator="equal">
      <formula>"Due"</formula>
    </cfRule>
  </conditionalFormatting>
  <conditionalFormatting sqref="G4:G307">
    <cfRule type="cellIs" dxfId="643" priority="182" operator="equal">
      <formula>"Due"</formula>
    </cfRule>
  </conditionalFormatting>
  <conditionalFormatting sqref="G4:G307">
    <cfRule type="cellIs" dxfId="642" priority="183" operator="equal">
      <formula>"Due"</formula>
    </cfRule>
  </conditionalFormatting>
  <conditionalFormatting sqref="G4:G307">
    <cfRule type="cellIs" dxfId="641" priority="184" operator="equal">
      <formula>"Due"</formula>
    </cfRule>
  </conditionalFormatting>
  <conditionalFormatting sqref="G4:G307">
    <cfRule type="cellIs" dxfId="640" priority="185" operator="equal">
      <formula>"Due"</formula>
    </cfRule>
  </conditionalFormatting>
  <conditionalFormatting sqref="G4:G307">
    <cfRule type="cellIs" dxfId="639" priority="186" operator="equal">
      <formula>"Due"</formula>
    </cfRule>
  </conditionalFormatting>
  <conditionalFormatting sqref="G4:G307">
    <cfRule type="cellIs" dxfId="638" priority="187" operator="equal">
      <formula>"Due"</formula>
    </cfRule>
  </conditionalFormatting>
  <conditionalFormatting sqref="G4:G307">
    <cfRule type="cellIs" dxfId="637" priority="188" operator="equal">
      <formula>"Due"</formula>
    </cfRule>
  </conditionalFormatting>
  <conditionalFormatting sqref="G4:G307">
    <cfRule type="cellIs" dxfId="636" priority="189" operator="equal">
      <formula>"Due"</formula>
    </cfRule>
  </conditionalFormatting>
  <conditionalFormatting sqref="G4:G307">
    <cfRule type="cellIs" dxfId="635" priority="190" operator="equal">
      <formula>"Due"</formula>
    </cfRule>
  </conditionalFormatting>
  <conditionalFormatting sqref="G4:G307">
    <cfRule type="cellIs" dxfId="634" priority="191" operator="equal">
      <formula>"Due"</formula>
    </cfRule>
  </conditionalFormatting>
  <conditionalFormatting sqref="G4:G307">
    <cfRule type="cellIs" dxfId="633" priority="192" operator="equal">
      <formula>"Due"</formula>
    </cfRule>
  </conditionalFormatting>
  <conditionalFormatting sqref="G4:G307">
    <cfRule type="cellIs" dxfId="632" priority="193" operator="equal">
      <formula>"Due"</formula>
    </cfRule>
  </conditionalFormatting>
  <conditionalFormatting sqref="G4:G307">
    <cfRule type="cellIs" dxfId="631" priority="194" operator="equal">
      <formula>"Due"</formula>
    </cfRule>
  </conditionalFormatting>
  <conditionalFormatting sqref="G4:G307">
    <cfRule type="cellIs" dxfId="630" priority="195" operator="equal">
      <formula>"Due"</formula>
    </cfRule>
  </conditionalFormatting>
  <conditionalFormatting sqref="G4:G307">
    <cfRule type="cellIs" dxfId="629" priority="196" operator="equal">
      <formula>"Due"</formula>
    </cfRule>
  </conditionalFormatting>
  <conditionalFormatting sqref="G4:G307">
    <cfRule type="cellIs" dxfId="628" priority="197" operator="equal">
      <formula>"Due"</formula>
    </cfRule>
  </conditionalFormatting>
  <conditionalFormatting sqref="G4:G307">
    <cfRule type="cellIs" dxfId="627" priority="198" operator="equal">
      <formula>"Due"</formula>
    </cfRule>
  </conditionalFormatting>
  <conditionalFormatting sqref="G4:G307">
    <cfRule type="cellIs" dxfId="626" priority="199" operator="equal">
      <formula>"Due"</formula>
    </cfRule>
  </conditionalFormatting>
  <conditionalFormatting sqref="G4:G307">
    <cfRule type="cellIs" dxfId="625" priority="200" operator="equal">
      <formula>"Due"</formula>
    </cfRule>
  </conditionalFormatting>
  <conditionalFormatting sqref="G4:G307">
    <cfRule type="cellIs" dxfId="624" priority="201" operator="equal">
      <formula>"Due"</formula>
    </cfRule>
  </conditionalFormatting>
  <conditionalFormatting sqref="G4:G307">
    <cfRule type="cellIs" dxfId="623" priority="202" operator="equal">
      <formula>"Due"</formula>
    </cfRule>
  </conditionalFormatting>
  <conditionalFormatting sqref="G4:G307">
    <cfRule type="cellIs" dxfId="622" priority="203" operator="equal">
      <formula>"Due"</formula>
    </cfRule>
  </conditionalFormatting>
  <conditionalFormatting sqref="G4:G307">
    <cfRule type="cellIs" dxfId="621" priority="204" operator="equal">
      <formula>"Due"</formula>
    </cfRule>
  </conditionalFormatting>
  <conditionalFormatting sqref="G4:G307">
    <cfRule type="cellIs" dxfId="620" priority="205" operator="equal">
      <formula>"Due"</formula>
    </cfRule>
  </conditionalFormatting>
  <conditionalFormatting sqref="G4:G307">
    <cfRule type="cellIs" dxfId="619" priority="206" operator="equal">
      <formula>"Due"</formula>
    </cfRule>
  </conditionalFormatting>
  <conditionalFormatting sqref="G4:G307">
    <cfRule type="cellIs" dxfId="618" priority="207" operator="equal">
      <formula>"Due"</formula>
    </cfRule>
  </conditionalFormatting>
  <conditionalFormatting sqref="G4:G307">
    <cfRule type="cellIs" dxfId="617" priority="208" operator="equal">
      <formula>"Due"</formula>
    </cfRule>
  </conditionalFormatting>
  <conditionalFormatting sqref="G4:G307">
    <cfRule type="cellIs" dxfId="616" priority="209" operator="equal">
      <formula>"Due"</formula>
    </cfRule>
  </conditionalFormatting>
  <conditionalFormatting sqref="G4:G307">
    <cfRule type="cellIs" dxfId="615" priority="210" operator="equal">
      <formula>"Due"</formula>
    </cfRule>
  </conditionalFormatting>
  <conditionalFormatting sqref="G4:G307">
    <cfRule type="cellIs" dxfId="614" priority="211" operator="equal">
      <formula>"Due"</formula>
    </cfRule>
  </conditionalFormatting>
  <conditionalFormatting sqref="G4:G307">
    <cfRule type="cellIs" dxfId="613" priority="212" operator="equal">
      <formula>"Due"</formula>
    </cfRule>
  </conditionalFormatting>
  <conditionalFormatting sqref="G4:G307">
    <cfRule type="cellIs" dxfId="612" priority="213" operator="equal">
      <formula>"Due"</formula>
    </cfRule>
  </conditionalFormatting>
  <conditionalFormatting sqref="G4:G307">
    <cfRule type="cellIs" dxfId="611" priority="214" operator="equal">
      <formula>"Due"</formula>
    </cfRule>
  </conditionalFormatting>
  <conditionalFormatting sqref="G4:G307">
    <cfRule type="cellIs" dxfId="610" priority="215" operator="equal">
      <formula>"Due"</formula>
    </cfRule>
  </conditionalFormatting>
  <conditionalFormatting sqref="G4:G307">
    <cfRule type="cellIs" dxfId="609" priority="216" operator="equal">
      <formula>"Due"</formula>
    </cfRule>
  </conditionalFormatting>
  <conditionalFormatting sqref="G4:G307">
    <cfRule type="cellIs" dxfId="608" priority="217" operator="equal">
      <formula>"Due"</formula>
    </cfRule>
  </conditionalFormatting>
  <conditionalFormatting sqref="G4:G307">
    <cfRule type="cellIs" dxfId="607" priority="218" operator="equal">
      <formula>"Due"</formula>
    </cfRule>
  </conditionalFormatting>
  <conditionalFormatting sqref="G4:G307">
    <cfRule type="cellIs" dxfId="606" priority="219" operator="equal">
      <formula>"Due"</formula>
    </cfRule>
  </conditionalFormatting>
  <conditionalFormatting sqref="G4:G307">
    <cfRule type="cellIs" dxfId="605" priority="220" operator="equal">
      <formula>"Due"</formula>
    </cfRule>
  </conditionalFormatting>
  <conditionalFormatting sqref="G4:G307">
    <cfRule type="cellIs" dxfId="604" priority="221" operator="equal">
      <formula>"Due"</formula>
    </cfRule>
  </conditionalFormatting>
  <conditionalFormatting sqref="G4:G307">
    <cfRule type="cellIs" dxfId="603" priority="222" operator="equal">
      <formula>"Due"</formula>
    </cfRule>
  </conditionalFormatting>
  <conditionalFormatting sqref="G4:G307">
    <cfRule type="cellIs" dxfId="602" priority="223" operator="equal">
      <formula>"Due"</formula>
    </cfRule>
  </conditionalFormatting>
  <conditionalFormatting sqref="G4:G307">
    <cfRule type="cellIs" dxfId="601" priority="224" operator="equal">
      <formula>"Due"</formula>
    </cfRule>
  </conditionalFormatting>
  <conditionalFormatting sqref="G4:G307">
    <cfRule type="cellIs" dxfId="600" priority="225" operator="equal">
      <formula>"Due"</formula>
    </cfRule>
  </conditionalFormatting>
  <conditionalFormatting sqref="G4:G307">
    <cfRule type="cellIs" dxfId="599" priority="226" operator="equal">
      <formula>"Due"</formula>
    </cfRule>
  </conditionalFormatting>
  <conditionalFormatting sqref="G4:G307">
    <cfRule type="cellIs" dxfId="598" priority="227" operator="equal">
      <formula>"Due"</formula>
    </cfRule>
  </conditionalFormatting>
  <conditionalFormatting sqref="G4:G307">
    <cfRule type="cellIs" dxfId="597" priority="228" operator="equal">
      <formula>"Due"</formula>
    </cfRule>
  </conditionalFormatting>
  <conditionalFormatting sqref="G4:G307">
    <cfRule type="cellIs" dxfId="596" priority="229" operator="equal">
      <formula>"Due"</formula>
    </cfRule>
  </conditionalFormatting>
  <conditionalFormatting sqref="G4:G307">
    <cfRule type="cellIs" dxfId="595" priority="230" operator="equal">
      <formula>"Due"</formula>
    </cfRule>
  </conditionalFormatting>
  <conditionalFormatting sqref="G4:G307">
    <cfRule type="cellIs" dxfId="594" priority="231" operator="equal">
      <formula>"Due"</formula>
    </cfRule>
  </conditionalFormatting>
  <conditionalFormatting sqref="G4:G307">
    <cfRule type="cellIs" dxfId="593" priority="232" operator="equal">
      <formula>"Due"</formula>
    </cfRule>
  </conditionalFormatting>
  <conditionalFormatting sqref="G4:G307">
    <cfRule type="cellIs" dxfId="592" priority="233" operator="equal">
      <formula>"Due"</formula>
    </cfRule>
  </conditionalFormatting>
  <conditionalFormatting sqref="G4:G307">
    <cfRule type="cellIs" dxfId="591" priority="234" operator="equal">
      <formula>"Due"</formula>
    </cfRule>
  </conditionalFormatting>
  <conditionalFormatting sqref="G4:G307">
    <cfRule type="cellIs" dxfId="590" priority="235" operator="equal">
      <formula>"Due"</formula>
    </cfRule>
  </conditionalFormatting>
  <conditionalFormatting sqref="G4:G307">
    <cfRule type="cellIs" dxfId="589" priority="236" operator="equal">
      <formula>"Due"</formula>
    </cfRule>
  </conditionalFormatting>
  <conditionalFormatting sqref="G4:G307">
    <cfRule type="cellIs" dxfId="588" priority="237" operator="equal">
      <formula>"Due"</formula>
    </cfRule>
  </conditionalFormatting>
  <conditionalFormatting sqref="G4:G307">
    <cfRule type="cellIs" dxfId="587" priority="238" operator="equal">
      <formula>"Due"</formula>
    </cfRule>
  </conditionalFormatting>
  <conditionalFormatting sqref="G4:G307">
    <cfRule type="cellIs" dxfId="586" priority="239" operator="equal">
      <formula>"Due"</formula>
    </cfRule>
  </conditionalFormatting>
  <conditionalFormatting sqref="G4:G307">
    <cfRule type="cellIs" dxfId="585" priority="240" operator="equal">
      <formula>"Due"</formula>
    </cfRule>
  </conditionalFormatting>
  <conditionalFormatting sqref="G4:G307">
    <cfRule type="cellIs" dxfId="584" priority="241" operator="equal">
      <formula>"Due"</formula>
    </cfRule>
  </conditionalFormatting>
  <conditionalFormatting sqref="G4:G307">
    <cfRule type="cellIs" dxfId="583" priority="242" operator="equal">
      <formula>"Due"</formula>
    </cfRule>
  </conditionalFormatting>
  <conditionalFormatting sqref="G4:G307">
    <cfRule type="cellIs" dxfId="582" priority="243" operator="equal">
      <formula>"Due"</formula>
    </cfRule>
  </conditionalFormatting>
  <conditionalFormatting sqref="G4:G307">
    <cfRule type="cellIs" dxfId="581" priority="244" operator="equal">
      <formula>"Due"</formula>
    </cfRule>
  </conditionalFormatting>
  <conditionalFormatting sqref="G4:G307">
    <cfRule type="cellIs" dxfId="580" priority="245" operator="equal">
      <formula>"Due"</formula>
    </cfRule>
  </conditionalFormatting>
  <conditionalFormatting sqref="G4:G307">
    <cfRule type="cellIs" dxfId="579" priority="246" operator="equal">
      <formula>"Due"</formula>
    </cfRule>
  </conditionalFormatting>
  <conditionalFormatting sqref="G4:G307">
    <cfRule type="cellIs" dxfId="578" priority="247" operator="equal">
      <formula>"Due"</formula>
    </cfRule>
  </conditionalFormatting>
  <conditionalFormatting sqref="G4:G307">
    <cfRule type="cellIs" dxfId="577" priority="248" operator="equal">
      <formula>"Due"</formula>
    </cfRule>
  </conditionalFormatting>
  <conditionalFormatting sqref="G4:G307">
    <cfRule type="cellIs" dxfId="576" priority="249" operator="equal">
      <formula>"Due"</formula>
    </cfRule>
  </conditionalFormatting>
  <conditionalFormatting sqref="G4:G307">
    <cfRule type="cellIs" dxfId="575" priority="250" operator="equal">
      <formula>"Due"</formula>
    </cfRule>
  </conditionalFormatting>
  <conditionalFormatting sqref="G4:G307">
    <cfRule type="cellIs" dxfId="574" priority="251" operator="equal">
      <formula>"Due"</formula>
    </cfRule>
  </conditionalFormatting>
  <conditionalFormatting sqref="G4:G307">
    <cfRule type="cellIs" dxfId="573" priority="252" operator="equal">
      <formula>"Due"</formula>
    </cfRule>
  </conditionalFormatting>
  <conditionalFormatting sqref="G4:G307">
    <cfRule type="cellIs" dxfId="572" priority="253" operator="equal">
      <formula>"Due"</formula>
    </cfRule>
  </conditionalFormatting>
  <conditionalFormatting sqref="G4:G307">
    <cfRule type="cellIs" dxfId="571" priority="254" operator="equal">
      <formula>"Due"</formula>
    </cfRule>
  </conditionalFormatting>
  <conditionalFormatting sqref="G4:G307">
    <cfRule type="cellIs" dxfId="570" priority="255" operator="equal">
      <formula>"Due"</formula>
    </cfRule>
  </conditionalFormatting>
  <conditionalFormatting sqref="G4:G307">
    <cfRule type="cellIs" dxfId="569" priority="256" operator="equal">
      <formula>"Due"</formula>
    </cfRule>
  </conditionalFormatting>
  <conditionalFormatting sqref="G4:G307">
    <cfRule type="cellIs" dxfId="568" priority="257" operator="equal">
      <formula>"Due"</formula>
    </cfRule>
  </conditionalFormatting>
  <conditionalFormatting sqref="G4:G307">
    <cfRule type="cellIs" dxfId="567" priority="258" operator="equal">
      <formula>"Due"</formula>
    </cfRule>
  </conditionalFormatting>
  <conditionalFormatting sqref="G4:G307">
    <cfRule type="cellIs" dxfId="566" priority="259" operator="equal">
      <formula>"Due"</formula>
    </cfRule>
  </conditionalFormatting>
  <conditionalFormatting sqref="G4:G307">
    <cfRule type="cellIs" dxfId="565" priority="260" operator="equal">
      <formula>"Due"</formula>
    </cfRule>
  </conditionalFormatting>
  <conditionalFormatting sqref="G4:G307">
    <cfRule type="cellIs" dxfId="564" priority="261" operator="equal">
      <formula>"Due"</formula>
    </cfRule>
  </conditionalFormatting>
  <conditionalFormatting sqref="G4:G307">
    <cfRule type="cellIs" dxfId="563" priority="262" operator="equal">
      <formula>"Due"</formula>
    </cfRule>
  </conditionalFormatting>
  <conditionalFormatting sqref="G4:G307">
    <cfRule type="cellIs" dxfId="562" priority="263" operator="equal">
      <formula>"Due"</formula>
    </cfRule>
  </conditionalFormatting>
  <conditionalFormatting sqref="G4:G307">
    <cfRule type="cellIs" dxfId="561" priority="264" operator="equal">
      <formula>"Due"</formula>
    </cfRule>
  </conditionalFormatting>
  <conditionalFormatting sqref="G4:G307">
    <cfRule type="cellIs" dxfId="560" priority="265" operator="equal">
      <formula>"Due"</formula>
    </cfRule>
  </conditionalFormatting>
  <conditionalFormatting sqref="G4:G307">
    <cfRule type="cellIs" dxfId="559" priority="266" operator="equal">
      <formula>"Due"</formula>
    </cfRule>
  </conditionalFormatting>
  <conditionalFormatting sqref="G4:G307">
    <cfRule type="cellIs" dxfId="558" priority="267" operator="equal">
      <formula>"Due"</formula>
    </cfRule>
  </conditionalFormatting>
  <conditionalFormatting sqref="G4:G307">
    <cfRule type="cellIs" dxfId="557" priority="268" operator="equal">
      <formula>"Due"</formula>
    </cfRule>
  </conditionalFormatting>
  <conditionalFormatting sqref="G4:G307">
    <cfRule type="cellIs" dxfId="556" priority="269" operator="equal">
      <formula>"Due"</formula>
    </cfRule>
  </conditionalFormatting>
  <conditionalFormatting sqref="G4:G307">
    <cfRule type="cellIs" dxfId="555" priority="270" operator="equal">
      <formula>"Due"</formula>
    </cfRule>
  </conditionalFormatting>
  <conditionalFormatting sqref="G4:G307">
    <cfRule type="cellIs" dxfId="554" priority="271" operator="equal">
      <formula>"Due"</formula>
    </cfRule>
  </conditionalFormatting>
  <conditionalFormatting sqref="G4:G307">
    <cfRule type="cellIs" dxfId="553" priority="272" operator="equal">
      <formula>"Due"</formula>
    </cfRule>
  </conditionalFormatting>
  <conditionalFormatting sqref="G4:G307">
    <cfRule type="cellIs" dxfId="552" priority="273" operator="equal">
      <formula>"Due"</formula>
    </cfRule>
  </conditionalFormatting>
  <conditionalFormatting sqref="G4:G307">
    <cfRule type="cellIs" dxfId="551" priority="274" operator="equal">
      <formula>"Due"</formula>
    </cfRule>
  </conditionalFormatting>
  <conditionalFormatting sqref="G4:G307">
    <cfRule type="cellIs" dxfId="550" priority="275" operator="equal">
      <formula>"Due"</formula>
    </cfRule>
  </conditionalFormatting>
  <conditionalFormatting sqref="G4:G307">
    <cfRule type="cellIs" dxfId="549" priority="276" operator="equal">
      <formula>"Due"</formula>
    </cfRule>
  </conditionalFormatting>
  <conditionalFormatting sqref="G4:G307">
    <cfRule type="cellIs" dxfId="548" priority="277" operator="equal">
      <formula>"Due"</formula>
    </cfRule>
  </conditionalFormatting>
  <conditionalFormatting sqref="G4:G307">
    <cfRule type="cellIs" dxfId="547" priority="278" operator="equal">
      <formula>"Due"</formula>
    </cfRule>
  </conditionalFormatting>
  <conditionalFormatting sqref="G4:G307">
    <cfRule type="cellIs" dxfId="546" priority="279" operator="equal">
      <formula>"Due"</formula>
    </cfRule>
  </conditionalFormatting>
  <conditionalFormatting sqref="G4:G307">
    <cfRule type="cellIs" dxfId="545" priority="280" operator="equal">
      <formula>"Due"</formula>
    </cfRule>
  </conditionalFormatting>
  <conditionalFormatting sqref="G4:G307">
    <cfRule type="cellIs" dxfId="544" priority="281" operator="equal">
      <formula>"Due"</formula>
    </cfRule>
  </conditionalFormatting>
  <conditionalFormatting sqref="G4:G307">
    <cfRule type="cellIs" dxfId="543" priority="282" operator="equal">
      <formula>"Due"</formula>
    </cfRule>
  </conditionalFormatting>
  <conditionalFormatting sqref="G4:G307">
    <cfRule type="cellIs" dxfId="542" priority="283" operator="equal">
      <formula>"Due"</formula>
    </cfRule>
  </conditionalFormatting>
  <conditionalFormatting sqref="G4:G307">
    <cfRule type="cellIs" dxfId="541" priority="284" operator="equal">
      <formula>"Due"</formula>
    </cfRule>
  </conditionalFormatting>
  <conditionalFormatting sqref="G4:G307">
    <cfRule type="cellIs" dxfId="540" priority="285" operator="equal">
      <formula>"Due"</formula>
    </cfRule>
  </conditionalFormatting>
  <conditionalFormatting sqref="G4:G307">
    <cfRule type="cellIs" dxfId="539" priority="286" operator="equal">
      <formula>"Due"</formula>
    </cfRule>
  </conditionalFormatting>
  <conditionalFormatting sqref="G4:G307">
    <cfRule type="cellIs" dxfId="538" priority="287" operator="equal">
      <formula>"Due"</formula>
    </cfRule>
  </conditionalFormatting>
  <conditionalFormatting sqref="G4:G307">
    <cfRule type="cellIs" dxfId="537" priority="288" operator="equal">
      <formula>"Due"</formula>
    </cfRule>
  </conditionalFormatting>
  <conditionalFormatting sqref="G4:G307">
    <cfRule type="cellIs" dxfId="536" priority="289" operator="equal">
      <formula>"Due"</formula>
    </cfRule>
  </conditionalFormatting>
  <conditionalFormatting sqref="G4:G307">
    <cfRule type="cellIs" dxfId="535" priority="290" operator="equal">
      <formula>"Due"</formula>
    </cfRule>
  </conditionalFormatting>
  <conditionalFormatting sqref="G4:G307">
    <cfRule type="cellIs" dxfId="534" priority="291" operator="equal">
      <formula>"Due"</formula>
    </cfRule>
  </conditionalFormatting>
  <conditionalFormatting sqref="G4:G307">
    <cfRule type="cellIs" dxfId="533" priority="292" operator="equal">
      <formula>"Due"</formula>
    </cfRule>
  </conditionalFormatting>
  <conditionalFormatting sqref="G4:G307">
    <cfRule type="cellIs" dxfId="532" priority="293" operator="equal">
      <formula>"Due"</formula>
    </cfRule>
  </conditionalFormatting>
  <conditionalFormatting sqref="G4:G307">
    <cfRule type="cellIs" dxfId="531" priority="294" operator="equal">
      <formula>"Due"</formula>
    </cfRule>
  </conditionalFormatting>
  <conditionalFormatting sqref="G4:G307">
    <cfRule type="cellIs" dxfId="530" priority="295" operator="equal">
      <formula>"Due"</formula>
    </cfRule>
  </conditionalFormatting>
  <conditionalFormatting sqref="G4:G307">
    <cfRule type="cellIs" dxfId="529" priority="296" operator="equal">
      <formula>"Due"</formula>
    </cfRule>
  </conditionalFormatting>
  <conditionalFormatting sqref="G4:G307">
    <cfRule type="cellIs" dxfId="528" priority="297" operator="equal">
      <formula>"Due"</formula>
    </cfRule>
  </conditionalFormatting>
  <conditionalFormatting sqref="G4:G307">
    <cfRule type="cellIs" dxfId="527" priority="298" operator="equal">
      <formula>"Due"</formula>
    </cfRule>
  </conditionalFormatting>
  <conditionalFormatting sqref="G4:G307">
    <cfRule type="cellIs" dxfId="526" priority="299" operator="equal">
      <formula>"Due"</formula>
    </cfRule>
  </conditionalFormatting>
  <conditionalFormatting sqref="G4:G307">
    <cfRule type="cellIs" dxfId="525" priority="300" operator="equal">
      <formula>"Due"</formula>
    </cfRule>
  </conditionalFormatting>
  <conditionalFormatting sqref="G4:G307">
    <cfRule type="cellIs" dxfId="524" priority="301" operator="equal">
      <formula>"Due"</formula>
    </cfRule>
  </conditionalFormatting>
  <conditionalFormatting sqref="G4:G307">
    <cfRule type="cellIs" dxfId="523" priority="302" operator="equal">
      <formula>"Due"</formula>
    </cfRule>
  </conditionalFormatting>
  <conditionalFormatting sqref="G4:G307">
    <cfRule type="cellIs" dxfId="522" priority="303" operator="equal">
      <formula>"Due"</formula>
    </cfRule>
  </conditionalFormatting>
  <conditionalFormatting sqref="G4:G307">
    <cfRule type="cellIs" dxfId="521" priority="304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H477"/>
  <sheetViews>
    <sheetView topLeftCell="A25" workbookViewId="0">
      <selection activeCell="E25" sqref="E25"/>
    </sheetView>
  </sheetViews>
  <sheetFormatPr defaultColWidth="14.42578125" defaultRowHeight="15" customHeight="1"/>
  <cols>
    <col min="1" max="2" width="24.7109375" customWidth="1"/>
    <col min="3" max="3" width="37.28515625" bestFit="1" customWidth="1"/>
    <col min="4" max="6" width="24.7109375" customWidth="1"/>
    <col min="7" max="7" width="24.7109375" style="28" customWidth="1"/>
    <col min="8" max="8" width="24.7109375" customWidth="1"/>
    <col min="9" max="11" width="8.7109375" customWidth="1"/>
  </cols>
  <sheetData>
    <row r="1" spans="1:8" ht="30" customHeight="1">
      <c r="A1" s="25" t="s">
        <v>8</v>
      </c>
    </row>
    <row r="3" spans="1:8" ht="24.75" customHeight="1">
      <c r="A3" s="11" t="s">
        <v>9</v>
      </c>
      <c r="B3" s="11" t="s">
        <v>10</v>
      </c>
      <c r="C3" s="11" t="s">
        <v>11</v>
      </c>
      <c r="D3" s="11" t="s">
        <v>12</v>
      </c>
      <c r="E3" s="11" t="s">
        <v>691</v>
      </c>
      <c r="F3" s="11" t="s">
        <v>692</v>
      </c>
      <c r="G3" s="29" t="s">
        <v>693</v>
      </c>
      <c r="H3" s="11" t="s">
        <v>15</v>
      </c>
    </row>
    <row r="4" spans="1:8" hidden="1">
      <c r="A4" t="s">
        <v>694</v>
      </c>
      <c r="B4" t="s">
        <v>695</v>
      </c>
      <c r="C4" t="s">
        <v>696</v>
      </c>
      <c r="D4" t="s">
        <v>19</v>
      </c>
      <c r="E4">
        <v>2022</v>
      </c>
      <c r="F4" t="s">
        <v>697</v>
      </c>
      <c r="G4" s="28">
        <f t="shared" ref="G4:G477" si="0">IF(ISBLANK(E4), "", IF(OR(F4="First aid (M)", F4="First aid (L)"), "Lifetime", IF(F4="First aid (V)", E4+5, E4+3)))</f>
        <v>2025</v>
      </c>
      <c r="H4" t="str">
        <f t="shared" ref="H4:H477" ca="1" si="1">IF(ISBLANK(G4), "", IF(G4="Lifetime", "Valid", IF(YEAR(TODAY())&gt;=G4, "Due", "Valid")))</f>
        <v>Due</v>
      </c>
    </row>
    <row r="5" spans="1:8" hidden="1">
      <c r="A5" t="s">
        <v>698</v>
      </c>
      <c r="B5" t="s">
        <v>699</v>
      </c>
      <c r="C5" t="s">
        <v>700</v>
      </c>
      <c r="D5" t="s">
        <v>19</v>
      </c>
      <c r="E5">
        <v>2022</v>
      </c>
      <c r="F5" t="s">
        <v>701</v>
      </c>
      <c r="G5" s="28">
        <f t="shared" si="0"/>
        <v>2027</v>
      </c>
      <c r="H5" t="str">
        <f t="shared" ca="1" si="1"/>
        <v>Valid</v>
      </c>
    </row>
    <row r="6" spans="1:8" hidden="1">
      <c r="A6" t="s">
        <v>16</v>
      </c>
      <c r="B6" t="s">
        <v>17</v>
      </c>
      <c r="C6" t="s">
        <v>18</v>
      </c>
      <c r="D6" t="s">
        <v>19</v>
      </c>
      <c r="E6">
        <v>2023</v>
      </c>
      <c r="F6" t="s">
        <v>697</v>
      </c>
      <c r="G6" s="28">
        <f t="shared" si="0"/>
        <v>2026</v>
      </c>
      <c r="H6" t="str">
        <f t="shared" ca="1" si="1"/>
        <v>Due</v>
      </c>
    </row>
    <row r="7" spans="1:8" hidden="1">
      <c r="A7" t="s">
        <v>20</v>
      </c>
      <c r="B7" t="s">
        <v>21</v>
      </c>
      <c r="C7" t="s">
        <v>22</v>
      </c>
      <c r="D7" t="s">
        <v>19</v>
      </c>
      <c r="E7">
        <v>2018</v>
      </c>
      <c r="F7" t="s">
        <v>697</v>
      </c>
      <c r="G7" s="28">
        <f t="shared" si="0"/>
        <v>2021</v>
      </c>
      <c r="H7" t="str">
        <f t="shared" ca="1" si="1"/>
        <v>Due</v>
      </c>
    </row>
    <row r="8" spans="1:8" hidden="1">
      <c r="A8" s="26" t="s">
        <v>23</v>
      </c>
      <c r="B8" s="26" t="s">
        <v>24</v>
      </c>
      <c r="C8" s="26" t="s">
        <v>22</v>
      </c>
      <c r="D8" s="26" t="s">
        <v>19</v>
      </c>
      <c r="E8" s="26">
        <v>2023</v>
      </c>
      <c r="F8" s="26" t="s">
        <v>697</v>
      </c>
      <c r="G8" s="30">
        <f t="shared" si="0"/>
        <v>2026</v>
      </c>
      <c r="H8" t="str">
        <f t="shared" ca="1" si="1"/>
        <v>Due</v>
      </c>
    </row>
    <row r="9" spans="1:8" hidden="1">
      <c r="A9" t="s">
        <v>25</v>
      </c>
      <c r="B9" t="s">
        <v>26</v>
      </c>
      <c r="C9" t="s">
        <v>27</v>
      </c>
      <c r="D9" t="s">
        <v>19</v>
      </c>
      <c r="E9">
        <v>2019</v>
      </c>
      <c r="F9" t="s">
        <v>697</v>
      </c>
      <c r="G9" s="28">
        <f t="shared" si="0"/>
        <v>2022</v>
      </c>
      <c r="H9" t="str">
        <f t="shared" ca="1" si="1"/>
        <v>Due</v>
      </c>
    </row>
    <row r="10" spans="1:8">
      <c r="A10" t="s">
        <v>702</v>
      </c>
      <c r="B10" t="s">
        <v>703</v>
      </c>
      <c r="C10" t="s">
        <v>704</v>
      </c>
      <c r="D10" t="s">
        <v>133</v>
      </c>
      <c r="G10" s="28" t="str">
        <f t="shared" si="0"/>
        <v/>
      </c>
      <c r="H10" t="str">
        <f t="shared" ca="1" si="1"/>
        <v>Valid</v>
      </c>
    </row>
    <row r="11" spans="1:8" hidden="1">
      <c r="A11" t="s">
        <v>705</v>
      </c>
      <c r="B11" t="s">
        <v>706</v>
      </c>
      <c r="C11" t="s">
        <v>707</v>
      </c>
      <c r="D11" t="s">
        <v>708</v>
      </c>
      <c r="E11">
        <v>2021</v>
      </c>
      <c r="F11" t="s">
        <v>697</v>
      </c>
      <c r="G11" s="28">
        <f t="shared" si="0"/>
        <v>2024</v>
      </c>
      <c r="H11" t="str">
        <f t="shared" ca="1" si="1"/>
        <v>Due</v>
      </c>
    </row>
    <row r="12" spans="1:8" hidden="1">
      <c r="A12" t="s">
        <v>709</v>
      </c>
      <c r="B12" t="s">
        <v>710</v>
      </c>
      <c r="C12" t="s">
        <v>711</v>
      </c>
      <c r="D12" t="s">
        <v>708</v>
      </c>
      <c r="E12">
        <v>2024</v>
      </c>
      <c r="F12" t="s">
        <v>697</v>
      </c>
      <c r="G12" s="28">
        <f t="shared" si="0"/>
        <v>2027</v>
      </c>
      <c r="H12" t="str">
        <f t="shared" ca="1" si="1"/>
        <v>Valid</v>
      </c>
    </row>
    <row r="13" spans="1:8">
      <c r="A13" t="s">
        <v>712</v>
      </c>
      <c r="B13" t="s">
        <v>713</v>
      </c>
      <c r="C13" t="s">
        <v>714</v>
      </c>
      <c r="D13" t="s">
        <v>708</v>
      </c>
      <c r="G13" s="28" t="str">
        <f t="shared" si="0"/>
        <v/>
      </c>
      <c r="H13" t="str">
        <f t="shared" ca="1" si="1"/>
        <v>Valid</v>
      </c>
    </row>
    <row r="14" spans="1:8">
      <c r="A14" t="s">
        <v>715</v>
      </c>
      <c r="B14" t="s">
        <v>716</v>
      </c>
      <c r="C14" t="s">
        <v>717</v>
      </c>
      <c r="D14" t="s">
        <v>31</v>
      </c>
      <c r="G14" s="28" t="str">
        <f t="shared" si="0"/>
        <v/>
      </c>
      <c r="H14" t="str">
        <f t="shared" ca="1" si="1"/>
        <v>Valid</v>
      </c>
    </row>
    <row r="15" spans="1:8" hidden="1">
      <c r="A15" t="s">
        <v>718</v>
      </c>
      <c r="B15" t="s">
        <v>719</v>
      </c>
      <c r="C15" t="s">
        <v>717</v>
      </c>
      <c r="D15" t="s">
        <v>31</v>
      </c>
      <c r="E15">
        <v>2026</v>
      </c>
      <c r="F15" t="s">
        <v>697</v>
      </c>
      <c r="G15" s="28">
        <f t="shared" si="0"/>
        <v>2029</v>
      </c>
      <c r="H15" t="str">
        <f t="shared" ca="1" si="1"/>
        <v>Valid</v>
      </c>
    </row>
    <row r="16" spans="1:8">
      <c r="A16" t="s">
        <v>720</v>
      </c>
      <c r="B16" t="s">
        <v>721</v>
      </c>
      <c r="C16" t="s">
        <v>722</v>
      </c>
      <c r="D16" t="s">
        <v>31</v>
      </c>
      <c r="G16" s="28" t="str">
        <f t="shared" si="0"/>
        <v/>
      </c>
      <c r="H16" t="str">
        <f t="shared" ca="1" si="1"/>
        <v>Valid</v>
      </c>
    </row>
    <row r="17" spans="1:8" hidden="1">
      <c r="A17" t="s">
        <v>28</v>
      </c>
      <c r="B17" t="s">
        <v>29</v>
      </c>
      <c r="C17" t="s">
        <v>30</v>
      </c>
      <c r="D17" t="s">
        <v>31</v>
      </c>
      <c r="E17">
        <v>2018</v>
      </c>
      <c r="F17" t="s">
        <v>697</v>
      </c>
      <c r="G17" s="28">
        <f t="shared" si="0"/>
        <v>2021</v>
      </c>
      <c r="H17" t="str">
        <f t="shared" ca="1" si="1"/>
        <v>Due</v>
      </c>
    </row>
    <row r="18" spans="1:8" hidden="1">
      <c r="A18" t="s">
        <v>723</v>
      </c>
      <c r="B18" t="s">
        <v>724</v>
      </c>
      <c r="C18" t="s">
        <v>725</v>
      </c>
      <c r="D18" t="s">
        <v>35</v>
      </c>
      <c r="E18">
        <v>2024</v>
      </c>
      <c r="F18" t="s">
        <v>697</v>
      </c>
      <c r="G18" s="28">
        <f t="shared" si="0"/>
        <v>2027</v>
      </c>
      <c r="H18" t="str">
        <f t="shared" ca="1" si="1"/>
        <v>Valid</v>
      </c>
    </row>
    <row r="19" spans="1:8">
      <c r="A19" t="s">
        <v>726</v>
      </c>
      <c r="B19" t="s">
        <v>727</v>
      </c>
      <c r="C19" t="s">
        <v>728</v>
      </c>
      <c r="D19" t="s">
        <v>35</v>
      </c>
      <c r="G19" s="28" t="str">
        <f t="shared" si="0"/>
        <v/>
      </c>
      <c r="H19" t="str">
        <f t="shared" ca="1" si="1"/>
        <v>Valid</v>
      </c>
    </row>
    <row r="20" spans="1:8" hidden="1">
      <c r="A20" t="s">
        <v>729</v>
      </c>
      <c r="B20" t="s">
        <v>730</v>
      </c>
      <c r="C20" t="s">
        <v>731</v>
      </c>
      <c r="D20" t="s">
        <v>35</v>
      </c>
      <c r="E20">
        <v>2018</v>
      </c>
      <c r="F20" t="s">
        <v>697</v>
      </c>
      <c r="G20" s="28">
        <f t="shared" si="0"/>
        <v>2021</v>
      </c>
      <c r="H20" t="str">
        <f t="shared" ca="1" si="1"/>
        <v>Due</v>
      </c>
    </row>
    <row r="21" spans="1:8" ht="15.75" customHeight="1">
      <c r="A21" t="s">
        <v>732</v>
      </c>
      <c r="B21" t="s">
        <v>733</v>
      </c>
      <c r="C21" t="s">
        <v>731</v>
      </c>
      <c r="D21" t="s">
        <v>35</v>
      </c>
      <c r="G21" s="28" t="str">
        <f t="shared" si="0"/>
        <v/>
      </c>
      <c r="H21" t="str">
        <f t="shared" ca="1" si="1"/>
        <v>Valid</v>
      </c>
    </row>
    <row r="22" spans="1:8" ht="15.75" customHeight="1">
      <c r="A22" t="s">
        <v>734</v>
      </c>
      <c r="B22" t="s">
        <v>735</v>
      </c>
      <c r="C22" t="s">
        <v>736</v>
      </c>
      <c r="D22" t="s">
        <v>35</v>
      </c>
      <c r="G22" s="28" t="str">
        <f t="shared" si="0"/>
        <v/>
      </c>
      <c r="H22" t="str">
        <f t="shared" ca="1" si="1"/>
        <v>Valid</v>
      </c>
    </row>
    <row r="23" spans="1:8" ht="15.75" hidden="1" customHeight="1">
      <c r="A23" t="s">
        <v>737</v>
      </c>
      <c r="B23" t="s">
        <v>738</v>
      </c>
      <c r="C23" t="s">
        <v>736</v>
      </c>
      <c r="D23" t="s">
        <v>35</v>
      </c>
      <c r="E23">
        <v>2026</v>
      </c>
      <c r="F23" t="s">
        <v>697</v>
      </c>
      <c r="G23" s="28">
        <f t="shared" si="0"/>
        <v>2029</v>
      </c>
      <c r="H23" t="str">
        <f t="shared" ca="1" si="1"/>
        <v>Valid</v>
      </c>
    </row>
    <row r="24" spans="1:8" ht="15.75" customHeight="1">
      <c r="A24" t="s">
        <v>739</v>
      </c>
      <c r="B24" t="s">
        <v>740</v>
      </c>
      <c r="C24" t="s">
        <v>736</v>
      </c>
      <c r="D24" t="s">
        <v>35</v>
      </c>
      <c r="G24" s="28" t="str">
        <f t="shared" si="0"/>
        <v/>
      </c>
      <c r="H24" t="str">
        <f t="shared" ca="1" si="1"/>
        <v>Valid</v>
      </c>
    </row>
    <row r="25" spans="1:8" ht="15.75" customHeight="1">
      <c r="A25" t="s">
        <v>741</v>
      </c>
      <c r="B25" t="s">
        <v>742</v>
      </c>
      <c r="C25" t="s">
        <v>743</v>
      </c>
      <c r="D25" t="s">
        <v>35</v>
      </c>
      <c r="G25" s="28" t="str">
        <f t="shared" si="0"/>
        <v/>
      </c>
      <c r="H25" t="str">
        <f t="shared" ca="1" si="1"/>
        <v>Valid</v>
      </c>
    </row>
    <row r="26" spans="1:8" ht="15.75" hidden="1" customHeight="1">
      <c r="A26" t="s">
        <v>744</v>
      </c>
      <c r="B26" t="s">
        <v>745</v>
      </c>
      <c r="C26" t="s">
        <v>743</v>
      </c>
      <c r="D26" t="s">
        <v>159</v>
      </c>
      <c r="E26">
        <v>2019</v>
      </c>
      <c r="F26" t="s">
        <v>697</v>
      </c>
      <c r="G26" s="28">
        <f t="shared" si="0"/>
        <v>2022</v>
      </c>
      <c r="H26" t="str">
        <f t="shared" ca="1" si="1"/>
        <v>Due</v>
      </c>
    </row>
    <row r="27" spans="1:8" ht="15.75" customHeight="1">
      <c r="A27" t="s">
        <v>746</v>
      </c>
      <c r="B27" t="s">
        <v>747</v>
      </c>
      <c r="C27" t="s">
        <v>748</v>
      </c>
      <c r="D27" t="s">
        <v>35</v>
      </c>
      <c r="G27" s="28" t="str">
        <f t="shared" si="0"/>
        <v/>
      </c>
      <c r="H27" t="str">
        <f t="shared" ca="1" si="1"/>
        <v>Valid</v>
      </c>
    </row>
    <row r="28" spans="1:8" ht="15.75" hidden="1" customHeight="1">
      <c r="A28" t="s">
        <v>749</v>
      </c>
      <c r="B28" t="s">
        <v>750</v>
      </c>
      <c r="C28" t="s">
        <v>751</v>
      </c>
      <c r="D28" t="s">
        <v>35</v>
      </c>
      <c r="E28">
        <v>2024</v>
      </c>
      <c r="F28" t="s">
        <v>697</v>
      </c>
      <c r="G28" s="28">
        <f t="shared" si="0"/>
        <v>2027</v>
      </c>
      <c r="H28" t="str">
        <f t="shared" ca="1" si="1"/>
        <v>Valid</v>
      </c>
    </row>
    <row r="29" spans="1:8" ht="15.75" hidden="1" customHeight="1">
      <c r="A29" t="s">
        <v>752</v>
      </c>
      <c r="B29" t="s">
        <v>753</v>
      </c>
      <c r="C29" t="s">
        <v>754</v>
      </c>
      <c r="D29" t="s">
        <v>35</v>
      </c>
      <c r="E29">
        <v>2021</v>
      </c>
      <c r="F29" t="s">
        <v>697</v>
      </c>
      <c r="G29" s="28">
        <f t="shared" si="0"/>
        <v>2024</v>
      </c>
      <c r="H29" t="str">
        <f t="shared" ca="1" si="1"/>
        <v>Due</v>
      </c>
    </row>
    <row r="30" spans="1:8" ht="15.75" hidden="1" customHeight="1">
      <c r="A30" t="s">
        <v>755</v>
      </c>
      <c r="B30" t="s">
        <v>756</v>
      </c>
      <c r="C30" t="s">
        <v>751</v>
      </c>
      <c r="D30" t="s">
        <v>35</v>
      </c>
      <c r="E30">
        <v>2021</v>
      </c>
      <c r="F30" t="s">
        <v>697</v>
      </c>
      <c r="G30" s="28">
        <f t="shared" si="0"/>
        <v>2024</v>
      </c>
      <c r="H30" t="str">
        <f t="shared" ca="1" si="1"/>
        <v>Due</v>
      </c>
    </row>
    <row r="31" spans="1:8" ht="15.75" hidden="1" customHeight="1">
      <c r="A31" t="s">
        <v>757</v>
      </c>
      <c r="B31" t="s">
        <v>758</v>
      </c>
      <c r="C31" t="s">
        <v>754</v>
      </c>
      <c r="D31" t="s">
        <v>35</v>
      </c>
      <c r="E31">
        <v>2022</v>
      </c>
      <c r="F31" t="s">
        <v>697</v>
      </c>
      <c r="G31" s="28">
        <f t="shared" si="0"/>
        <v>2025</v>
      </c>
      <c r="H31" t="str">
        <f t="shared" ca="1" si="1"/>
        <v>Due</v>
      </c>
    </row>
    <row r="32" spans="1:8" ht="15.75" hidden="1" customHeight="1">
      <c r="A32" t="s">
        <v>759</v>
      </c>
      <c r="B32" t="s">
        <v>760</v>
      </c>
      <c r="C32" t="s">
        <v>761</v>
      </c>
      <c r="D32" t="s">
        <v>35</v>
      </c>
      <c r="E32">
        <v>2022</v>
      </c>
      <c r="F32" t="s">
        <v>697</v>
      </c>
      <c r="G32" s="28">
        <f t="shared" si="0"/>
        <v>2025</v>
      </c>
      <c r="H32" t="str">
        <f t="shared" ca="1" si="1"/>
        <v>Due</v>
      </c>
    </row>
    <row r="33" spans="1:8" ht="15.75" customHeight="1">
      <c r="A33" t="s">
        <v>762</v>
      </c>
      <c r="B33" t="s">
        <v>763</v>
      </c>
      <c r="C33" t="s">
        <v>764</v>
      </c>
      <c r="D33" t="s">
        <v>35</v>
      </c>
      <c r="G33" s="28" t="str">
        <f t="shared" si="0"/>
        <v/>
      </c>
      <c r="H33" t="str">
        <f t="shared" ca="1" si="1"/>
        <v>Valid</v>
      </c>
    </row>
    <row r="34" spans="1:8" ht="15.75" customHeight="1">
      <c r="A34" t="s">
        <v>765</v>
      </c>
      <c r="B34" t="s">
        <v>766</v>
      </c>
      <c r="C34" t="s">
        <v>767</v>
      </c>
      <c r="D34" t="s">
        <v>35</v>
      </c>
      <c r="G34" s="28" t="str">
        <f t="shared" si="0"/>
        <v/>
      </c>
      <c r="H34" t="str">
        <f t="shared" ca="1" si="1"/>
        <v>Valid</v>
      </c>
    </row>
    <row r="35" spans="1:8" ht="15.75" hidden="1" customHeight="1">
      <c r="A35" t="s">
        <v>768</v>
      </c>
      <c r="B35" t="s">
        <v>769</v>
      </c>
      <c r="C35" t="s">
        <v>770</v>
      </c>
      <c r="D35" t="s">
        <v>35</v>
      </c>
      <c r="E35">
        <v>2024</v>
      </c>
      <c r="F35" t="s">
        <v>697</v>
      </c>
      <c r="G35" s="28">
        <f t="shared" si="0"/>
        <v>2027</v>
      </c>
      <c r="H35" t="str">
        <f t="shared" ca="1" si="1"/>
        <v>Valid</v>
      </c>
    </row>
    <row r="36" spans="1:8" ht="15.75" hidden="1" customHeight="1">
      <c r="A36" t="s">
        <v>771</v>
      </c>
      <c r="B36" t="s">
        <v>772</v>
      </c>
      <c r="C36" t="s">
        <v>773</v>
      </c>
      <c r="D36" t="s">
        <v>35</v>
      </c>
      <c r="E36">
        <v>2021</v>
      </c>
      <c r="F36" t="s">
        <v>697</v>
      </c>
      <c r="G36" s="28">
        <f t="shared" si="0"/>
        <v>2024</v>
      </c>
      <c r="H36" t="str">
        <f t="shared" ca="1" si="1"/>
        <v>Due</v>
      </c>
    </row>
    <row r="37" spans="1:8" ht="15.75" customHeight="1">
      <c r="A37" t="s">
        <v>774</v>
      </c>
      <c r="B37" t="s">
        <v>775</v>
      </c>
      <c r="C37" t="s">
        <v>770</v>
      </c>
      <c r="D37" t="s">
        <v>35</v>
      </c>
      <c r="G37" s="28" t="str">
        <f t="shared" si="0"/>
        <v/>
      </c>
      <c r="H37" t="str">
        <f t="shared" ca="1" si="1"/>
        <v>Valid</v>
      </c>
    </row>
    <row r="38" spans="1:8" ht="15.75" hidden="1" customHeight="1">
      <c r="A38" t="s">
        <v>32</v>
      </c>
      <c r="B38" t="s">
        <v>33</v>
      </c>
      <c r="C38" t="s">
        <v>34</v>
      </c>
      <c r="D38" t="s">
        <v>35</v>
      </c>
      <c r="E38">
        <v>2022</v>
      </c>
      <c r="F38" t="s">
        <v>697</v>
      </c>
      <c r="G38" s="28">
        <f t="shared" si="0"/>
        <v>2025</v>
      </c>
      <c r="H38" t="str">
        <f t="shared" ca="1" si="1"/>
        <v>Due</v>
      </c>
    </row>
    <row r="39" spans="1:8" ht="15.75" hidden="1" customHeight="1">
      <c r="A39" t="s">
        <v>36</v>
      </c>
      <c r="B39" t="s">
        <v>37</v>
      </c>
      <c r="C39" t="s">
        <v>34</v>
      </c>
      <c r="D39" t="s">
        <v>35</v>
      </c>
      <c r="E39">
        <v>2019</v>
      </c>
      <c r="F39" t="s">
        <v>697</v>
      </c>
      <c r="G39" s="28">
        <f t="shared" si="0"/>
        <v>2022</v>
      </c>
      <c r="H39" t="str">
        <f t="shared" ca="1" si="1"/>
        <v>Due</v>
      </c>
    </row>
    <row r="40" spans="1:8" ht="15.75" hidden="1" customHeight="1">
      <c r="A40" t="s">
        <v>38</v>
      </c>
      <c r="B40" t="s">
        <v>39</v>
      </c>
      <c r="C40" t="s">
        <v>34</v>
      </c>
      <c r="D40" t="s">
        <v>35</v>
      </c>
      <c r="E40">
        <v>2019</v>
      </c>
      <c r="F40" t="s">
        <v>697</v>
      </c>
      <c r="G40" s="28">
        <f t="shared" si="0"/>
        <v>2022</v>
      </c>
      <c r="H40" t="str">
        <f t="shared" ca="1" si="1"/>
        <v>Due</v>
      </c>
    </row>
    <row r="41" spans="1:8" ht="15.75" customHeight="1">
      <c r="A41" t="s">
        <v>40</v>
      </c>
      <c r="B41" t="s">
        <v>41</v>
      </c>
      <c r="C41" t="s">
        <v>42</v>
      </c>
      <c r="D41" t="s">
        <v>43</v>
      </c>
      <c r="G41" s="28" t="str">
        <f t="shared" si="0"/>
        <v/>
      </c>
      <c r="H41" t="str">
        <f t="shared" ca="1" si="1"/>
        <v>Valid</v>
      </c>
    </row>
    <row r="42" spans="1:8" ht="15.75" hidden="1" customHeight="1">
      <c r="A42" t="s">
        <v>44</v>
      </c>
      <c r="B42" t="s">
        <v>45</v>
      </c>
      <c r="C42" t="s">
        <v>46</v>
      </c>
      <c r="D42" t="s">
        <v>35</v>
      </c>
      <c r="E42">
        <v>2019</v>
      </c>
      <c r="F42" t="s">
        <v>697</v>
      </c>
      <c r="G42" s="28">
        <f t="shared" si="0"/>
        <v>2022</v>
      </c>
      <c r="H42" t="str">
        <f t="shared" ca="1" si="1"/>
        <v>Due</v>
      </c>
    </row>
    <row r="43" spans="1:8" ht="15.75" hidden="1" customHeight="1">
      <c r="A43" t="s">
        <v>47</v>
      </c>
      <c r="B43" t="s">
        <v>48</v>
      </c>
      <c r="C43" t="s">
        <v>46</v>
      </c>
      <c r="D43" t="s">
        <v>35</v>
      </c>
      <c r="E43">
        <v>2021</v>
      </c>
      <c r="F43" t="s">
        <v>697</v>
      </c>
      <c r="G43" s="28">
        <f t="shared" si="0"/>
        <v>2024</v>
      </c>
      <c r="H43" t="str">
        <f t="shared" ca="1" si="1"/>
        <v>Due</v>
      </c>
    </row>
    <row r="44" spans="1:8" ht="15.75" customHeight="1">
      <c r="A44" t="s">
        <v>49</v>
      </c>
      <c r="B44" t="s">
        <v>50</v>
      </c>
      <c r="C44" t="s">
        <v>46</v>
      </c>
      <c r="D44" t="s">
        <v>35</v>
      </c>
      <c r="G44" s="28" t="str">
        <f t="shared" si="0"/>
        <v/>
      </c>
      <c r="H44" t="str">
        <f t="shared" ca="1" si="1"/>
        <v>Valid</v>
      </c>
    </row>
    <row r="45" spans="1:8" ht="15.75" hidden="1" customHeight="1">
      <c r="A45" t="s">
        <v>51</v>
      </c>
      <c r="B45" t="s">
        <v>52</v>
      </c>
      <c r="C45" t="s">
        <v>46</v>
      </c>
      <c r="D45" t="s">
        <v>35</v>
      </c>
      <c r="E45">
        <v>2017</v>
      </c>
      <c r="F45" t="s">
        <v>697</v>
      </c>
      <c r="G45" s="28">
        <f t="shared" si="0"/>
        <v>2020</v>
      </c>
      <c r="H45" t="str">
        <f t="shared" ca="1" si="1"/>
        <v>Due</v>
      </c>
    </row>
    <row r="46" spans="1:8" ht="15.75" hidden="1" customHeight="1">
      <c r="A46" t="s">
        <v>53</v>
      </c>
      <c r="B46" t="s">
        <v>54</v>
      </c>
      <c r="C46" t="s">
        <v>46</v>
      </c>
      <c r="D46" t="s">
        <v>35</v>
      </c>
      <c r="E46">
        <v>2021</v>
      </c>
      <c r="F46" t="s">
        <v>697</v>
      </c>
      <c r="G46" s="28">
        <f t="shared" si="0"/>
        <v>2024</v>
      </c>
      <c r="H46" t="str">
        <f t="shared" ca="1" si="1"/>
        <v>Due</v>
      </c>
    </row>
    <row r="47" spans="1:8" ht="15.75" hidden="1" customHeight="1">
      <c r="A47" t="s">
        <v>55</v>
      </c>
      <c r="B47" t="s">
        <v>56</v>
      </c>
      <c r="C47" t="s">
        <v>46</v>
      </c>
      <c r="D47" t="s">
        <v>35</v>
      </c>
      <c r="E47">
        <v>2022</v>
      </c>
      <c r="F47" t="s">
        <v>697</v>
      </c>
      <c r="G47" s="28">
        <f t="shared" si="0"/>
        <v>2025</v>
      </c>
      <c r="H47" t="str">
        <f t="shared" ca="1" si="1"/>
        <v>Due</v>
      </c>
    </row>
    <row r="48" spans="1:8" ht="15.75" hidden="1" customHeight="1">
      <c r="A48" t="s">
        <v>57</v>
      </c>
      <c r="B48" t="s">
        <v>58</v>
      </c>
      <c r="C48" t="s">
        <v>46</v>
      </c>
      <c r="D48" t="s">
        <v>35</v>
      </c>
      <c r="E48">
        <v>2022</v>
      </c>
      <c r="F48" t="s">
        <v>697</v>
      </c>
      <c r="G48" s="28">
        <f t="shared" si="0"/>
        <v>2025</v>
      </c>
      <c r="H48" t="str">
        <f t="shared" ca="1" si="1"/>
        <v>Due</v>
      </c>
    </row>
    <row r="49" spans="1:8" ht="15.75" hidden="1" customHeight="1">
      <c r="A49" t="s">
        <v>59</v>
      </c>
      <c r="B49" t="s">
        <v>60</v>
      </c>
      <c r="C49" t="s">
        <v>46</v>
      </c>
      <c r="D49" t="s">
        <v>35</v>
      </c>
      <c r="E49">
        <v>2018</v>
      </c>
      <c r="F49" t="s">
        <v>776</v>
      </c>
      <c r="G49" s="28" t="str">
        <f t="shared" si="0"/>
        <v>Lifetime</v>
      </c>
      <c r="H49" t="str">
        <f t="shared" ca="1" si="1"/>
        <v>Valid</v>
      </c>
    </row>
    <row r="50" spans="1:8" ht="15.75" hidden="1" customHeight="1">
      <c r="A50" t="s">
        <v>61</v>
      </c>
      <c r="B50" t="s">
        <v>62</v>
      </c>
      <c r="C50" t="s">
        <v>46</v>
      </c>
      <c r="D50" t="s">
        <v>35</v>
      </c>
      <c r="E50">
        <v>2019</v>
      </c>
      <c r="F50" t="s">
        <v>701</v>
      </c>
      <c r="G50" s="28">
        <f t="shared" si="0"/>
        <v>2024</v>
      </c>
      <c r="H50" t="str">
        <f t="shared" ca="1" si="1"/>
        <v>Due</v>
      </c>
    </row>
    <row r="51" spans="1:8" ht="15.75" hidden="1" customHeight="1">
      <c r="A51" t="s">
        <v>63</v>
      </c>
      <c r="B51" t="s">
        <v>64</v>
      </c>
      <c r="C51" t="s">
        <v>46</v>
      </c>
      <c r="D51" t="s">
        <v>43</v>
      </c>
      <c r="E51">
        <v>2018</v>
      </c>
      <c r="F51" t="s">
        <v>697</v>
      </c>
      <c r="G51" s="28">
        <f t="shared" si="0"/>
        <v>2021</v>
      </c>
      <c r="H51" t="str">
        <f t="shared" ca="1" si="1"/>
        <v>Due</v>
      </c>
    </row>
    <row r="52" spans="1:8" ht="15.75" hidden="1" customHeight="1">
      <c r="A52" t="s">
        <v>65</v>
      </c>
      <c r="B52" t="s">
        <v>66</v>
      </c>
      <c r="C52" t="s">
        <v>46</v>
      </c>
      <c r="D52" t="s">
        <v>35</v>
      </c>
      <c r="E52">
        <v>2017</v>
      </c>
      <c r="F52" t="s">
        <v>697</v>
      </c>
      <c r="G52" s="28">
        <f t="shared" si="0"/>
        <v>2020</v>
      </c>
      <c r="H52" t="str">
        <f t="shared" ca="1" si="1"/>
        <v>Due</v>
      </c>
    </row>
    <row r="53" spans="1:8" ht="15.75" hidden="1" customHeight="1">
      <c r="A53" t="s">
        <v>67</v>
      </c>
      <c r="B53" t="s">
        <v>68</v>
      </c>
      <c r="C53" t="s">
        <v>46</v>
      </c>
      <c r="D53" t="s">
        <v>35</v>
      </c>
      <c r="E53">
        <v>2022</v>
      </c>
      <c r="F53" t="s">
        <v>697</v>
      </c>
      <c r="G53" s="28">
        <f t="shared" si="0"/>
        <v>2025</v>
      </c>
      <c r="H53" t="str">
        <f t="shared" ca="1" si="1"/>
        <v>Due</v>
      </c>
    </row>
    <row r="54" spans="1:8" ht="15.75" customHeight="1">
      <c r="A54" t="s">
        <v>69</v>
      </c>
      <c r="B54" t="s">
        <v>70</v>
      </c>
      <c r="C54" t="s">
        <v>71</v>
      </c>
      <c r="D54" t="s">
        <v>43</v>
      </c>
      <c r="G54" s="28" t="str">
        <f t="shared" si="0"/>
        <v/>
      </c>
      <c r="H54" t="str">
        <f t="shared" ca="1" si="1"/>
        <v>Valid</v>
      </c>
    </row>
    <row r="55" spans="1:8" ht="15.75" hidden="1" customHeight="1">
      <c r="A55" t="s">
        <v>72</v>
      </c>
      <c r="B55" t="s">
        <v>73</v>
      </c>
      <c r="C55" t="s">
        <v>74</v>
      </c>
      <c r="D55" t="s">
        <v>35</v>
      </c>
      <c r="E55">
        <v>2025</v>
      </c>
      <c r="F55" t="s">
        <v>697</v>
      </c>
      <c r="G55" s="28">
        <f t="shared" si="0"/>
        <v>2028</v>
      </c>
      <c r="H55" t="str">
        <f t="shared" ca="1" si="1"/>
        <v>Valid</v>
      </c>
    </row>
    <row r="56" spans="1:8" ht="15.75" customHeight="1">
      <c r="A56" t="s">
        <v>75</v>
      </c>
      <c r="B56" t="s">
        <v>76</v>
      </c>
      <c r="C56" t="s">
        <v>77</v>
      </c>
      <c r="D56" t="s">
        <v>35</v>
      </c>
      <c r="G56" s="28" t="str">
        <f t="shared" si="0"/>
        <v/>
      </c>
      <c r="H56" t="str">
        <f t="shared" ca="1" si="1"/>
        <v>Valid</v>
      </c>
    </row>
    <row r="57" spans="1:8" ht="15.75" customHeight="1">
      <c r="A57" t="s">
        <v>78</v>
      </c>
      <c r="B57" t="s">
        <v>79</v>
      </c>
      <c r="C57" t="s">
        <v>77</v>
      </c>
      <c r="D57" t="s">
        <v>35</v>
      </c>
      <c r="G57" s="28" t="str">
        <f t="shared" si="0"/>
        <v/>
      </c>
      <c r="H57" t="str">
        <f t="shared" ca="1" si="1"/>
        <v>Valid</v>
      </c>
    </row>
    <row r="58" spans="1:8" ht="15.75" customHeight="1">
      <c r="A58" t="s">
        <v>80</v>
      </c>
      <c r="B58" t="s">
        <v>81</v>
      </c>
      <c r="C58" t="s">
        <v>77</v>
      </c>
      <c r="D58" t="s">
        <v>35</v>
      </c>
      <c r="G58" s="28" t="str">
        <f t="shared" si="0"/>
        <v/>
      </c>
      <c r="H58" t="str">
        <f t="shared" ca="1" si="1"/>
        <v>Valid</v>
      </c>
    </row>
    <row r="59" spans="1:8" ht="15.75" customHeight="1">
      <c r="A59" t="s">
        <v>82</v>
      </c>
      <c r="B59" t="s">
        <v>83</v>
      </c>
      <c r="C59" t="s">
        <v>77</v>
      </c>
      <c r="D59" t="s">
        <v>35</v>
      </c>
      <c r="G59" s="28" t="str">
        <f t="shared" si="0"/>
        <v/>
      </c>
      <c r="H59" t="str">
        <f t="shared" ca="1" si="1"/>
        <v>Valid</v>
      </c>
    </row>
    <row r="60" spans="1:8" ht="15.75" customHeight="1">
      <c r="A60" t="s">
        <v>84</v>
      </c>
      <c r="B60" t="s">
        <v>85</v>
      </c>
      <c r="C60" t="s">
        <v>86</v>
      </c>
      <c r="D60" t="s">
        <v>35</v>
      </c>
      <c r="G60" s="28" t="str">
        <f t="shared" si="0"/>
        <v/>
      </c>
      <c r="H60" t="str">
        <f t="shared" ca="1" si="1"/>
        <v>Valid</v>
      </c>
    </row>
    <row r="61" spans="1:8" ht="15.75" hidden="1" customHeight="1">
      <c r="A61" t="s">
        <v>777</v>
      </c>
      <c r="B61" t="s">
        <v>778</v>
      </c>
      <c r="C61" t="s">
        <v>779</v>
      </c>
      <c r="D61" t="s">
        <v>780</v>
      </c>
      <c r="E61">
        <v>2022</v>
      </c>
      <c r="F61" t="s">
        <v>697</v>
      </c>
      <c r="G61" s="28">
        <f t="shared" si="0"/>
        <v>2025</v>
      </c>
      <c r="H61" t="str">
        <f t="shared" ca="1" si="1"/>
        <v>Due</v>
      </c>
    </row>
    <row r="62" spans="1:8" ht="15.75" hidden="1" customHeight="1">
      <c r="A62" t="s">
        <v>781</v>
      </c>
      <c r="B62" t="s">
        <v>782</v>
      </c>
      <c r="C62" t="s">
        <v>783</v>
      </c>
      <c r="D62" t="s">
        <v>90</v>
      </c>
      <c r="E62">
        <v>2022</v>
      </c>
      <c r="F62" t="s">
        <v>697</v>
      </c>
      <c r="G62" s="28">
        <f t="shared" si="0"/>
        <v>2025</v>
      </c>
      <c r="H62" t="str">
        <f t="shared" ca="1" si="1"/>
        <v>Due</v>
      </c>
    </row>
    <row r="63" spans="1:8" ht="15.75" customHeight="1">
      <c r="A63" t="s">
        <v>784</v>
      </c>
      <c r="B63" t="s">
        <v>785</v>
      </c>
      <c r="C63" t="s">
        <v>786</v>
      </c>
      <c r="D63" t="s">
        <v>90</v>
      </c>
      <c r="G63" s="28" t="str">
        <f t="shared" si="0"/>
        <v/>
      </c>
      <c r="H63" t="str">
        <f t="shared" ca="1" si="1"/>
        <v>Valid</v>
      </c>
    </row>
    <row r="64" spans="1:8" ht="15.75" customHeight="1">
      <c r="A64" t="s">
        <v>787</v>
      </c>
      <c r="B64" t="s">
        <v>788</v>
      </c>
      <c r="C64" t="s">
        <v>789</v>
      </c>
      <c r="D64" t="s">
        <v>90</v>
      </c>
      <c r="G64" s="28" t="str">
        <f t="shared" si="0"/>
        <v/>
      </c>
      <c r="H64" t="str">
        <f t="shared" ca="1" si="1"/>
        <v>Valid</v>
      </c>
    </row>
    <row r="65" spans="1:8" ht="15.75" customHeight="1">
      <c r="A65" t="s">
        <v>790</v>
      </c>
      <c r="B65" t="s">
        <v>791</v>
      </c>
      <c r="C65" t="s">
        <v>789</v>
      </c>
      <c r="D65" t="s">
        <v>90</v>
      </c>
      <c r="G65" s="28" t="str">
        <f t="shared" si="0"/>
        <v/>
      </c>
      <c r="H65" t="str">
        <f t="shared" ca="1" si="1"/>
        <v>Valid</v>
      </c>
    </row>
    <row r="66" spans="1:8" ht="15.75" hidden="1" customHeight="1">
      <c r="A66" t="s">
        <v>792</v>
      </c>
      <c r="B66" t="s">
        <v>793</v>
      </c>
      <c r="C66" t="s">
        <v>794</v>
      </c>
      <c r="D66" t="s">
        <v>90</v>
      </c>
      <c r="E66">
        <v>2026</v>
      </c>
      <c r="F66" t="s">
        <v>697</v>
      </c>
      <c r="G66" s="28">
        <f t="shared" si="0"/>
        <v>2029</v>
      </c>
      <c r="H66" t="str">
        <f t="shared" ca="1" si="1"/>
        <v>Valid</v>
      </c>
    </row>
    <row r="67" spans="1:8" ht="15.75" hidden="1" customHeight="1">
      <c r="A67" t="s">
        <v>795</v>
      </c>
      <c r="B67" t="s">
        <v>796</v>
      </c>
      <c r="C67" t="s">
        <v>797</v>
      </c>
      <c r="D67" t="s">
        <v>90</v>
      </c>
      <c r="E67">
        <v>2025</v>
      </c>
      <c r="F67" t="s">
        <v>697</v>
      </c>
      <c r="G67" s="28">
        <f t="shared" si="0"/>
        <v>2028</v>
      </c>
      <c r="H67" t="str">
        <f t="shared" ca="1" si="1"/>
        <v>Valid</v>
      </c>
    </row>
    <row r="68" spans="1:8" ht="15.75" hidden="1" customHeight="1">
      <c r="A68" t="s">
        <v>798</v>
      </c>
      <c r="B68" t="s">
        <v>799</v>
      </c>
      <c r="C68" t="s">
        <v>800</v>
      </c>
      <c r="D68" t="s">
        <v>90</v>
      </c>
      <c r="E68">
        <v>2018</v>
      </c>
      <c r="F68" t="s">
        <v>697</v>
      </c>
      <c r="G68" s="28">
        <f t="shared" si="0"/>
        <v>2021</v>
      </c>
      <c r="H68" t="str">
        <f t="shared" ca="1" si="1"/>
        <v>Due</v>
      </c>
    </row>
    <row r="69" spans="1:8" ht="15.75" hidden="1" customHeight="1">
      <c r="A69" t="s">
        <v>87</v>
      </c>
      <c r="B69" t="s">
        <v>88</v>
      </c>
      <c r="C69" t="s">
        <v>89</v>
      </c>
      <c r="D69" t="s">
        <v>90</v>
      </c>
      <c r="E69">
        <v>2025</v>
      </c>
      <c r="F69" t="s">
        <v>701</v>
      </c>
      <c r="G69" s="28">
        <f t="shared" si="0"/>
        <v>2030</v>
      </c>
      <c r="H69" t="str">
        <f t="shared" ca="1" si="1"/>
        <v>Valid</v>
      </c>
    </row>
    <row r="70" spans="1:8" ht="15.75" customHeight="1">
      <c r="A70" t="s">
        <v>801</v>
      </c>
      <c r="B70" t="s">
        <v>802</v>
      </c>
      <c r="C70" t="s">
        <v>803</v>
      </c>
      <c r="D70" t="s">
        <v>94</v>
      </c>
      <c r="G70" s="28" t="str">
        <f t="shared" si="0"/>
        <v/>
      </c>
      <c r="H70" t="str">
        <f t="shared" ca="1" si="1"/>
        <v>Valid</v>
      </c>
    </row>
    <row r="71" spans="1:8" ht="15.75" customHeight="1">
      <c r="A71" t="s">
        <v>804</v>
      </c>
      <c r="B71" t="s">
        <v>805</v>
      </c>
      <c r="C71" t="s">
        <v>806</v>
      </c>
      <c r="D71" t="s">
        <v>94</v>
      </c>
      <c r="G71" s="28" t="str">
        <f t="shared" si="0"/>
        <v/>
      </c>
      <c r="H71" t="str">
        <f t="shared" ca="1" si="1"/>
        <v>Valid</v>
      </c>
    </row>
    <row r="72" spans="1:8" ht="15.75" hidden="1" customHeight="1">
      <c r="A72" t="s">
        <v>807</v>
      </c>
      <c r="B72" t="s">
        <v>808</v>
      </c>
      <c r="C72" t="s">
        <v>806</v>
      </c>
      <c r="D72" t="s">
        <v>94</v>
      </c>
      <c r="E72">
        <v>2024</v>
      </c>
      <c r="F72" t="s">
        <v>697</v>
      </c>
      <c r="G72" s="28">
        <f t="shared" si="0"/>
        <v>2027</v>
      </c>
      <c r="H72" t="str">
        <f t="shared" ca="1" si="1"/>
        <v>Valid</v>
      </c>
    </row>
    <row r="73" spans="1:8" ht="15.75" hidden="1" customHeight="1">
      <c r="A73" t="s">
        <v>809</v>
      </c>
      <c r="B73" t="s">
        <v>810</v>
      </c>
      <c r="C73" t="s">
        <v>811</v>
      </c>
      <c r="D73" t="s">
        <v>94</v>
      </c>
      <c r="E73">
        <v>2021</v>
      </c>
      <c r="F73" t="s">
        <v>697</v>
      </c>
      <c r="G73" s="28">
        <f t="shared" si="0"/>
        <v>2024</v>
      </c>
      <c r="H73" t="str">
        <f t="shared" ca="1" si="1"/>
        <v>Due</v>
      </c>
    </row>
    <row r="74" spans="1:8" ht="15.75" hidden="1" customHeight="1">
      <c r="A74" t="s">
        <v>812</v>
      </c>
      <c r="B74" t="s">
        <v>813</v>
      </c>
      <c r="C74" t="s">
        <v>814</v>
      </c>
      <c r="D74" t="s">
        <v>94</v>
      </c>
      <c r="E74">
        <v>2026</v>
      </c>
      <c r="F74" t="s">
        <v>697</v>
      </c>
      <c r="G74" s="28">
        <f t="shared" si="0"/>
        <v>2029</v>
      </c>
      <c r="H74" t="str">
        <f t="shared" ca="1" si="1"/>
        <v>Valid</v>
      </c>
    </row>
    <row r="75" spans="1:8" ht="15.75" customHeight="1">
      <c r="A75" t="s">
        <v>815</v>
      </c>
      <c r="B75" t="s">
        <v>816</v>
      </c>
      <c r="C75" t="s">
        <v>817</v>
      </c>
      <c r="D75" t="s">
        <v>94</v>
      </c>
      <c r="G75" s="28" t="str">
        <f t="shared" si="0"/>
        <v/>
      </c>
      <c r="H75" t="str">
        <f t="shared" ca="1" si="1"/>
        <v>Valid</v>
      </c>
    </row>
    <row r="76" spans="1:8" ht="15.75" hidden="1" customHeight="1">
      <c r="A76" t="s">
        <v>818</v>
      </c>
      <c r="B76" t="s">
        <v>819</v>
      </c>
      <c r="C76" t="s">
        <v>820</v>
      </c>
      <c r="D76" t="s">
        <v>94</v>
      </c>
      <c r="E76">
        <v>2026</v>
      </c>
      <c r="F76" t="s">
        <v>697</v>
      </c>
      <c r="G76" s="28">
        <f t="shared" si="0"/>
        <v>2029</v>
      </c>
      <c r="H76" t="str">
        <f t="shared" ca="1" si="1"/>
        <v>Valid</v>
      </c>
    </row>
    <row r="77" spans="1:8" ht="15.75" hidden="1" customHeight="1">
      <c r="A77" t="s">
        <v>91</v>
      </c>
      <c r="B77" t="s">
        <v>92</v>
      </c>
      <c r="C77" t="s">
        <v>93</v>
      </c>
      <c r="D77" t="s">
        <v>94</v>
      </c>
      <c r="E77">
        <v>2023</v>
      </c>
      <c r="F77" t="s">
        <v>697</v>
      </c>
      <c r="G77" s="28">
        <f t="shared" si="0"/>
        <v>2026</v>
      </c>
      <c r="H77" t="str">
        <f t="shared" ca="1" si="1"/>
        <v>Due</v>
      </c>
    </row>
    <row r="78" spans="1:8" ht="15.75" hidden="1" customHeight="1">
      <c r="A78" t="s">
        <v>95</v>
      </c>
      <c r="B78" t="s">
        <v>96</v>
      </c>
      <c r="C78" t="s">
        <v>97</v>
      </c>
      <c r="D78" t="s">
        <v>94</v>
      </c>
      <c r="E78">
        <v>2018</v>
      </c>
      <c r="F78" t="s">
        <v>697</v>
      </c>
      <c r="G78" s="28">
        <f t="shared" si="0"/>
        <v>2021</v>
      </c>
      <c r="H78" t="str">
        <f t="shared" ca="1" si="1"/>
        <v>Due</v>
      </c>
    </row>
    <row r="79" spans="1:8" ht="15.75" hidden="1" customHeight="1">
      <c r="A79" t="s">
        <v>98</v>
      </c>
      <c r="B79" t="s">
        <v>99</v>
      </c>
      <c r="C79" t="s">
        <v>100</v>
      </c>
      <c r="D79" t="s">
        <v>94</v>
      </c>
      <c r="E79">
        <v>2025</v>
      </c>
      <c r="F79" t="s">
        <v>697</v>
      </c>
      <c r="G79" s="28">
        <f t="shared" si="0"/>
        <v>2028</v>
      </c>
      <c r="H79" t="str">
        <f t="shared" ca="1" si="1"/>
        <v>Valid</v>
      </c>
    </row>
    <row r="80" spans="1:8" ht="15.75" hidden="1" customHeight="1">
      <c r="A80" t="s">
        <v>101</v>
      </c>
      <c r="B80" t="s">
        <v>102</v>
      </c>
      <c r="C80" t="s">
        <v>103</v>
      </c>
      <c r="D80" t="s">
        <v>94</v>
      </c>
      <c r="E80">
        <v>2025</v>
      </c>
      <c r="F80" t="s">
        <v>697</v>
      </c>
      <c r="G80" s="28">
        <f t="shared" si="0"/>
        <v>2028</v>
      </c>
      <c r="H80" t="str">
        <f t="shared" ca="1" si="1"/>
        <v>Valid</v>
      </c>
    </row>
    <row r="81" spans="1:8" ht="15.75" hidden="1" customHeight="1">
      <c r="A81" t="s">
        <v>104</v>
      </c>
      <c r="B81" t="s">
        <v>105</v>
      </c>
      <c r="C81" t="s">
        <v>106</v>
      </c>
      <c r="D81" t="s">
        <v>94</v>
      </c>
      <c r="E81">
        <v>2022</v>
      </c>
      <c r="F81" t="s">
        <v>697</v>
      </c>
      <c r="G81" s="28">
        <f t="shared" si="0"/>
        <v>2025</v>
      </c>
      <c r="H81" t="str">
        <f t="shared" ca="1" si="1"/>
        <v>Due</v>
      </c>
    </row>
    <row r="82" spans="1:8" ht="15.75" hidden="1" customHeight="1">
      <c r="A82" t="s">
        <v>107</v>
      </c>
      <c r="B82" t="s">
        <v>108</v>
      </c>
      <c r="C82" t="s">
        <v>109</v>
      </c>
      <c r="D82" t="s">
        <v>94</v>
      </c>
      <c r="E82">
        <v>2026</v>
      </c>
      <c r="F82" t="s">
        <v>701</v>
      </c>
      <c r="G82" s="28">
        <f t="shared" si="0"/>
        <v>2031</v>
      </c>
      <c r="H82" t="str">
        <f t="shared" ca="1" si="1"/>
        <v>Valid</v>
      </c>
    </row>
    <row r="83" spans="1:8" ht="15.75" customHeight="1">
      <c r="A83" t="s">
        <v>110</v>
      </c>
      <c r="B83" t="s">
        <v>111</v>
      </c>
      <c r="C83" t="s">
        <v>112</v>
      </c>
      <c r="D83" t="s">
        <v>94</v>
      </c>
      <c r="G83" s="28" t="str">
        <f t="shared" si="0"/>
        <v/>
      </c>
      <c r="H83" t="str">
        <f t="shared" ca="1" si="1"/>
        <v>Valid</v>
      </c>
    </row>
    <row r="84" spans="1:8" ht="15.75" hidden="1" customHeight="1">
      <c r="A84" t="s">
        <v>113</v>
      </c>
      <c r="B84" t="s">
        <v>114</v>
      </c>
      <c r="C84" t="s">
        <v>18</v>
      </c>
      <c r="D84" t="s">
        <v>94</v>
      </c>
      <c r="E84">
        <v>2023</v>
      </c>
      <c r="F84" t="s">
        <v>697</v>
      </c>
      <c r="G84" s="28">
        <f t="shared" si="0"/>
        <v>2026</v>
      </c>
      <c r="H84" t="str">
        <f t="shared" ca="1" si="1"/>
        <v>Due</v>
      </c>
    </row>
    <row r="85" spans="1:8" ht="15.75" customHeight="1">
      <c r="A85" t="s">
        <v>115</v>
      </c>
      <c r="B85" t="s">
        <v>116</v>
      </c>
      <c r="C85" t="s">
        <v>117</v>
      </c>
      <c r="D85" t="s">
        <v>94</v>
      </c>
      <c r="G85" s="28" t="str">
        <f t="shared" si="0"/>
        <v/>
      </c>
      <c r="H85" t="str">
        <f t="shared" ca="1" si="1"/>
        <v>Valid</v>
      </c>
    </row>
    <row r="86" spans="1:8" ht="15.75" customHeight="1">
      <c r="A86" t="s">
        <v>118</v>
      </c>
      <c r="B86" t="s">
        <v>119</v>
      </c>
      <c r="C86" t="s">
        <v>117</v>
      </c>
      <c r="D86" t="s">
        <v>94</v>
      </c>
      <c r="G86" s="28" t="str">
        <f t="shared" si="0"/>
        <v/>
      </c>
      <c r="H86" t="str">
        <f t="shared" ca="1" si="1"/>
        <v>Valid</v>
      </c>
    </row>
    <row r="87" spans="1:8" ht="15.75" customHeight="1">
      <c r="A87" t="s">
        <v>120</v>
      </c>
      <c r="B87" t="s">
        <v>121</v>
      </c>
      <c r="C87" t="s">
        <v>117</v>
      </c>
      <c r="D87" t="s">
        <v>94</v>
      </c>
      <c r="G87" s="28" t="str">
        <f t="shared" si="0"/>
        <v/>
      </c>
      <c r="H87" t="str">
        <f t="shared" ca="1" si="1"/>
        <v>Valid</v>
      </c>
    </row>
    <row r="88" spans="1:8" ht="15.75" customHeight="1">
      <c r="A88" t="s">
        <v>122</v>
      </c>
      <c r="B88" t="s">
        <v>123</v>
      </c>
      <c r="C88" t="s">
        <v>117</v>
      </c>
      <c r="D88" t="s">
        <v>94</v>
      </c>
      <c r="G88" s="28" t="str">
        <f t="shared" si="0"/>
        <v/>
      </c>
      <c r="H88" t="str">
        <f t="shared" ca="1" si="1"/>
        <v>Valid</v>
      </c>
    </row>
    <row r="89" spans="1:8" ht="15.75" hidden="1" customHeight="1">
      <c r="A89" t="s">
        <v>821</v>
      </c>
      <c r="B89" t="s">
        <v>822</v>
      </c>
      <c r="C89" t="s">
        <v>823</v>
      </c>
      <c r="D89" t="s">
        <v>19</v>
      </c>
      <c r="E89">
        <v>2024</v>
      </c>
      <c r="F89" t="s">
        <v>697</v>
      </c>
      <c r="G89" s="28">
        <f t="shared" si="0"/>
        <v>2027</v>
      </c>
      <c r="H89" t="str">
        <f t="shared" ca="1" si="1"/>
        <v>Valid</v>
      </c>
    </row>
    <row r="90" spans="1:8" ht="15.75" hidden="1" customHeight="1">
      <c r="A90" t="s">
        <v>124</v>
      </c>
      <c r="B90" t="s">
        <v>125</v>
      </c>
      <c r="C90" t="s">
        <v>46</v>
      </c>
      <c r="D90" t="s">
        <v>19</v>
      </c>
      <c r="E90">
        <v>2025</v>
      </c>
      <c r="F90" t="s">
        <v>697</v>
      </c>
      <c r="G90" s="28">
        <f t="shared" si="0"/>
        <v>2028</v>
      </c>
      <c r="H90" t="str">
        <f t="shared" ca="1" si="1"/>
        <v>Valid</v>
      </c>
    </row>
    <row r="91" spans="1:8" ht="15.75" customHeight="1">
      <c r="A91" t="s">
        <v>126</v>
      </c>
      <c r="B91" t="s">
        <v>127</v>
      </c>
      <c r="C91" t="s">
        <v>71</v>
      </c>
      <c r="D91" t="s">
        <v>19</v>
      </c>
      <c r="G91" s="28" t="str">
        <f t="shared" si="0"/>
        <v/>
      </c>
      <c r="H91" t="str">
        <f t="shared" ca="1" si="1"/>
        <v>Valid</v>
      </c>
    </row>
    <row r="92" spans="1:8" ht="15.75" customHeight="1">
      <c r="A92" t="s">
        <v>824</v>
      </c>
      <c r="B92" t="s">
        <v>825</v>
      </c>
      <c r="C92" t="s">
        <v>826</v>
      </c>
      <c r="D92" t="s">
        <v>133</v>
      </c>
      <c r="G92" s="28" t="str">
        <f t="shared" si="0"/>
        <v/>
      </c>
      <c r="H92" t="str">
        <f t="shared" ca="1" si="1"/>
        <v>Valid</v>
      </c>
    </row>
    <row r="93" spans="1:8" ht="15.75" customHeight="1">
      <c r="A93" t="s">
        <v>827</v>
      </c>
      <c r="B93" t="s">
        <v>828</v>
      </c>
      <c r="C93" t="s">
        <v>829</v>
      </c>
      <c r="D93" t="s">
        <v>133</v>
      </c>
      <c r="G93" s="28" t="str">
        <f t="shared" si="0"/>
        <v/>
      </c>
      <c r="H93" t="str">
        <f t="shared" ca="1" si="1"/>
        <v>Valid</v>
      </c>
    </row>
    <row r="94" spans="1:8" ht="15.75" customHeight="1">
      <c r="A94" t="s">
        <v>830</v>
      </c>
      <c r="B94" t="s">
        <v>831</v>
      </c>
      <c r="C94" t="s">
        <v>832</v>
      </c>
      <c r="D94" t="s">
        <v>133</v>
      </c>
      <c r="G94" s="28" t="str">
        <f t="shared" si="0"/>
        <v/>
      </c>
      <c r="H94" t="str">
        <f t="shared" ca="1" si="1"/>
        <v>Valid</v>
      </c>
    </row>
    <row r="95" spans="1:8" ht="15.75" hidden="1" customHeight="1">
      <c r="A95" t="s">
        <v>833</v>
      </c>
      <c r="B95" t="s">
        <v>834</v>
      </c>
      <c r="C95" t="s">
        <v>835</v>
      </c>
      <c r="D95" t="s">
        <v>133</v>
      </c>
      <c r="E95">
        <v>2023</v>
      </c>
      <c r="F95" t="s">
        <v>697</v>
      </c>
      <c r="G95" s="28">
        <f t="shared" si="0"/>
        <v>2026</v>
      </c>
      <c r="H95" t="str">
        <f t="shared" ca="1" si="1"/>
        <v>Due</v>
      </c>
    </row>
    <row r="96" spans="1:8" ht="15.75" hidden="1" customHeight="1">
      <c r="A96" t="s">
        <v>128</v>
      </c>
      <c r="B96" t="s">
        <v>129</v>
      </c>
      <c r="C96" t="s">
        <v>130</v>
      </c>
      <c r="D96" t="s">
        <v>19</v>
      </c>
      <c r="E96">
        <v>2024</v>
      </c>
      <c r="F96" t="s">
        <v>701</v>
      </c>
      <c r="G96" s="28">
        <f t="shared" si="0"/>
        <v>2029</v>
      </c>
      <c r="H96" t="str">
        <f t="shared" ca="1" si="1"/>
        <v>Valid</v>
      </c>
    </row>
    <row r="97" spans="1:8" ht="15.75" hidden="1" customHeight="1">
      <c r="A97" t="s">
        <v>131</v>
      </c>
      <c r="B97" t="s">
        <v>132</v>
      </c>
      <c r="C97" t="s">
        <v>18</v>
      </c>
      <c r="D97" t="s">
        <v>133</v>
      </c>
      <c r="E97">
        <v>2025</v>
      </c>
      <c r="F97" t="s">
        <v>697</v>
      </c>
      <c r="G97" s="28">
        <f t="shared" si="0"/>
        <v>2028</v>
      </c>
      <c r="H97" t="str">
        <f t="shared" ca="1" si="1"/>
        <v>Valid</v>
      </c>
    </row>
    <row r="98" spans="1:8" ht="15.75" hidden="1" customHeight="1">
      <c r="A98" t="s">
        <v>134</v>
      </c>
      <c r="B98" t="s">
        <v>135</v>
      </c>
      <c r="C98" t="s">
        <v>18</v>
      </c>
      <c r="D98" t="s">
        <v>19</v>
      </c>
      <c r="E98">
        <v>2025</v>
      </c>
      <c r="F98" t="s">
        <v>701</v>
      </c>
      <c r="G98" s="28">
        <f t="shared" si="0"/>
        <v>2030</v>
      </c>
      <c r="H98" t="str">
        <f t="shared" ca="1" si="1"/>
        <v>Valid</v>
      </c>
    </row>
    <row r="99" spans="1:8" ht="15.75" hidden="1" customHeight="1">
      <c r="A99" t="s">
        <v>836</v>
      </c>
      <c r="B99" t="s">
        <v>837</v>
      </c>
      <c r="C99" t="s">
        <v>838</v>
      </c>
      <c r="D99" t="s">
        <v>138</v>
      </c>
      <c r="E99">
        <v>2024</v>
      </c>
      <c r="F99" t="s">
        <v>697</v>
      </c>
      <c r="G99" s="28">
        <f t="shared" si="0"/>
        <v>2027</v>
      </c>
      <c r="H99" t="str">
        <f t="shared" ca="1" si="1"/>
        <v>Valid</v>
      </c>
    </row>
    <row r="100" spans="1:8" ht="15.75" hidden="1" customHeight="1">
      <c r="A100" t="s">
        <v>839</v>
      </c>
      <c r="B100" t="s">
        <v>840</v>
      </c>
      <c r="C100" t="s">
        <v>841</v>
      </c>
      <c r="D100" t="s">
        <v>138</v>
      </c>
      <c r="E100">
        <v>2026</v>
      </c>
      <c r="F100" t="s">
        <v>697</v>
      </c>
      <c r="G100" s="28">
        <f t="shared" si="0"/>
        <v>2029</v>
      </c>
      <c r="H100" t="str">
        <f t="shared" ca="1" si="1"/>
        <v>Valid</v>
      </c>
    </row>
    <row r="101" spans="1:8" ht="15.75" customHeight="1">
      <c r="A101" t="s">
        <v>842</v>
      </c>
      <c r="B101" t="s">
        <v>843</v>
      </c>
      <c r="C101" t="s">
        <v>844</v>
      </c>
      <c r="D101" t="s">
        <v>138</v>
      </c>
      <c r="G101" s="28" t="str">
        <f t="shared" si="0"/>
        <v/>
      </c>
      <c r="H101" t="str">
        <f t="shared" ca="1" si="1"/>
        <v>Valid</v>
      </c>
    </row>
    <row r="102" spans="1:8" ht="15.75" hidden="1" customHeight="1">
      <c r="A102" t="s">
        <v>136</v>
      </c>
      <c r="B102" t="s">
        <v>137</v>
      </c>
      <c r="C102" t="s">
        <v>130</v>
      </c>
      <c r="D102" t="s">
        <v>138</v>
      </c>
      <c r="E102">
        <v>2023</v>
      </c>
      <c r="F102" t="s">
        <v>697</v>
      </c>
      <c r="G102" s="28">
        <f t="shared" si="0"/>
        <v>2026</v>
      </c>
      <c r="H102" t="str">
        <f t="shared" ca="1" si="1"/>
        <v>Due</v>
      </c>
    </row>
    <row r="103" spans="1:8" ht="15.75" hidden="1" customHeight="1">
      <c r="A103" t="s">
        <v>139</v>
      </c>
      <c r="B103" t="s">
        <v>140</v>
      </c>
      <c r="C103" t="s">
        <v>100</v>
      </c>
      <c r="D103" t="s">
        <v>138</v>
      </c>
      <c r="E103">
        <v>2023</v>
      </c>
      <c r="F103" t="s">
        <v>697</v>
      </c>
      <c r="G103" s="28">
        <f t="shared" si="0"/>
        <v>2026</v>
      </c>
      <c r="H103" t="str">
        <f t="shared" ca="1" si="1"/>
        <v>Due</v>
      </c>
    </row>
    <row r="104" spans="1:8" ht="15.75" customHeight="1">
      <c r="A104" t="s">
        <v>141</v>
      </c>
      <c r="B104" t="s">
        <v>142</v>
      </c>
      <c r="C104" t="s">
        <v>143</v>
      </c>
      <c r="D104" t="s">
        <v>138</v>
      </c>
      <c r="G104" s="28" t="str">
        <f t="shared" si="0"/>
        <v/>
      </c>
      <c r="H104" t="str">
        <f t="shared" ca="1" si="1"/>
        <v>Valid</v>
      </c>
    </row>
    <row r="105" spans="1:8" ht="15.75" hidden="1" customHeight="1">
      <c r="A105" t="s">
        <v>144</v>
      </c>
      <c r="B105" t="s">
        <v>145</v>
      </c>
      <c r="C105" t="s">
        <v>146</v>
      </c>
      <c r="D105" t="s">
        <v>138</v>
      </c>
      <c r="E105">
        <v>2021</v>
      </c>
      <c r="F105" t="s">
        <v>697</v>
      </c>
      <c r="G105" s="28">
        <f t="shared" si="0"/>
        <v>2024</v>
      </c>
      <c r="H105" t="str">
        <f t="shared" ca="1" si="1"/>
        <v>Due</v>
      </c>
    </row>
    <row r="106" spans="1:8" ht="15.75" hidden="1" customHeight="1">
      <c r="A106" t="s">
        <v>147</v>
      </c>
      <c r="B106" t="s">
        <v>148</v>
      </c>
      <c r="C106" t="s">
        <v>89</v>
      </c>
      <c r="D106" t="s">
        <v>138</v>
      </c>
      <c r="E106">
        <v>2025</v>
      </c>
      <c r="F106" t="s">
        <v>697</v>
      </c>
      <c r="G106" s="28">
        <f t="shared" si="0"/>
        <v>2028</v>
      </c>
      <c r="H106" t="str">
        <f t="shared" ca="1" si="1"/>
        <v>Valid</v>
      </c>
    </row>
    <row r="107" spans="1:8" ht="15.75" customHeight="1">
      <c r="A107" t="s">
        <v>149</v>
      </c>
      <c r="B107" t="s">
        <v>150</v>
      </c>
      <c r="C107" t="s">
        <v>151</v>
      </c>
      <c r="D107" t="s">
        <v>138</v>
      </c>
      <c r="G107" s="28" t="str">
        <f t="shared" si="0"/>
        <v/>
      </c>
      <c r="H107" t="str">
        <f t="shared" ca="1" si="1"/>
        <v>Valid</v>
      </c>
    </row>
    <row r="108" spans="1:8" ht="15.75" customHeight="1">
      <c r="A108" t="s">
        <v>152</v>
      </c>
      <c r="B108" t="s">
        <v>153</v>
      </c>
      <c r="C108" t="s">
        <v>151</v>
      </c>
      <c r="D108" t="s">
        <v>138</v>
      </c>
      <c r="G108" s="28" t="str">
        <f t="shared" si="0"/>
        <v/>
      </c>
      <c r="H108" t="str">
        <f t="shared" ca="1" si="1"/>
        <v>Valid</v>
      </c>
    </row>
    <row r="109" spans="1:8" ht="15.75" hidden="1" customHeight="1">
      <c r="A109" t="s">
        <v>154</v>
      </c>
      <c r="B109" t="s">
        <v>155</v>
      </c>
      <c r="C109" t="s">
        <v>86</v>
      </c>
      <c r="D109" t="s">
        <v>138</v>
      </c>
      <c r="E109">
        <v>2025</v>
      </c>
      <c r="F109" t="s">
        <v>697</v>
      </c>
      <c r="G109" s="28">
        <f t="shared" si="0"/>
        <v>2028</v>
      </c>
      <c r="H109" t="str">
        <f t="shared" ca="1" si="1"/>
        <v>Valid</v>
      </c>
    </row>
    <row r="110" spans="1:8" ht="15.75" customHeight="1">
      <c r="A110" t="s">
        <v>845</v>
      </c>
      <c r="B110" t="s">
        <v>846</v>
      </c>
      <c r="C110" t="s">
        <v>847</v>
      </c>
      <c r="D110" t="s">
        <v>138</v>
      </c>
      <c r="G110" s="28" t="str">
        <f t="shared" si="0"/>
        <v/>
      </c>
      <c r="H110" t="str">
        <f t="shared" ca="1" si="1"/>
        <v>Valid</v>
      </c>
    </row>
    <row r="111" spans="1:8" ht="15.75" hidden="1" customHeight="1">
      <c r="A111" t="s">
        <v>848</v>
      </c>
      <c r="B111" t="s">
        <v>849</v>
      </c>
      <c r="C111" t="s">
        <v>850</v>
      </c>
      <c r="D111" t="s">
        <v>138</v>
      </c>
      <c r="E111">
        <v>2022</v>
      </c>
      <c r="F111" t="s">
        <v>697</v>
      </c>
      <c r="G111" s="28">
        <f t="shared" si="0"/>
        <v>2025</v>
      </c>
      <c r="H111" t="str">
        <f t="shared" ca="1" si="1"/>
        <v>Due</v>
      </c>
    </row>
    <row r="112" spans="1:8" ht="15.75" hidden="1" customHeight="1">
      <c r="A112" t="s">
        <v>851</v>
      </c>
      <c r="B112" t="s">
        <v>852</v>
      </c>
      <c r="C112" t="s">
        <v>853</v>
      </c>
      <c r="D112" t="s">
        <v>159</v>
      </c>
      <c r="E112">
        <v>2021</v>
      </c>
      <c r="F112" t="s">
        <v>697</v>
      </c>
      <c r="G112" s="28">
        <f t="shared" si="0"/>
        <v>2024</v>
      </c>
      <c r="H112" t="str">
        <f t="shared" ca="1" si="1"/>
        <v>Due</v>
      </c>
    </row>
    <row r="113" spans="1:8" ht="15.75" customHeight="1">
      <c r="A113" t="s">
        <v>854</v>
      </c>
      <c r="B113" t="s">
        <v>855</v>
      </c>
      <c r="C113" t="s">
        <v>856</v>
      </c>
      <c r="D113" t="s">
        <v>159</v>
      </c>
      <c r="G113" s="28" t="str">
        <f t="shared" si="0"/>
        <v/>
      </c>
      <c r="H113" t="str">
        <f t="shared" ca="1" si="1"/>
        <v>Valid</v>
      </c>
    </row>
    <row r="114" spans="1:8" ht="15.75" customHeight="1">
      <c r="A114" t="s">
        <v>857</v>
      </c>
      <c r="B114" t="s">
        <v>858</v>
      </c>
      <c r="C114" t="s">
        <v>859</v>
      </c>
      <c r="D114" t="s">
        <v>159</v>
      </c>
      <c r="G114" s="28" t="str">
        <f t="shared" si="0"/>
        <v/>
      </c>
      <c r="H114" t="str">
        <f t="shared" ca="1" si="1"/>
        <v>Valid</v>
      </c>
    </row>
    <row r="115" spans="1:8" ht="15.75" hidden="1" customHeight="1">
      <c r="A115" t="s">
        <v>860</v>
      </c>
      <c r="B115" t="s">
        <v>861</v>
      </c>
      <c r="C115" t="s">
        <v>859</v>
      </c>
      <c r="D115" t="s">
        <v>159</v>
      </c>
      <c r="E115">
        <v>2021</v>
      </c>
      <c r="F115" t="s">
        <v>697</v>
      </c>
      <c r="G115" s="28">
        <f t="shared" si="0"/>
        <v>2024</v>
      </c>
      <c r="H115" t="str">
        <f t="shared" ca="1" si="1"/>
        <v>Due</v>
      </c>
    </row>
    <row r="116" spans="1:8" ht="15.75" hidden="1" customHeight="1">
      <c r="A116" t="s">
        <v>862</v>
      </c>
      <c r="B116" t="s">
        <v>863</v>
      </c>
      <c r="C116" t="s">
        <v>864</v>
      </c>
      <c r="D116" t="s">
        <v>159</v>
      </c>
      <c r="E116">
        <v>2018</v>
      </c>
      <c r="F116" t="s">
        <v>776</v>
      </c>
      <c r="G116" s="28" t="str">
        <f t="shared" si="0"/>
        <v>Lifetime</v>
      </c>
      <c r="H116" t="str">
        <f t="shared" ca="1" si="1"/>
        <v>Valid</v>
      </c>
    </row>
    <row r="117" spans="1:8" ht="15.75" hidden="1" customHeight="1">
      <c r="A117" t="s">
        <v>156</v>
      </c>
      <c r="B117" t="s">
        <v>157</v>
      </c>
      <c r="C117" t="s">
        <v>158</v>
      </c>
      <c r="D117" t="s">
        <v>159</v>
      </c>
      <c r="E117">
        <v>2021</v>
      </c>
      <c r="F117" t="s">
        <v>697</v>
      </c>
      <c r="G117" s="28">
        <f t="shared" si="0"/>
        <v>2024</v>
      </c>
      <c r="H117" t="str">
        <f t="shared" ca="1" si="1"/>
        <v>Due</v>
      </c>
    </row>
    <row r="118" spans="1:8" ht="15.75" hidden="1" customHeight="1">
      <c r="A118" t="s">
        <v>160</v>
      </c>
      <c r="B118" t="s">
        <v>161</v>
      </c>
      <c r="C118" t="s">
        <v>162</v>
      </c>
      <c r="D118" t="s">
        <v>159</v>
      </c>
      <c r="E118">
        <v>2023</v>
      </c>
      <c r="F118" t="s">
        <v>697</v>
      </c>
      <c r="G118" s="28">
        <f t="shared" si="0"/>
        <v>2026</v>
      </c>
      <c r="H118" t="str">
        <f t="shared" ca="1" si="1"/>
        <v>Due</v>
      </c>
    </row>
    <row r="119" spans="1:8" ht="15.75" hidden="1" customHeight="1">
      <c r="A119" t="s">
        <v>163</v>
      </c>
      <c r="B119" t="s">
        <v>164</v>
      </c>
      <c r="C119" t="s">
        <v>162</v>
      </c>
      <c r="D119" t="s">
        <v>159</v>
      </c>
      <c r="E119">
        <v>2019</v>
      </c>
      <c r="F119" t="s">
        <v>697</v>
      </c>
      <c r="G119" s="28">
        <f t="shared" si="0"/>
        <v>2022</v>
      </c>
      <c r="H119" t="str">
        <f t="shared" ca="1" si="1"/>
        <v>Due</v>
      </c>
    </row>
    <row r="120" spans="1:8" ht="15.75" customHeight="1">
      <c r="A120" t="s">
        <v>165</v>
      </c>
      <c r="B120" t="s">
        <v>166</v>
      </c>
      <c r="C120" t="s">
        <v>46</v>
      </c>
      <c r="D120" t="s">
        <v>159</v>
      </c>
      <c r="G120" s="28" t="str">
        <f t="shared" si="0"/>
        <v/>
      </c>
      <c r="H120" t="str">
        <f t="shared" ca="1" si="1"/>
        <v>Valid</v>
      </c>
    </row>
    <row r="121" spans="1:8" ht="15.75" hidden="1" customHeight="1">
      <c r="A121" t="s">
        <v>167</v>
      </c>
      <c r="B121" t="s">
        <v>168</v>
      </c>
      <c r="C121" t="s">
        <v>46</v>
      </c>
      <c r="D121" t="s">
        <v>159</v>
      </c>
      <c r="E121">
        <v>2022</v>
      </c>
      <c r="F121" t="s">
        <v>697</v>
      </c>
      <c r="G121" s="28">
        <f t="shared" si="0"/>
        <v>2025</v>
      </c>
      <c r="H121" t="str">
        <f t="shared" ca="1" si="1"/>
        <v>Due</v>
      </c>
    </row>
    <row r="122" spans="1:8" ht="15.75" hidden="1" customHeight="1">
      <c r="A122" t="s">
        <v>169</v>
      </c>
      <c r="B122" t="s">
        <v>170</v>
      </c>
      <c r="C122" t="s">
        <v>146</v>
      </c>
      <c r="D122" t="s">
        <v>159</v>
      </c>
      <c r="E122">
        <v>2026</v>
      </c>
      <c r="F122" t="s">
        <v>697</v>
      </c>
      <c r="G122" s="28">
        <f t="shared" si="0"/>
        <v>2029</v>
      </c>
      <c r="H122" t="str">
        <f t="shared" ca="1" si="1"/>
        <v>Valid</v>
      </c>
    </row>
    <row r="123" spans="1:8" ht="15.75" hidden="1" customHeight="1">
      <c r="A123" t="s">
        <v>171</v>
      </c>
      <c r="B123" t="s">
        <v>172</v>
      </c>
      <c r="C123" t="s">
        <v>146</v>
      </c>
      <c r="D123" t="s">
        <v>159</v>
      </c>
      <c r="E123">
        <v>2018</v>
      </c>
      <c r="F123" t="s">
        <v>697</v>
      </c>
      <c r="G123" s="28">
        <f t="shared" si="0"/>
        <v>2021</v>
      </c>
      <c r="H123" t="str">
        <f t="shared" ca="1" si="1"/>
        <v>Due</v>
      </c>
    </row>
    <row r="124" spans="1:8" ht="15.75" customHeight="1">
      <c r="A124" t="s">
        <v>865</v>
      </c>
      <c r="B124" t="s">
        <v>866</v>
      </c>
      <c r="C124" t="s">
        <v>867</v>
      </c>
      <c r="D124" t="s">
        <v>159</v>
      </c>
      <c r="G124" s="28" t="str">
        <f t="shared" si="0"/>
        <v/>
      </c>
      <c r="H124" t="str">
        <f t="shared" ca="1" si="1"/>
        <v>Valid</v>
      </c>
    </row>
    <row r="125" spans="1:8" ht="15.75" customHeight="1">
      <c r="A125" t="s">
        <v>173</v>
      </c>
      <c r="B125" t="s">
        <v>174</v>
      </c>
      <c r="C125" t="s">
        <v>175</v>
      </c>
      <c r="D125" t="s">
        <v>159</v>
      </c>
      <c r="G125" s="28" t="str">
        <f t="shared" si="0"/>
        <v/>
      </c>
      <c r="H125" t="str">
        <f t="shared" ca="1" si="1"/>
        <v>Valid</v>
      </c>
    </row>
    <row r="126" spans="1:8" ht="15.75" hidden="1" customHeight="1">
      <c r="A126" t="s">
        <v>176</v>
      </c>
      <c r="B126" t="s">
        <v>177</v>
      </c>
      <c r="C126" t="s">
        <v>178</v>
      </c>
      <c r="D126" t="s">
        <v>159</v>
      </c>
      <c r="E126">
        <v>2022</v>
      </c>
      <c r="F126" t="s">
        <v>697</v>
      </c>
      <c r="G126" s="28">
        <f t="shared" si="0"/>
        <v>2025</v>
      </c>
      <c r="H126" t="str">
        <f t="shared" ca="1" si="1"/>
        <v>Due</v>
      </c>
    </row>
    <row r="127" spans="1:8" ht="15.75" customHeight="1">
      <c r="A127" t="s">
        <v>179</v>
      </c>
      <c r="B127" t="s">
        <v>180</v>
      </c>
      <c r="C127" t="s">
        <v>181</v>
      </c>
      <c r="D127" t="s">
        <v>159</v>
      </c>
      <c r="G127" s="28" t="str">
        <f t="shared" si="0"/>
        <v/>
      </c>
      <c r="H127" t="str">
        <f t="shared" ca="1" si="1"/>
        <v>Valid</v>
      </c>
    </row>
    <row r="128" spans="1:8" ht="15.75" customHeight="1">
      <c r="A128" t="s">
        <v>868</v>
      </c>
      <c r="B128" t="s">
        <v>869</v>
      </c>
      <c r="C128" t="s">
        <v>870</v>
      </c>
      <c r="D128" t="s">
        <v>159</v>
      </c>
      <c r="G128" s="28" t="str">
        <f t="shared" si="0"/>
        <v/>
      </c>
      <c r="H128" t="str">
        <f t="shared" ca="1" si="1"/>
        <v>Valid</v>
      </c>
    </row>
    <row r="129" spans="1:8" ht="15.75" customHeight="1">
      <c r="A129" t="s">
        <v>871</v>
      </c>
      <c r="B129" t="s">
        <v>872</v>
      </c>
      <c r="C129" t="s">
        <v>870</v>
      </c>
      <c r="D129" t="s">
        <v>159</v>
      </c>
      <c r="G129" s="28" t="str">
        <f t="shared" si="0"/>
        <v/>
      </c>
      <c r="H129" t="str">
        <f t="shared" ca="1" si="1"/>
        <v>Valid</v>
      </c>
    </row>
    <row r="130" spans="1:8" ht="15.75" customHeight="1">
      <c r="A130" t="s">
        <v>873</v>
      </c>
      <c r="B130" t="s">
        <v>874</v>
      </c>
      <c r="C130" t="s">
        <v>870</v>
      </c>
      <c r="D130" t="s">
        <v>159</v>
      </c>
      <c r="G130" s="28" t="str">
        <f t="shared" si="0"/>
        <v/>
      </c>
      <c r="H130" t="str">
        <f t="shared" ca="1" si="1"/>
        <v>Valid</v>
      </c>
    </row>
    <row r="131" spans="1:8" ht="15.75" customHeight="1">
      <c r="A131" t="s">
        <v>875</v>
      </c>
      <c r="B131" t="s">
        <v>876</v>
      </c>
      <c r="C131" t="s">
        <v>877</v>
      </c>
      <c r="D131" t="s">
        <v>159</v>
      </c>
      <c r="G131" s="28" t="str">
        <f t="shared" si="0"/>
        <v/>
      </c>
      <c r="H131" t="str">
        <f t="shared" ca="1" si="1"/>
        <v>Valid</v>
      </c>
    </row>
    <row r="132" spans="1:8" ht="15.75" customHeight="1">
      <c r="A132" t="s">
        <v>878</v>
      </c>
      <c r="B132" t="s">
        <v>879</v>
      </c>
      <c r="C132" t="s">
        <v>880</v>
      </c>
      <c r="D132" t="s">
        <v>159</v>
      </c>
      <c r="G132" s="28" t="str">
        <f t="shared" si="0"/>
        <v/>
      </c>
      <c r="H132" t="str">
        <f t="shared" ca="1" si="1"/>
        <v>Valid</v>
      </c>
    </row>
    <row r="133" spans="1:8" ht="15.75" hidden="1" customHeight="1">
      <c r="A133" t="s">
        <v>881</v>
      </c>
      <c r="B133" t="s">
        <v>882</v>
      </c>
      <c r="C133" t="s">
        <v>880</v>
      </c>
      <c r="D133" t="s">
        <v>159</v>
      </c>
      <c r="E133">
        <v>2026</v>
      </c>
      <c r="F133" t="s">
        <v>697</v>
      </c>
      <c r="G133" s="28">
        <f t="shared" si="0"/>
        <v>2029</v>
      </c>
      <c r="H133" t="str">
        <f t="shared" ca="1" si="1"/>
        <v>Valid</v>
      </c>
    </row>
    <row r="134" spans="1:8" ht="15.75" hidden="1" customHeight="1">
      <c r="A134" t="s">
        <v>883</v>
      </c>
      <c r="B134" t="s">
        <v>884</v>
      </c>
      <c r="C134" t="s">
        <v>885</v>
      </c>
      <c r="D134" t="s">
        <v>159</v>
      </c>
      <c r="E134">
        <v>2022</v>
      </c>
      <c r="F134" t="s">
        <v>697</v>
      </c>
      <c r="G134" s="28">
        <f t="shared" si="0"/>
        <v>2025</v>
      </c>
      <c r="H134" t="str">
        <f t="shared" ca="1" si="1"/>
        <v>Due</v>
      </c>
    </row>
    <row r="135" spans="1:8" ht="15.75" hidden="1" customHeight="1">
      <c r="A135" t="s">
        <v>886</v>
      </c>
      <c r="B135" t="s">
        <v>887</v>
      </c>
      <c r="C135" t="s">
        <v>885</v>
      </c>
      <c r="D135" t="s">
        <v>159</v>
      </c>
      <c r="E135">
        <v>2024</v>
      </c>
      <c r="F135" t="s">
        <v>697</v>
      </c>
      <c r="G135" s="28">
        <f t="shared" si="0"/>
        <v>2027</v>
      </c>
      <c r="H135" t="str">
        <f t="shared" ca="1" si="1"/>
        <v>Valid</v>
      </c>
    </row>
    <row r="136" spans="1:8" ht="15.75" hidden="1" customHeight="1">
      <c r="A136" t="s">
        <v>888</v>
      </c>
      <c r="B136" t="s">
        <v>889</v>
      </c>
      <c r="C136" t="s">
        <v>890</v>
      </c>
      <c r="D136" t="s">
        <v>159</v>
      </c>
      <c r="E136">
        <v>2024</v>
      </c>
      <c r="F136" t="s">
        <v>697</v>
      </c>
      <c r="G136" s="28">
        <f t="shared" si="0"/>
        <v>2027</v>
      </c>
      <c r="H136" t="str">
        <f t="shared" ca="1" si="1"/>
        <v>Valid</v>
      </c>
    </row>
    <row r="137" spans="1:8" ht="15.75" customHeight="1">
      <c r="A137" t="s">
        <v>891</v>
      </c>
      <c r="B137" t="s">
        <v>892</v>
      </c>
      <c r="C137" t="s">
        <v>890</v>
      </c>
      <c r="D137" t="s">
        <v>159</v>
      </c>
      <c r="G137" s="28" t="str">
        <f t="shared" si="0"/>
        <v/>
      </c>
      <c r="H137" t="str">
        <f t="shared" ca="1" si="1"/>
        <v>Valid</v>
      </c>
    </row>
    <row r="138" spans="1:8" ht="15.75" hidden="1" customHeight="1">
      <c r="A138" t="s">
        <v>893</v>
      </c>
      <c r="B138" t="s">
        <v>894</v>
      </c>
      <c r="C138" t="s">
        <v>890</v>
      </c>
      <c r="D138" t="s">
        <v>159</v>
      </c>
      <c r="E138">
        <v>2021</v>
      </c>
      <c r="F138" t="s">
        <v>697</v>
      </c>
      <c r="G138" s="28">
        <f t="shared" si="0"/>
        <v>2024</v>
      </c>
      <c r="H138" t="str">
        <f t="shared" ca="1" si="1"/>
        <v>Due</v>
      </c>
    </row>
    <row r="139" spans="1:8" ht="15.75" customHeight="1">
      <c r="A139" t="s">
        <v>895</v>
      </c>
      <c r="B139" t="s">
        <v>896</v>
      </c>
      <c r="C139" t="s">
        <v>897</v>
      </c>
      <c r="D139" t="s">
        <v>159</v>
      </c>
      <c r="G139" s="28" t="str">
        <f t="shared" si="0"/>
        <v/>
      </c>
      <c r="H139" t="str">
        <f t="shared" ca="1" si="1"/>
        <v>Valid</v>
      </c>
    </row>
    <row r="140" spans="1:8" ht="15.75" hidden="1" customHeight="1">
      <c r="A140" t="s">
        <v>898</v>
      </c>
      <c r="B140" t="s">
        <v>899</v>
      </c>
      <c r="C140" t="s">
        <v>897</v>
      </c>
      <c r="D140" t="s">
        <v>159</v>
      </c>
      <c r="E140">
        <v>2022</v>
      </c>
      <c r="F140" t="s">
        <v>697</v>
      </c>
      <c r="G140" s="28">
        <f t="shared" si="0"/>
        <v>2025</v>
      </c>
      <c r="H140" t="str">
        <f t="shared" ca="1" si="1"/>
        <v>Due</v>
      </c>
    </row>
    <row r="141" spans="1:8" ht="15.75" hidden="1" customHeight="1">
      <c r="A141" t="s">
        <v>900</v>
      </c>
      <c r="B141" t="s">
        <v>901</v>
      </c>
      <c r="C141" t="s">
        <v>902</v>
      </c>
      <c r="D141" t="s">
        <v>159</v>
      </c>
      <c r="E141">
        <v>2021</v>
      </c>
      <c r="F141" t="s">
        <v>697</v>
      </c>
      <c r="G141" s="28">
        <f t="shared" si="0"/>
        <v>2024</v>
      </c>
      <c r="H141" t="str">
        <f t="shared" ca="1" si="1"/>
        <v>Due</v>
      </c>
    </row>
    <row r="142" spans="1:8" ht="15.75" hidden="1" customHeight="1">
      <c r="A142" t="s">
        <v>903</v>
      </c>
      <c r="B142" t="s">
        <v>904</v>
      </c>
      <c r="C142" t="s">
        <v>859</v>
      </c>
      <c r="D142" t="s">
        <v>159</v>
      </c>
      <c r="E142">
        <v>2018</v>
      </c>
      <c r="F142" t="s">
        <v>701</v>
      </c>
      <c r="G142" s="28">
        <f t="shared" si="0"/>
        <v>2023</v>
      </c>
      <c r="H142" t="str">
        <f t="shared" ca="1" si="1"/>
        <v>Due</v>
      </c>
    </row>
    <row r="143" spans="1:8" ht="15.75" customHeight="1">
      <c r="A143" t="s">
        <v>905</v>
      </c>
      <c r="B143" t="s">
        <v>906</v>
      </c>
      <c r="C143" t="s">
        <v>907</v>
      </c>
      <c r="D143" t="s">
        <v>159</v>
      </c>
      <c r="G143" s="28" t="str">
        <f t="shared" si="0"/>
        <v/>
      </c>
      <c r="H143" t="str">
        <f t="shared" ca="1" si="1"/>
        <v>Valid</v>
      </c>
    </row>
    <row r="144" spans="1:8" ht="15.75" hidden="1" customHeight="1">
      <c r="A144" t="s">
        <v>908</v>
      </c>
      <c r="B144" t="s">
        <v>909</v>
      </c>
      <c r="C144" t="s">
        <v>910</v>
      </c>
      <c r="D144" t="s">
        <v>159</v>
      </c>
      <c r="E144">
        <v>2026</v>
      </c>
      <c r="F144" t="s">
        <v>697</v>
      </c>
      <c r="G144" s="28">
        <f t="shared" si="0"/>
        <v>2029</v>
      </c>
      <c r="H144" t="str">
        <f t="shared" ca="1" si="1"/>
        <v>Valid</v>
      </c>
    </row>
    <row r="145" spans="1:8" ht="15.75" hidden="1" customHeight="1">
      <c r="A145" t="s">
        <v>911</v>
      </c>
      <c r="B145" t="s">
        <v>912</v>
      </c>
      <c r="C145" t="s">
        <v>910</v>
      </c>
      <c r="D145" t="s">
        <v>159</v>
      </c>
      <c r="E145">
        <v>2026</v>
      </c>
      <c r="F145" t="s">
        <v>697</v>
      </c>
      <c r="G145" s="28">
        <f t="shared" si="0"/>
        <v>2029</v>
      </c>
      <c r="H145" t="str">
        <f t="shared" ca="1" si="1"/>
        <v>Valid</v>
      </c>
    </row>
    <row r="146" spans="1:8" ht="15.75" hidden="1" customHeight="1">
      <c r="A146" t="s">
        <v>913</v>
      </c>
      <c r="B146" t="s">
        <v>914</v>
      </c>
      <c r="C146" t="s">
        <v>915</v>
      </c>
      <c r="D146" t="s">
        <v>159</v>
      </c>
      <c r="E146">
        <v>2021</v>
      </c>
      <c r="F146" t="s">
        <v>697</v>
      </c>
      <c r="G146" s="28">
        <f t="shared" si="0"/>
        <v>2024</v>
      </c>
      <c r="H146" t="str">
        <f t="shared" ca="1" si="1"/>
        <v>Due</v>
      </c>
    </row>
    <row r="147" spans="1:8" ht="15.75" hidden="1" customHeight="1">
      <c r="A147" t="s">
        <v>916</v>
      </c>
      <c r="B147" t="s">
        <v>917</v>
      </c>
      <c r="C147" t="s">
        <v>918</v>
      </c>
      <c r="D147" t="s">
        <v>159</v>
      </c>
      <c r="E147">
        <v>2021</v>
      </c>
      <c r="F147" t="s">
        <v>697</v>
      </c>
      <c r="G147" s="28">
        <f t="shared" si="0"/>
        <v>2024</v>
      </c>
      <c r="H147" t="str">
        <f t="shared" ca="1" si="1"/>
        <v>Due</v>
      </c>
    </row>
    <row r="148" spans="1:8" ht="15.75" hidden="1" customHeight="1">
      <c r="A148" t="s">
        <v>919</v>
      </c>
      <c r="B148" s="26" t="s">
        <v>920</v>
      </c>
      <c r="C148" t="s">
        <v>921</v>
      </c>
      <c r="D148" t="s">
        <v>159</v>
      </c>
      <c r="E148">
        <v>2023</v>
      </c>
      <c r="F148" t="s">
        <v>697</v>
      </c>
      <c r="G148" s="28">
        <f t="shared" si="0"/>
        <v>2026</v>
      </c>
      <c r="H148" t="str">
        <f t="shared" ca="1" si="1"/>
        <v>Due</v>
      </c>
    </row>
    <row r="149" spans="1:8" ht="15.75" customHeight="1">
      <c r="A149" t="s">
        <v>922</v>
      </c>
      <c r="B149" t="s">
        <v>923</v>
      </c>
      <c r="C149" t="s">
        <v>924</v>
      </c>
      <c r="D149" t="s">
        <v>159</v>
      </c>
      <c r="G149" s="28" t="str">
        <f t="shared" si="0"/>
        <v/>
      </c>
      <c r="H149" t="str">
        <f t="shared" ca="1" si="1"/>
        <v>Valid</v>
      </c>
    </row>
    <row r="150" spans="1:8" ht="15.75" hidden="1" customHeight="1">
      <c r="A150" t="s">
        <v>925</v>
      </c>
      <c r="B150" t="s">
        <v>926</v>
      </c>
      <c r="C150" t="s">
        <v>927</v>
      </c>
      <c r="D150" t="s">
        <v>159</v>
      </c>
      <c r="E150">
        <v>2025</v>
      </c>
      <c r="F150" t="s">
        <v>697</v>
      </c>
      <c r="G150" s="28">
        <f t="shared" si="0"/>
        <v>2028</v>
      </c>
      <c r="H150" t="str">
        <f t="shared" ca="1" si="1"/>
        <v>Valid</v>
      </c>
    </row>
    <row r="151" spans="1:8" ht="15.75" hidden="1" customHeight="1">
      <c r="A151" t="s">
        <v>182</v>
      </c>
      <c r="B151" t="s">
        <v>183</v>
      </c>
      <c r="C151" t="s">
        <v>184</v>
      </c>
      <c r="D151" t="s">
        <v>159</v>
      </c>
      <c r="E151">
        <v>2025</v>
      </c>
      <c r="F151" t="s">
        <v>697</v>
      </c>
      <c r="G151" s="28">
        <f t="shared" si="0"/>
        <v>2028</v>
      </c>
      <c r="H151" t="str">
        <f t="shared" ca="1" si="1"/>
        <v>Valid</v>
      </c>
    </row>
    <row r="152" spans="1:8" ht="15.75" customHeight="1">
      <c r="A152" t="s">
        <v>185</v>
      </c>
      <c r="B152" t="s">
        <v>186</v>
      </c>
      <c r="C152" t="s">
        <v>184</v>
      </c>
      <c r="D152" t="s">
        <v>159</v>
      </c>
      <c r="G152" s="28" t="str">
        <f t="shared" si="0"/>
        <v/>
      </c>
      <c r="H152" t="str">
        <f t="shared" ca="1" si="1"/>
        <v>Valid</v>
      </c>
    </row>
    <row r="153" spans="1:8" ht="15.75" hidden="1" customHeight="1">
      <c r="A153" t="s">
        <v>187</v>
      </c>
      <c r="B153" t="s">
        <v>188</v>
      </c>
      <c r="C153" t="s">
        <v>46</v>
      </c>
      <c r="D153" t="s">
        <v>159</v>
      </c>
      <c r="E153">
        <v>2019</v>
      </c>
      <c r="F153" t="s">
        <v>697</v>
      </c>
      <c r="G153" s="28">
        <f t="shared" si="0"/>
        <v>2022</v>
      </c>
      <c r="H153" t="str">
        <f t="shared" ca="1" si="1"/>
        <v>Due</v>
      </c>
    </row>
    <row r="154" spans="1:8" ht="15.75" customHeight="1">
      <c r="A154" t="s">
        <v>189</v>
      </c>
      <c r="B154" t="s">
        <v>190</v>
      </c>
      <c r="C154" t="s">
        <v>46</v>
      </c>
      <c r="D154" t="s">
        <v>159</v>
      </c>
      <c r="G154" s="28" t="str">
        <f t="shared" si="0"/>
        <v/>
      </c>
      <c r="H154" t="str">
        <f t="shared" ca="1" si="1"/>
        <v>Valid</v>
      </c>
    </row>
    <row r="155" spans="1:8" ht="15.75" hidden="1" customHeight="1">
      <c r="A155" t="s">
        <v>191</v>
      </c>
      <c r="B155" t="s">
        <v>192</v>
      </c>
      <c r="C155" t="s">
        <v>46</v>
      </c>
      <c r="D155" t="s">
        <v>159</v>
      </c>
      <c r="E155">
        <v>2019</v>
      </c>
      <c r="F155" t="s">
        <v>697</v>
      </c>
      <c r="G155" s="28">
        <f t="shared" si="0"/>
        <v>2022</v>
      </c>
      <c r="H155" t="str">
        <f t="shared" ca="1" si="1"/>
        <v>Due</v>
      </c>
    </row>
    <row r="156" spans="1:8" ht="15.75" customHeight="1">
      <c r="A156" t="s">
        <v>193</v>
      </c>
      <c r="B156" t="s">
        <v>194</v>
      </c>
      <c r="C156" t="s">
        <v>46</v>
      </c>
      <c r="D156" t="s">
        <v>159</v>
      </c>
      <c r="G156" s="28" t="str">
        <f t="shared" si="0"/>
        <v/>
      </c>
      <c r="H156" t="str">
        <f t="shared" ca="1" si="1"/>
        <v>Valid</v>
      </c>
    </row>
    <row r="157" spans="1:8" ht="15.75" hidden="1" customHeight="1">
      <c r="A157" t="s">
        <v>195</v>
      </c>
      <c r="B157" t="s">
        <v>196</v>
      </c>
      <c r="C157" t="s">
        <v>46</v>
      </c>
      <c r="D157" t="s">
        <v>159</v>
      </c>
      <c r="E157">
        <v>2022</v>
      </c>
      <c r="F157" t="s">
        <v>697</v>
      </c>
      <c r="G157" s="28">
        <f t="shared" si="0"/>
        <v>2025</v>
      </c>
      <c r="H157" t="str">
        <f t="shared" ca="1" si="1"/>
        <v>Due</v>
      </c>
    </row>
    <row r="158" spans="1:8" ht="15.75" hidden="1" customHeight="1">
      <c r="A158" t="s">
        <v>197</v>
      </c>
      <c r="B158" t="s">
        <v>198</v>
      </c>
      <c r="C158" t="s">
        <v>46</v>
      </c>
      <c r="D158" t="s">
        <v>159</v>
      </c>
      <c r="E158">
        <v>2017</v>
      </c>
      <c r="F158" t="s">
        <v>697</v>
      </c>
      <c r="G158" s="28">
        <f t="shared" si="0"/>
        <v>2020</v>
      </c>
      <c r="H158" t="str">
        <f t="shared" ca="1" si="1"/>
        <v>Due</v>
      </c>
    </row>
    <row r="159" spans="1:8" ht="15.75" hidden="1" customHeight="1">
      <c r="A159" t="s">
        <v>199</v>
      </c>
      <c r="B159" t="s">
        <v>200</v>
      </c>
      <c r="C159" t="s">
        <v>46</v>
      </c>
      <c r="D159" t="s">
        <v>159</v>
      </c>
      <c r="E159">
        <v>2019</v>
      </c>
      <c r="F159" t="s">
        <v>697</v>
      </c>
      <c r="G159" s="28">
        <f t="shared" si="0"/>
        <v>2022</v>
      </c>
      <c r="H159" t="str">
        <f t="shared" ca="1" si="1"/>
        <v>Due</v>
      </c>
    </row>
    <row r="160" spans="1:8" ht="15.75" hidden="1" customHeight="1">
      <c r="A160" t="s">
        <v>201</v>
      </c>
      <c r="B160" t="s">
        <v>202</v>
      </c>
      <c r="C160" t="s">
        <v>46</v>
      </c>
      <c r="D160" t="s">
        <v>159</v>
      </c>
      <c r="E160">
        <v>2021</v>
      </c>
      <c r="F160" t="s">
        <v>697</v>
      </c>
      <c r="G160" s="28">
        <f t="shared" si="0"/>
        <v>2024</v>
      </c>
      <c r="H160" t="str">
        <f t="shared" ca="1" si="1"/>
        <v>Due</v>
      </c>
    </row>
    <row r="161" spans="1:8" ht="15.75" hidden="1" customHeight="1">
      <c r="A161" t="s">
        <v>203</v>
      </c>
      <c r="B161" t="s">
        <v>204</v>
      </c>
      <c r="C161" t="s">
        <v>46</v>
      </c>
      <c r="D161" t="s">
        <v>159</v>
      </c>
      <c r="E161">
        <v>2019</v>
      </c>
      <c r="F161" t="s">
        <v>697</v>
      </c>
      <c r="G161" s="28">
        <f t="shared" si="0"/>
        <v>2022</v>
      </c>
      <c r="H161" t="str">
        <f t="shared" ca="1" si="1"/>
        <v>Due</v>
      </c>
    </row>
    <row r="162" spans="1:8" ht="15.75" hidden="1" customHeight="1">
      <c r="A162" t="s">
        <v>205</v>
      </c>
      <c r="B162" t="s">
        <v>206</v>
      </c>
      <c r="C162" t="s">
        <v>46</v>
      </c>
      <c r="D162" t="s">
        <v>159</v>
      </c>
      <c r="E162">
        <v>2022</v>
      </c>
      <c r="F162" t="s">
        <v>697</v>
      </c>
      <c r="G162" s="28">
        <f t="shared" si="0"/>
        <v>2025</v>
      </c>
      <c r="H162" t="str">
        <f t="shared" ca="1" si="1"/>
        <v>Due</v>
      </c>
    </row>
    <row r="163" spans="1:8" ht="15.75" hidden="1" customHeight="1">
      <c r="A163" t="s">
        <v>207</v>
      </c>
      <c r="B163" t="s">
        <v>208</v>
      </c>
      <c r="C163" t="s">
        <v>46</v>
      </c>
      <c r="D163" t="s">
        <v>159</v>
      </c>
      <c r="E163">
        <v>2023</v>
      </c>
      <c r="F163" t="s">
        <v>697</v>
      </c>
      <c r="G163" s="28">
        <f t="shared" si="0"/>
        <v>2026</v>
      </c>
      <c r="H163" t="str">
        <f t="shared" ca="1" si="1"/>
        <v>Due</v>
      </c>
    </row>
    <row r="164" spans="1:8" ht="15.75" hidden="1" customHeight="1">
      <c r="A164" t="s">
        <v>209</v>
      </c>
      <c r="B164" t="s">
        <v>210</v>
      </c>
      <c r="C164" t="s">
        <v>46</v>
      </c>
      <c r="D164" t="s">
        <v>159</v>
      </c>
      <c r="E164">
        <v>2019</v>
      </c>
      <c r="F164" t="s">
        <v>697</v>
      </c>
      <c r="G164" s="28">
        <f t="shared" si="0"/>
        <v>2022</v>
      </c>
      <c r="H164" t="str">
        <f t="shared" ca="1" si="1"/>
        <v>Due</v>
      </c>
    </row>
    <row r="165" spans="1:8" ht="15.75" hidden="1" customHeight="1">
      <c r="A165" t="s">
        <v>211</v>
      </c>
      <c r="B165" t="s">
        <v>212</v>
      </c>
      <c r="C165" t="s">
        <v>46</v>
      </c>
      <c r="D165" t="s">
        <v>159</v>
      </c>
      <c r="E165">
        <v>2023</v>
      </c>
      <c r="F165" t="s">
        <v>697</v>
      </c>
      <c r="G165" s="28">
        <f t="shared" si="0"/>
        <v>2026</v>
      </c>
      <c r="H165" t="str">
        <f t="shared" ca="1" si="1"/>
        <v>Due</v>
      </c>
    </row>
    <row r="166" spans="1:8" ht="15.75" hidden="1" customHeight="1">
      <c r="A166" t="s">
        <v>213</v>
      </c>
      <c r="B166" t="s">
        <v>214</v>
      </c>
      <c r="C166" t="s">
        <v>46</v>
      </c>
      <c r="D166" t="s">
        <v>159</v>
      </c>
      <c r="E166">
        <v>2021</v>
      </c>
      <c r="F166" t="s">
        <v>697</v>
      </c>
      <c r="G166" s="28">
        <f t="shared" si="0"/>
        <v>2024</v>
      </c>
      <c r="H166" t="str">
        <f t="shared" ca="1" si="1"/>
        <v>Due</v>
      </c>
    </row>
    <row r="167" spans="1:8" ht="15.75" hidden="1" customHeight="1">
      <c r="A167" t="s">
        <v>215</v>
      </c>
      <c r="B167" t="s">
        <v>216</v>
      </c>
      <c r="C167" t="s">
        <v>46</v>
      </c>
      <c r="D167" t="s">
        <v>159</v>
      </c>
      <c r="E167">
        <v>2023</v>
      </c>
      <c r="F167" t="s">
        <v>697</v>
      </c>
      <c r="G167" s="28">
        <f t="shared" si="0"/>
        <v>2026</v>
      </c>
      <c r="H167" t="str">
        <f t="shared" ca="1" si="1"/>
        <v>Due</v>
      </c>
    </row>
    <row r="168" spans="1:8" ht="15.75" hidden="1" customHeight="1">
      <c r="A168" t="s">
        <v>217</v>
      </c>
      <c r="B168" t="s">
        <v>218</v>
      </c>
      <c r="C168" t="s">
        <v>46</v>
      </c>
      <c r="D168" t="s">
        <v>159</v>
      </c>
      <c r="E168">
        <v>2018</v>
      </c>
      <c r="F168" t="s">
        <v>697</v>
      </c>
      <c r="G168" s="28">
        <f t="shared" si="0"/>
        <v>2021</v>
      </c>
      <c r="H168" t="str">
        <f t="shared" ca="1" si="1"/>
        <v>Due</v>
      </c>
    </row>
    <row r="169" spans="1:8" ht="15.75" hidden="1" customHeight="1">
      <c r="A169" t="s">
        <v>219</v>
      </c>
      <c r="B169" t="s">
        <v>220</v>
      </c>
      <c r="C169" t="s">
        <v>46</v>
      </c>
      <c r="D169" t="s">
        <v>159</v>
      </c>
      <c r="E169">
        <v>2023</v>
      </c>
      <c r="F169" t="s">
        <v>697</v>
      </c>
      <c r="G169" s="28">
        <f t="shared" si="0"/>
        <v>2026</v>
      </c>
      <c r="H169" t="str">
        <f t="shared" ca="1" si="1"/>
        <v>Due</v>
      </c>
    </row>
    <row r="170" spans="1:8" ht="15.75" hidden="1" customHeight="1">
      <c r="A170" t="s">
        <v>221</v>
      </c>
      <c r="B170" t="s">
        <v>222</v>
      </c>
      <c r="C170" t="s">
        <v>46</v>
      </c>
      <c r="D170" t="s">
        <v>159</v>
      </c>
      <c r="E170">
        <v>2019</v>
      </c>
      <c r="F170" t="s">
        <v>697</v>
      </c>
      <c r="G170" s="28">
        <f t="shared" si="0"/>
        <v>2022</v>
      </c>
      <c r="H170" t="str">
        <f t="shared" ca="1" si="1"/>
        <v>Due</v>
      </c>
    </row>
    <row r="171" spans="1:8" ht="15.75" hidden="1" customHeight="1">
      <c r="A171" t="s">
        <v>223</v>
      </c>
      <c r="B171" t="s">
        <v>224</v>
      </c>
      <c r="C171" t="s">
        <v>46</v>
      </c>
      <c r="D171" t="s">
        <v>159</v>
      </c>
      <c r="E171">
        <v>2018</v>
      </c>
      <c r="F171" t="s">
        <v>701</v>
      </c>
      <c r="G171" s="28">
        <f t="shared" si="0"/>
        <v>2023</v>
      </c>
      <c r="H171" t="str">
        <f t="shared" ca="1" si="1"/>
        <v>Due</v>
      </c>
    </row>
    <row r="172" spans="1:8" ht="15.75" hidden="1" customHeight="1">
      <c r="A172" t="s">
        <v>225</v>
      </c>
      <c r="B172" t="s">
        <v>226</v>
      </c>
      <c r="C172" t="s">
        <v>46</v>
      </c>
      <c r="D172" t="s">
        <v>159</v>
      </c>
      <c r="E172">
        <v>2025</v>
      </c>
      <c r="F172" t="s">
        <v>697</v>
      </c>
      <c r="G172" s="28">
        <f t="shared" si="0"/>
        <v>2028</v>
      </c>
      <c r="H172" t="str">
        <f t="shared" ca="1" si="1"/>
        <v>Valid</v>
      </c>
    </row>
    <row r="173" spans="1:8" ht="15.75" hidden="1" customHeight="1">
      <c r="A173" t="s">
        <v>227</v>
      </c>
      <c r="B173" t="s">
        <v>228</v>
      </c>
      <c r="C173" t="s">
        <v>46</v>
      </c>
      <c r="D173" t="s">
        <v>159</v>
      </c>
      <c r="E173">
        <v>2018</v>
      </c>
      <c r="F173" t="s">
        <v>697</v>
      </c>
      <c r="G173" s="28">
        <f t="shared" si="0"/>
        <v>2021</v>
      </c>
      <c r="H173" t="str">
        <f t="shared" ca="1" si="1"/>
        <v>Due</v>
      </c>
    </row>
    <row r="174" spans="1:8" ht="15.75" hidden="1" customHeight="1">
      <c r="A174" t="s">
        <v>229</v>
      </c>
      <c r="B174" t="s">
        <v>230</v>
      </c>
      <c r="C174" t="s">
        <v>46</v>
      </c>
      <c r="D174" t="s">
        <v>159</v>
      </c>
      <c r="E174">
        <v>2019</v>
      </c>
      <c r="F174" t="s">
        <v>697</v>
      </c>
      <c r="G174" s="28">
        <f t="shared" si="0"/>
        <v>2022</v>
      </c>
      <c r="H174" t="str">
        <f t="shared" ca="1" si="1"/>
        <v>Due</v>
      </c>
    </row>
    <row r="175" spans="1:8" ht="15.75" customHeight="1">
      <c r="A175" t="s">
        <v>231</v>
      </c>
      <c r="B175" t="s">
        <v>232</v>
      </c>
      <c r="C175" t="s">
        <v>46</v>
      </c>
      <c r="D175" t="s">
        <v>159</v>
      </c>
      <c r="G175" s="28" t="str">
        <f t="shared" si="0"/>
        <v/>
      </c>
      <c r="H175" t="str">
        <f t="shared" ca="1" si="1"/>
        <v>Valid</v>
      </c>
    </row>
    <row r="176" spans="1:8" ht="15.75" hidden="1" customHeight="1">
      <c r="A176" t="s">
        <v>233</v>
      </c>
      <c r="B176" t="s">
        <v>234</v>
      </c>
      <c r="C176" t="s">
        <v>146</v>
      </c>
      <c r="D176" t="s">
        <v>159</v>
      </c>
      <c r="E176">
        <v>2022</v>
      </c>
      <c r="F176" t="s">
        <v>697</v>
      </c>
      <c r="G176" s="28">
        <f t="shared" si="0"/>
        <v>2025</v>
      </c>
      <c r="H176" t="str">
        <f t="shared" ca="1" si="1"/>
        <v>Due</v>
      </c>
    </row>
    <row r="177" spans="1:8" ht="15.75" hidden="1" customHeight="1">
      <c r="A177" t="s">
        <v>235</v>
      </c>
      <c r="B177" t="s">
        <v>236</v>
      </c>
      <c r="C177" t="s">
        <v>146</v>
      </c>
      <c r="D177" t="s">
        <v>159</v>
      </c>
      <c r="E177">
        <v>2025</v>
      </c>
      <c r="F177" t="s">
        <v>697</v>
      </c>
      <c r="G177" s="28">
        <f t="shared" si="0"/>
        <v>2028</v>
      </c>
      <c r="H177" t="str">
        <f t="shared" ca="1" si="1"/>
        <v>Valid</v>
      </c>
    </row>
    <row r="178" spans="1:8" ht="15.75" hidden="1" customHeight="1">
      <c r="A178" t="s">
        <v>237</v>
      </c>
      <c r="B178" t="s">
        <v>238</v>
      </c>
      <c r="C178" t="s">
        <v>146</v>
      </c>
      <c r="D178" t="s">
        <v>159</v>
      </c>
      <c r="E178">
        <v>2022</v>
      </c>
      <c r="F178" t="s">
        <v>697</v>
      </c>
      <c r="G178" s="28">
        <f t="shared" si="0"/>
        <v>2025</v>
      </c>
      <c r="H178" t="str">
        <f t="shared" ca="1" si="1"/>
        <v>Due</v>
      </c>
    </row>
    <row r="179" spans="1:8" ht="15.75" hidden="1" customHeight="1">
      <c r="A179" t="s">
        <v>239</v>
      </c>
      <c r="B179" t="s">
        <v>240</v>
      </c>
      <c r="C179" t="s">
        <v>146</v>
      </c>
      <c r="D179" t="s">
        <v>159</v>
      </c>
      <c r="E179">
        <v>2016</v>
      </c>
      <c r="F179" t="s">
        <v>697</v>
      </c>
      <c r="G179" s="28">
        <f t="shared" si="0"/>
        <v>2019</v>
      </c>
      <c r="H179" t="str">
        <f t="shared" ca="1" si="1"/>
        <v>Due</v>
      </c>
    </row>
    <row r="180" spans="1:8" ht="15.75" customHeight="1">
      <c r="A180" t="s">
        <v>241</v>
      </c>
      <c r="B180" t="s">
        <v>242</v>
      </c>
      <c r="C180" t="s">
        <v>71</v>
      </c>
      <c r="D180" t="s">
        <v>159</v>
      </c>
      <c r="G180" s="28" t="str">
        <f t="shared" si="0"/>
        <v/>
      </c>
      <c r="H180" t="str">
        <f t="shared" ca="1" si="1"/>
        <v>Valid</v>
      </c>
    </row>
    <row r="181" spans="1:8" ht="15.75" customHeight="1">
      <c r="A181" t="s">
        <v>243</v>
      </c>
      <c r="B181" t="s">
        <v>244</v>
      </c>
      <c r="C181" t="s">
        <v>71</v>
      </c>
      <c r="D181" t="s">
        <v>159</v>
      </c>
      <c r="G181" s="28" t="str">
        <f t="shared" si="0"/>
        <v/>
      </c>
      <c r="H181" t="str">
        <f t="shared" ca="1" si="1"/>
        <v>Valid</v>
      </c>
    </row>
    <row r="182" spans="1:8" ht="15.75" hidden="1" customHeight="1">
      <c r="A182" t="s">
        <v>245</v>
      </c>
      <c r="B182" t="s">
        <v>246</v>
      </c>
      <c r="C182" t="s">
        <v>247</v>
      </c>
      <c r="D182" t="s">
        <v>159</v>
      </c>
      <c r="E182">
        <v>2025</v>
      </c>
      <c r="F182" t="s">
        <v>697</v>
      </c>
      <c r="G182" s="28">
        <f t="shared" si="0"/>
        <v>2028</v>
      </c>
      <c r="H182" t="str">
        <f t="shared" ca="1" si="1"/>
        <v>Valid</v>
      </c>
    </row>
    <row r="183" spans="1:8" ht="15.75" hidden="1" customHeight="1">
      <c r="A183" t="s">
        <v>248</v>
      </c>
      <c r="B183" t="s">
        <v>249</v>
      </c>
      <c r="C183" t="s">
        <v>18</v>
      </c>
      <c r="D183" t="s">
        <v>159</v>
      </c>
      <c r="E183">
        <v>2022</v>
      </c>
      <c r="F183" t="s">
        <v>697</v>
      </c>
      <c r="G183" s="28">
        <f t="shared" si="0"/>
        <v>2025</v>
      </c>
      <c r="H183" t="str">
        <f t="shared" ca="1" si="1"/>
        <v>Due</v>
      </c>
    </row>
    <row r="184" spans="1:8" ht="15.75" customHeight="1">
      <c r="A184" t="s">
        <v>250</v>
      </c>
      <c r="B184" t="s">
        <v>251</v>
      </c>
      <c r="C184" t="s">
        <v>18</v>
      </c>
      <c r="D184" t="s">
        <v>159</v>
      </c>
      <c r="G184" s="28" t="str">
        <f t="shared" si="0"/>
        <v/>
      </c>
      <c r="H184" t="str">
        <f t="shared" ca="1" si="1"/>
        <v>Valid</v>
      </c>
    </row>
    <row r="185" spans="1:8" ht="15.75" customHeight="1">
      <c r="A185" t="s">
        <v>252</v>
      </c>
      <c r="B185" t="s">
        <v>253</v>
      </c>
      <c r="C185" t="s">
        <v>18</v>
      </c>
      <c r="D185" t="s">
        <v>159</v>
      </c>
      <c r="G185" s="28" t="str">
        <f t="shared" si="0"/>
        <v/>
      </c>
      <c r="H185" t="str">
        <f t="shared" ca="1" si="1"/>
        <v>Valid</v>
      </c>
    </row>
    <row r="186" spans="1:8" ht="15.75" customHeight="1">
      <c r="A186" t="s">
        <v>254</v>
      </c>
      <c r="B186" t="s">
        <v>255</v>
      </c>
      <c r="C186" t="s">
        <v>18</v>
      </c>
      <c r="D186" t="s">
        <v>159</v>
      </c>
      <c r="G186" s="28" t="str">
        <f t="shared" si="0"/>
        <v/>
      </c>
      <c r="H186" t="str">
        <f t="shared" ca="1" si="1"/>
        <v>Valid</v>
      </c>
    </row>
    <row r="187" spans="1:8" ht="15.75" customHeight="1">
      <c r="A187" t="s">
        <v>256</v>
      </c>
      <c r="B187" t="s">
        <v>257</v>
      </c>
      <c r="C187" t="s">
        <v>18</v>
      </c>
      <c r="D187" t="s">
        <v>159</v>
      </c>
      <c r="G187" s="28" t="str">
        <f t="shared" si="0"/>
        <v/>
      </c>
      <c r="H187" t="str">
        <f t="shared" ca="1" si="1"/>
        <v>Valid</v>
      </c>
    </row>
    <row r="188" spans="1:8" ht="15.75" customHeight="1">
      <c r="A188" t="s">
        <v>258</v>
      </c>
      <c r="B188" t="s">
        <v>259</v>
      </c>
      <c r="C188" t="s">
        <v>18</v>
      </c>
      <c r="D188" t="s">
        <v>159</v>
      </c>
      <c r="G188" s="28" t="str">
        <f t="shared" si="0"/>
        <v/>
      </c>
      <c r="H188" t="str">
        <f t="shared" ca="1" si="1"/>
        <v>Valid</v>
      </c>
    </row>
    <row r="189" spans="1:8" ht="15.75" hidden="1" customHeight="1">
      <c r="A189" s="26" t="s">
        <v>260</v>
      </c>
      <c r="B189" s="26" t="s">
        <v>261</v>
      </c>
      <c r="C189" s="26" t="s">
        <v>89</v>
      </c>
      <c r="D189" s="26" t="s">
        <v>159</v>
      </c>
      <c r="E189" s="26">
        <v>2023</v>
      </c>
      <c r="F189" s="26" t="s">
        <v>697</v>
      </c>
      <c r="G189" s="30">
        <f t="shared" si="0"/>
        <v>2026</v>
      </c>
      <c r="H189" s="26" t="str">
        <f t="shared" ca="1" si="1"/>
        <v>Due</v>
      </c>
    </row>
    <row r="190" spans="1:8" ht="15.75" hidden="1" customHeight="1">
      <c r="A190" t="s">
        <v>262</v>
      </c>
      <c r="B190" t="s">
        <v>263</v>
      </c>
      <c r="C190" t="s">
        <v>89</v>
      </c>
      <c r="D190" t="s">
        <v>159</v>
      </c>
      <c r="E190">
        <v>2023</v>
      </c>
      <c r="F190" t="s">
        <v>697</v>
      </c>
      <c r="G190" s="28">
        <f t="shared" si="0"/>
        <v>2026</v>
      </c>
      <c r="H190" t="str">
        <f t="shared" ca="1" si="1"/>
        <v>Due</v>
      </c>
    </row>
    <row r="191" spans="1:8" ht="15.75" customHeight="1">
      <c r="A191" t="s">
        <v>264</v>
      </c>
      <c r="B191" t="s">
        <v>265</v>
      </c>
      <c r="C191" t="s">
        <v>178</v>
      </c>
      <c r="D191" t="s">
        <v>159</v>
      </c>
      <c r="G191" s="28" t="str">
        <f t="shared" si="0"/>
        <v/>
      </c>
      <c r="H191" t="str">
        <f t="shared" ca="1" si="1"/>
        <v>Valid</v>
      </c>
    </row>
    <row r="192" spans="1:8" ht="15.75" hidden="1" customHeight="1">
      <c r="A192" t="s">
        <v>266</v>
      </c>
      <c r="B192" t="s">
        <v>267</v>
      </c>
      <c r="C192" t="s">
        <v>268</v>
      </c>
      <c r="D192" t="s">
        <v>159</v>
      </c>
      <c r="E192">
        <v>2025</v>
      </c>
      <c r="F192" t="s">
        <v>697</v>
      </c>
      <c r="G192" s="28">
        <f t="shared" si="0"/>
        <v>2028</v>
      </c>
      <c r="H192" t="str">
        <f t="shared" ca="1" si="1"/>
        <v>Valid</v>
      </c>
    </row>
    <row r="193" spans="1:8" ht="15.75" customHeight="1">
      <c r="A193" t="s">
        <v>269</v>
      </c>
      <c r="B193" t="s">
        <v>270</v>
      </c>
      <c r="C193" t="s">
        <v>74</v>
      </c>
      <c r="D193" t="s">
        <v>159</v>
      </c>
      <c r="G193" s="28" t="str">
        <f t="shared" si="0"/>
        <v/>
      </c>
      <c r="H193" t="str">
        <f t="shared" ca="1" si="1"/>
        <v>Valid</v>
      </c>
    </row>
    <row r="194" spans="1:8" ht="15.75" customHeight="1">
      <c r="A194" t="s">
        <v>271</v>
      </c>
      <c r="B194" t="s">
        <v>272</v>
      </c>
      <c r="C194" t="s">
        <v>151</v>
      </c>
      <c r="D194" t="s">
        <v>159</v>
      </c>
      <c r="G194" s="28" t="str">
        <f t="shared" si="0"/>
        <v/>
      </c>
      <c r="H194" t="str">
        <f t="shared" ca="1" si="1"/>
        <v>Valid</v>
      </c>
    </row>
    <row r="195" spans="1:8" ht="15.75" customHeight="1">
      <c r="A195" t="s">
        <v>273</v>
      </c>
      <c r="B195" t="s">
        <v>274</v>
      </c>
      <c r="C195" t="s">
        <v>275</v>
      </c>
      <c r="D195" t="s">
        <v>159</v>
      </c>
      <c r="G195" s="28" t="str">
        <f t="shared" si="0"/>
        <v/>
      </c>
      <c r="H195" t="str">
        <f t="shared" ca="1" si="1"/>
        <v>Valid</v>
      </c>
    </row>
    <row r="196" spans="1:8" ht="15.75" customHeight="1">
      <c r="A196" t="s">
        <v>276</v>
      </c>
      <c r="B196" t="s">
        <v>277</v>
      </c>
      <c r="C196" t="s">
        <v>275</v>
      </c>
      <c r="D196" t="s">
        <v>159</v>
      </c>
      <c r="G196" s="28" t="str">
        <f t="shared" si="0"/>
        <v/>
      </c>
      <c r="H196" t="str">
        <f t="shared" ca="1" si="1"/>
        <v>Valid</v>
      </c>
    </row>
    <row r="197" spans="1:8" ht="15.75" customHeight="1">
      <c r="A197" t="s">
        <v>278</v>
      </c>
      <c r="B197" t="s">
        <v>279</v>
      </c>
      <c r="C197" t="s">
        <v>275</v>
      </c>
      <c r="D197" t="s">
        <v>159</v>
      </c>
      <c r="G197" s="28" t="str">
        <f t="shared" si="0"/>
        <v/>
      </c>
      <c r="H197" t="str">
        <f t="shared" ca="1" si="1"/>
        <v>Valid</v>
      </c>
    </row>
    <row r="198" spans="1:8" ht="15.75" customHeight="1">
      <c r="A198" t="s">
        <v>280</v>
      </c>
      <c r="B198" t="s">
        <v>281</v>
      </c>
      <c r="C198" t="s">
        <v>86</v>
      </c>
      <c r="D198" t="s">
        <v>159</v>
      </c>
      <c r="G198" s="28" t="str">
        <f t="shared" si="0"/>
        <v/>
      </c>
      <c r="H198" t="str">
        <f t="shared" ca="1" si="1"/>
        <v>Valid</v>
      </c>
    </row>
    <row r="199" spans="1:8" ht="15.75" customHeight="1">
      <c r="A199" t="s">
        <v>282</v>
      </c>
      <c r="B199" t="s">
        <v>283</v>
      </c>
      <c r="C199" t="s">
        <v>86</v>
      </c>
      <c r="D199" t="s">
        <v>159</v>
      </c>
      <c r="G199" s="28" t="str">
        <f t="shared" si="0"/>
        <v/>
      </c>
      <c r="H199" t="str">
        <f t="shared" ca="1" si="1"/>
        <v>Valid</v>
      </c>
    </row>
    <row r="200" spans="1:8" ht="15.75" customHeight="1">
      <c r="A200" t="s">
        <v>284</v>
      </c>
      <c r="B200" t="s">
        <v>285</v>
      </c>
      <c r="C200" t="s">
        <v>86</v>
      </c>
      <c r="D200" t="s">
        <v>159</v>
      </c>
      <c r="G200" s="28" t="str">
        <f t="shared" si="0"/>
        <v/>
      </c>
      <c r="H200" t="str">
        <f t="shared" ca="1" si="1"/>
        <v>Valid</v>
      </c>
    </row>
    <row r="201" spans="1:8" ht="15.75" customHeight="1">
      <c r="A201" t="s">
        <v>286</v>
      </c>
      <c r="B201" t="s">
        <v>287</v>
      </c>
      <c r="C201" t="s">
        <v>86</v>
      </c>
      <c r="D201" t="s">
        <v>159</v>
      </c>
      <c r="G201" s="28" t="str">
        <f t="shared" si="0"/>
        <v/>
      </c>
      <c r="H201" t="str">
        <f t="shared" ca="1" si="1"/>
        <v>Valid</v>
      </c>
    </row>
    <row r="202" spans="1:8" ht="15.75" hidden="1" customHeight="1">
      <c r="A202" t="s">
        <v>928</v>
      </c>
      <c r="B202" t="s">
        <v>929</v>
      </c>
      <c r="C202" t="s">
        <v>930</v>
      </c>
      <c r="D202" t="s">
        <v>159</v>
      </c>
      <c r="E202">
        <v>2018</v>
      </c>
      <c r="F202" t="s">
        <v>697</v>
      </c>
      <c r="G202" s="28">
        <f t="shared" si="0"/>
        <v>2021</v>
      </c>
      <c r="H202" t="str">
        <f t="shared" ca="1" si="1"/>
        <v>Due</v>
      </c>
    </row>
    <row r="203" spans="1:8" ht="15.75" customHeight="1">
      <c r="A203" t="s">
        <v>931</v>
      </c>
      <c r="B203" t="s">
        <v>932</v>
      </c>
      <c r="C203" t="s">
        <v>897</v>
      </c>
      <c r="D203" t="s">
        <v>159</v>
      </c>
      <c r="G203" s="28" t="str">
        <f t="shared" si="0"/>
        <v/>
      </c>
      <c r="H203" t="str">
        <f t="shared" ca="1" si="1"/>
        <v>Valid</v>
      </c>
    </row>
    <row r="204" spans="1:8" ht="15.75" hidden="1" customHeight="1">
      <c r="A204" t="s">
        <v>933</v>
      </c>
      <c r="B204" t="s">
        <v>934</v>
      </c>
      <c r="C204" t="s">
        <v>935</v>
      </c>
      <c r="D204" t="s">
        <v>159</v>
      </c>
      <c r="E204">
        <v>2017</v>
      </c>
      <c r="F204" t="s">
        <v>776</v>
      </c>
      <c r="G204" s="28" t="str">
        <f t="shared" si="0"/>
        <v>Lifetime</v>
      </c>
      <c r="H204" t="str">
        <f t="shared" ca="1" si="1"/>
        <v>Valid</v>
      </c>
    </row>
    <row r="205" spans="1:8" ht="15.75" customHeight="1">
      <c r="A205" t="s">
        <v>288</v>
      </c>
      <c r="B205" t="s">
        <v>289</v>
      </c>
      <c r="C205" t="s">
        <v>290</v>
      </c>
      <c r="D205" t="s">
        <v>159</v>
      </c>
      <c r="G205" s="28" t="str">
        <f t="shared" si="0"/>
        <v/>
      </c>
      <c r="H205" t="str">
        <f t="shared" ca="1" si="1"/>
        <v>Valid</v>
      </c>
    </row>
    <row r="206" spans="1:8" ht="15.75" hidden="1" customHeight="1">
      <c r="A206" t="s">
        <v>291</v>
      </c>
      <c r="B206" t="s">
        <v>292</v>
      </c>
      <c r="C206" t="s">
        <v>46</v>
      </c>
      <c r="D206" t="s">
        <v>159</v>
      </c>
      <c r="E206">
        <v>2025</v>
      </c>
      <c r="F206" t="s">
        <v>697</v>
      </c>
      <c r="G206" s="28">
        <f t="shared" si="0"/>
        <v>2028</v>
      </c>
      <c r="H206" t="str">
        <f t="shared" ca="1" si="1"/>
        <v>Valid</v>
      </c>
    </row>
    <row r="207" spans="1:8" ht="15.75" hidden="1" customHeight="1">
      <c r="A207" t="s">
        <v>293</v>
      </c>
      <c r="B207" t="s">
        <v>294</v>
      </c>
      <c r="C207" t="s">
        <v>46</v>
      </c>
      <c r="D207" t="s">
        <v>159</v>
      </c>
      <c r="E207">
        <v>2018</v>
      </c>
      <c r="F207" t="s">
        <v>701</v>
      </c>
      <c r="G207" s="28">
        <f t="shared" si="0"/>
        <v>2023</v>
      </c>
      <c r="H207" t="str">
        <f t="shared" ca="1" si="1"/>
        <v>Due</v>
      </c>
    </row>
    <row r="208" spans="1:8" ht="15.75" hidden="1" customHeight="1">
      <c r="A208" t="s">
        <v>295</v>
      </c>
      <c r="B208" t="s">
        <v>296</v>
      </c>
      <c r="C208" t="s">
        <v>46</v>
      </c>
      <c r="D208" t="s">
        <v>159</v>
      </c>
      <c r="E208">
        <v>2019</v>
      </c>
      <c r="F208" t="s">
        <v>697</v>
      </c>
      <c r="G208" s="28">
        <f t="shared" si="0"/>
        <v>2022</v>
      </c>
      <c r="H208" t="str">
        <f t="shared" ca="1" si="1"/>
        <v>Due</v>
      </c>
    </row>
    <row r="209" spans="1:8" ht="15.75" customHeight="1">
      <c r="A209" t="s">
        <v>297</v>
      </c>
      <c r="B209" t="s">
        <v>298</v>
      </c>
      <c r="C209" t="s">
        <v>46</v>
      </c>
      <c r="D209" t="s">
        <v>159</v>
      </c>
      <c r="G209" s="28" t="str">
        <f t="shared" si="0"/>
        <v/>
      </c>
      <c r="H209" t="str">
        <f t="shared" ca="1" si="1"/>
        <v>Valid</v>
      </c>
    </row>
    <row r="210" spans="1:8" ht="15.75" hidden="1" customHeight="1">
      <c r="A210" t="s">
        <v>299</v>
      </c>
      <c r="B210" t="s">
        <v>300</v>
      </c>
      <c r="C210" t="s">
        <v>146</v>
      </c>
      <c r="D210" t="s">
        <v>159</v>
      </c>
      <c r="E210">
        <v>2025</v>
      </c>
      <c r="F210" t="s">
        <v>697</v>
      </c>
      <c r="G210" s="28">
        <f t="shared" si="0"/>
        <v>2028</v>
      </c>
      <c r="H210" t="str">
        <f t="shared" ca="1" si="1"/>
        <v>Valid</v>
      </c>
    </row>
    <row r="211" spans="1:8" ht="15.75" hidden="1" customHeight="1">
      <c r="A211" t="s">
        <v>301</v>
      </c>
      <c r="B211" t="s">
        <v>302</v>
      </c>
      <c r="C211" t="s">
        <v>146</v>
      </c>
      <c r="D211" t="s">
        <v>159</v>
      </c>
      <c r="E211">
        <v>2026</v>
      </c>
      <c r="F211" t="s">
        <v>701</v>
      </c>
      <c r="G211" s="28">
        <f t="shared" si="0"/>
        <v>2031</v>
      </c>
      <c r="H211" t="str">
        <f t="shared" ca="1" si="1"/>
        <v>Valid</v>
      </c>
    </row>
    <row r="212" spans="1:8" ht="15.75" customHeight="1">
      <c r="A212" t="s">
        <v>303</v>
      </c>
      <c r="B212" t="s">
        <v>304</v>
      </c>
      <c r="C212" t="s">
        <v>71</v>
      </c>
      <c r="D212" t="s">
        <v>159</v>
      </c>
      <c r="G212" s="28" t="str">
        <f t="shared" si="0"/>
        <v/>
      </c>
      <c r="H212" t="str">
        <f t="shared" ca="1" si="1"/>
        <v>Valid</v>
      </c>
    </row>
    <row r="213" spans="1:8" ht="15.75" customHeight="1">
      <c r="A213" t="s">
        <v>305</v>
      </c>
      <c r="B213" t="s">
        <v>306</v>
      </c>
      <c r="C213" t="s">
        <v>307</v>
      </c>
      <c r="D213" t="s">
        <v>159</v>
      </c>
      <c r="G213" s="28" t="str">
        <f t="shared" si="0"/>
        <v/>
      </c>
      <c r="H213" t="str">
        <f t="shared" ca="1" si="1"/>
        <v>Valid</v>
      </c>
    </row>
    <row r="214" spans="1:8" ht="15.75" customHeight="1">
      <c r="A214" t="s">
        <v>308</v>
      </c>
      <c r="B214" t="s">
        <v>309</v>
      </c>
      <c r="C214" t="s">
        <v>181</v>
      </c>
      <c r="D214" t="s">
        <v>159</v>
      </c>
      <c r="G214" s="28" t="str">
        <f t="shared" si="0"/>
        <v/>
      </c>
      <c r="H214" t="str">
        <f t="shared" ca="1" si="1"/>
        <v>Valid</v>
      </c>
    </row>
    <row r="215" spans="1:8" ht="15.75" customHeight="1">
      <c r="A215" t="s">
        <v>310</v>
      </c>
      <c r="B215" t="s">
        <v>311</v>
      </c>
      <c r="C215" t="s">
        <v>181</v>
      </c>
      <c r="D215" t="s">
        <v>159</v>
      </c>
      <c r="G215" s="28" t="str">
        <f t="shared" si="0"/>
        <v/>
      </c>
      <c r="H215" t="str">
        <f t="shared" ca="1" si="1"/>
        <v>Valid</v>
      </c>
    </row>
    <row r="216" spans="1:8" ht="15.75" customHeight="1">
      <c r="A216" t="s">
        <v>312</v>
      </c>
      <c r="B216" t="s">
        <v>313</v>
      </c>
      <c r="C216" t="s">
        <v>181</v>
      </c>
      <c r="D216" t="s">
        <v>159</v>
      </c>
      <c r="G216" s="28" t="str">
        <f t="shared" si="0"/>
        <v/>
      </c>
      <c r="H216" t="str">
        <f t="shared" ca="1" si="1"/>
        <v>Valid</v>
      </c>
    </row>
    <row r="217" spans="1:8" ht="15.75" customHeight="1">
      <c r="A217" t="s">
        <v>314</v>
      </c>
      <c r="B217" t="s">
        <v>315</v>
      </c>
      <c r="C217" t="s">
        <v>181</v>
      </c>
      <c r="D217" t="s">
        <v>159</v>
      </c>
      <c r="G217" s="28" t="str">
        <f t="shared" si="0"/>
        <v/>
      </c>
      <c r="H217" t="str">
        <f t="shared" ca="1" si="1"/>
        <v>Valid</v>
      </c>
    </row>
    <row r="218" spans="1:8" ht="15.75" customHeight="1">
      <c r="A218" t="s">
        <v>316</v>
      </c>
      <c r="B218" t="s">
        <v>317</v>
      </c>
      <c r="C218" t="s">
        <v>86</v>
      </c>
      <c r="D218" t="s">
        <v>159</v>
      </c>
      <c r="G218" s="28" t="str">
        <f t="shared" si="0"/>
        <v/>
      </c>
      <c r="H218" t="str">
        <f t="shared" ca="1" si="1"/>
        <v>Valid</v>
      </c>
    </row>
    <row r="219" spans="1:8" ht="15.75" customHeight="1">
      <c r="A219" t="s">
        <v>936</v>
      </c>
      <c r="B219" t="s">
        <v>937</v>
      </c>
      <c r="C219" t="s">
        <v>890</v>
      </c>
      <c r="D219" t="s">
        <v>159</v>
      </c>
      <c r="G219" s="28" t="str">
        <f t="shared" si="0"/>
        <v/>
      </c>
      <c r="H219" t="str">
        <f t="shared" ca="1" si="1"/>
        <v>Valid</v>
      </c>
    </row>
    <row r="220" spans="1:8" ht="15.75" customHeight="1">
      <c r="A220" t="s">
        <v>938</v>
      </c>
      <c r="B220" t="s">
        <v>939</v>
      </c>
      <c r="C220" t="s">
        <v>927</v>
      </c>
      <c r="D220" t="s">
        <v>159</v>
      </c>
      <c r="G220" s="28" t="str">
        <f t="shared" si="0"/>
        <v/>
      </c>
      <c r="H220" t="str">
        <f t="shared" ca="1" si="1"/>
        <v>Valid</v>
      </c>
    </row>
    <row r="221" spans="1:8" ht="15.75" customHeight="1">
      <c r="A221" t="s">
        <v>318</v>
      </c>
      <c r="B221" t="s">
        <v>319</v>
      </c>
      <c r="C221" t="s">
        <v>130</v>
      </c>
      <c r="D221" t="s">
        <v>159</v>
      </c>
      <c r="G221" s="28" t="str">
        <f t="shared" si="0"/>
        <v/>
      </c>
      <c r="H221" t="str">
        <f t="shared" ca="1" si="1"/>
        <v>Valid</v>
      </c>
    </row>
    <row r="222" spans="1:8" ht="15.75" hidden="1" customHeight="1">
      <c r="A222" t="s">
        <v>320</v>
      </c>
      <c r="B222" t="s">
        <v>321</v>
      </c>
      <c r="C222" t="s">
        <v>322</v>
      </c>
      <c r="D222" t="s">
        <v>159</v>
      </c>
      <c r="E222">
        <v>2019</v>
      </c>
      <c r="F222" t="s">
        <v>697</v>
      </c>
      <c r="G222" s="28">
        <f t="shared" si="0"/>
        <v>2022</v>
      </c>
      <c r="H222" t="str">
        <f t="shared" ca="1" si="1"/>
        <v>Due</v>
      </c>
    </row>
    <row r="223" spans="1:8" ht="15.75" customHeight="1">
      <c r="A223" t="s">
        <v>323</v>
      </c>
      <c r="B223" t="s">
        <v>324</v>
      </c>
      <c r="C223" t="s">
        <v>146</v>
      </c>
      <c r="D223" t="s">
        <v>159</v>
      </c>
      <c r="G223" s="28" t="str">
        <f t="shared" si="0"/>
        <v/>
      </c>
      <c r="H223" t="str">
        <f t="shared" ca="1" si="1"/>
        <v>Valid</v>
      </c>
    </row>
    <row r="224" spans="1:8" ht="15.75" customHeight="1">
      <c r="A224" t="s">
        <v>325</v>
      </c>
      <c r="B224" t="s">
        <v>326</v>
      </c>
      <c r="C224" t="s">
        <v>146</v>
      </c>
      <c r="D224" t="s">
        <v>159</v>
      </c>
      <c r="G224" s="28" t="str">
        <f t="shared" si="0"/>
        <v/>
      </c>
      <c r="H224" t="str">
        <f t="shared" ca="1" si="1"/>
        <v>Valid</v>
      </c>
    </row>
    <row r="225" spans="1:8" ht="15.75" customHeight="1">
      <c r="A225" t="s">
        <v>327</v>
      </c>
      <c r="B225" t="s">
        <v>328</v>
      </c>
      <c r="C225" t="s">
        <v>146</v>
      </c>
      <c r="D225" t="s">
        <v>159</v>
      </c>
      <c r="G225" s="28" t="str">
        <f t="shared" si="0"/>
        <v/>
      </c>
      <c r="H225" t="str">
        <f t="shared" ca="1" si="1"/>
        <v>Valid</v>
      </c>
    </row>
    <row r="226" spans="1:8" ht="15.75" hidden="1" customHeight="1">
      <c r="A226" t="s">
        <v>329</v>
      </c>
      <c r="B226" t="s">
        <v>330</v>
      </c>
      <c r="C226" t="s">
        <v>146</v>
      </c>
      <c r="D226" t="s">
        <v>159</v>
      </c>
      <c r="E226">
        <v>2025</v>
      </c>
      <c r="F226" t="s">
        <v>697</v>
      </c>
      <c r="G226" s="28">
        <f t="shared" si="0"/>
        <v>2028</v>
      </c>
      <c r="H226" t="str">
        <f t="shared" ca="1" si="1"/>
        <v>Valid</v>
      </c>
    </row>
    <row r="227" spans="1:8" ht="15.75" hidden="1" customHeight="1">
      <c r="A227" t="s">
        <v>331</v>
      </c>
      <c r="B227" t="s">
        <v>332</v>
      </c>
      <c r="C227" t="s">
        <v>71</v>
      </c>
      <c r="D227" t="s">
        <v>159</v>
      </c>
      <c r="E227">
        <v>2017</v>
      </c>
      <c r="F227" t="s">
        <v>776</v>
      </c>
      <c r="G227" s="28" t="str">
        <f t="shared" si="0"/>
        <v>Lifetime</v>
      </c>
      <c r="H227" t="str">
        <f t="shared" ca="1" si="1"/>
        <v>Valid</v>
      </c>
    </row>
    <row r="228" spans="1:8" ht="15.75" customHeight="1">
      <c r="A228" t="s">
        <v>333</v>
      </c>
      <c r="B228" t="s">
        <v>334</v>
      </c>
      <c r="C228" t="s">
        <v>181</v>
      </c>
      <c r="D228" t="s">
        <v>159</v>
      </c>
      <c r="G228" s="28" t="str">
        <f t="shared" si="0"/>
        <v/>
      </c>
      <c r="H228" t="str">
        <f t="shared" ca="1" si="1"/>
        <v>Valid</v>
      </c>
    </row>
    <row r="229" spans="1:8" ht="15.75" customHeight="1">
      <c r="A229" t="s">
        <v>335</v>
      </c>
      <c r="B229" t="s">
        <v>336</v>
      </c>
      <c r="C229" t="s">
        <v>181</v>
      </c>
      <c r="D229" t="s">
        <v>159</v>
      </c>
      <c r="G229" s="28" t="str">
        <f t="shared" si="0"/>
        <v/>
      </c>
      <c r="H229" t="str">
        <f t="shared" ca="1" si="1"/>
        <v>Valid</v>
      </c>
    </row>
    <row r="230" spans="1:8" ht="15.75" customHeight="1">
      <c r="A230" t="s">
        <v>337</v>
      </c>
      <c r="B230" t="s">
        <v>338</v>
      </c>
      <c r="C230" t="s">
        <v>86</v>
      </c>
      <c r="D230" t="s">
        <v>159</v>
      </c>
      <c r="G230" s="28" t="str">
        <f t="shared" si="0"/>
        <v/>
      </c>
      <c r="H230" t="str">
        <f t="shared" ca="1" si="1"/>
        <v>Valid</v>
      </c>
    </row>
    <row r="231" spans="1:8" ht="15.75" hidden="1" customHeight="1">
      <c r="A231" t="s">
        <v>940</v>
      </c>
      <c r="B231" t="s">
        <v>941</v>
      </c>
      <c r="C231" t="s">
        <v>870</v>
      </c>
      <c r="D231" t="s">
        <v>159</v>
      </c>
      <c r="E231">
        <v>2024</v>
      </c>
      <c r="F231" t="s">
        <v>697</v>
      </c>
      <c r="G231" s="28">
        <f t="shared" si="0"/>
        <v>2027</v>
      </c>
      <c r="H231" t="str">
        <f t="shared" ca="1" si="1"/>
        <v>Valid</v>
      </c>
    </row>
    <row r="232" spans="1:8" ht="15.75" customHeight="1">
      <c r="A232" t="s">
        <v>942</v>
      </c>
      <c r="B232" t="s">
        <v>943</v>
      </c>
      <c r="C232" t="s">
        <v>890</v>
      </c>
      <c r="D232" t="s">
        <v>159</v>
      </c>
      <c r="G232" s="28" t="str">
        <f t="shared" si="0"/>
        <v/>
      </c>
      <c r="H232" t="str">
        <f t="shared" ca="1" si="1"/>
        <v>Valid</v>
      </c>
    </row>
    <row r="233" spans="1:8" ht="15.75" hidden="1" customHeight="1">
      <c r="A233" t="s">
        <v>944</v>
      </c>
      <c r="B233" t="s">
        <v>945</v>
      </c>
      <c r="C233" t="s">
        <v>856</v>
      </c>
      <c r="D233" t="s">
        <v>159</v>
      </c>
      <c r="E233">
        <v>2018</v>
      </c>
      <c r="F233" t="s">
        <v>776</v>
      </c>
      <c r="G233" s="28" t="str">
        <f t="shared" si="0"/>
        <v>Lifetime</v>
      </c>
      <c r="H233" t="str">
        <f t="shared" ca="1" si="1"/>
        <v>Valid</v>
      </c>
    </row>
    <row r="234" spans="1:8" ht="15.75" customHeight="1">
      <c r="A234" t="s">
        <v>946</v>
      </c>
      <c r="B234" t="s">
        <v>947</v>
      </c>
      <c r="C234" t="s">
        <v>948</v>
      </c>
      <c r="D234" t="s">
        <v>159</v>
      </c>
      <c r="G234" s="28" t="str">
        <f t="shared" si="0"/>
        <v/>
      </c>
      <c r="H234" t="str">
        <f t="shared" ca="1" si="1"/>
        <v>Valid</v>
      </c>
    </row>
    <row r="235" spans="1:8" ht="15.75" hidden="1" customHeight="1">
      <c r="A235" t="s">
        <v>949</v>
      </c>
      <c r="B235" t="s">
        <v>950</v>
      </c>
      <c r="C235" t="s">
        <v>927</v>
      </c>
      <c r="D235" t="s">
        <v>159</v>
      </c>
      <c r="E235">
        <v>2025</v>
      </c>
      <c r="F235" t="s">
        <v>697</v>
      </c>
      <c r="G235" s="28">
        <f t="shared" si="0"/>
        <v>2028</v>
      </c>
      <c r="H235" t="str">
        <f t="shared" ca="1" si="1"/>
        <v>Valid</v>
      </c>
    </row>
    <row r="236" spans="1:8" ht="15.75" hidden="1" customHeight="1">
      <c r="A236" t="s">
        <v>339</v>
      </c>
      <c r="B236" t="s">
        <v>340</v>
      </c>
      <c r="C236" t="s">
        <v>341</v>
      </c>
      <c r="D236" t="s">
        <v>159</v>
      </c>
      <c r="E236">
        <v>2023</v>
      </c>
      <c r="F236" t="s">
        <v>697</v>
      </c>
      <c r="G236" s="28">
        <f t="shared" si="0"/>
        <v>2026</v>
      </c>
      <c r="H236" t="str">
        <f t="shared" ca="1" si="1"/>
        <v>Due</v>
      </c>
    </row>
    <row r="237" spans="1:8" ht="15.75" customHeight="1">
      <c r="A237" t="s">
        <v>342</v>
      </c>
      <c r="B237" t="s">
        <v>343</v>
      </c>
      <c r="C237" t="s">
        <v>344</v>
      </c>
      <c r="D237" t="s">
        <v>159</v>
      </c>
      <c r="G237" s="28" t="str">
        <f t="shared" si="0"/>
        <v/>
      </c>
      <c r="H237" t="str">
        <f t="shared" ca="1" si="1"/>
        <v>Valid</v>
      </c>
    </row>
    <row r="238" spans="1:8" ht="15.75" customHeight="1">
      <c r="A238" t="s">
        <v>345</v>
      </c>
      <c r="B238" t="s">
        <v>346</v>
      </c>
      <c r="C238" t="s">
        <v>344</v>
      </c>
      <c r="D238" t="s">
        <v>159</v>
      </c>
      <c r="G238" s="28" t="str">
        <f t="shared" si="0"/>
        <v/>
      </c>
      <c r="H238" t="str">
        <f t="shared" ca="1" si="1"/>
        <v>Valid</v>
      </c>
    </row>
    <row r="239" spans="1:8" ht="15.75" hidden="1" customHeight="1">
      <c r="A239" t="s">
        <v>347</v>
      </c>
      <c r="B239" t="s">
        <v>348</v>
      </c>
      <c r="C239" t="s">
        <v>322</v>
      </c>
      <c r="D239" t="s">
        <v>159</v>
      </c>
      <c r="E239">
        <v>2018</v>
      </c>
      <c r="F239" t="s">
        <v>697</v>
      </c>
      <c r="G239" s="28">
        <f t="shared" si="0"/>
        <v>2021</v>
      </c>
      <c r="H239" t="str">
        <f t="shared" ca="1" si="1"/>
        <v>Due</v>
      </c>
    </row>
    <row r="240" spans="1:8" ht="15.75" customHeight="1">
      <c r="A240" t="s">
        <v>349</v>
      </c>
      <c r="B240" t="s">
        <v>350</v>
      </c>
      <c r="C240" t="s">
        <v>322</v>
      </c>
      <c r="D240" t="s">
        <v>159</v>
      </c>
      <c r="G240" s="28" t="str">
        <f t="shared" si="0"/>
        <v/>
      </c>
      <c r="H240" t="str">
        <f t="shared" ca="1" si="1"/>
        <v>Valid</v>
      </c>
    </row>
    <row r="241" spans="1:8" ht="15.75" hidden="1" customHeight="1">
      <c r="A241" t="s">
        <v>351</v>
      </c>
      <c r="B241" t="s">
        <v>352</v>
      </c>
      <c r="C241" t="s">
        <v>353</v>
      </c>
      <c r="D241" t="s">
        <v>159</v>
      </c>
      <c r="E241">
        <v>2023</v>
      </c>
      <c r="F241" t="s">
        <v>697</v>
      </c>
      <c r="G241" s="28">
        <f t="shared" si="0"/>
        <v>2026</v>
      </c>
      <c r="H241" t="str">
        <f t="shared" ca="1" si="1"/>
        <v>Due</v>
      </c>
    </row>
    <row r="242" spans="1:8" ht="15.75" customHeight="1">
      <c r="A242" t="s">
        <v>354</v>
      </c>
      <c r="B242" t="s">
        <v>355</v>
      </c>
      <c r="C242" t="s">
        <v>46</v>
      </c>
      <c r="D242" t="s">
        <v>159</v>
      </c>
      <c r="G242" s="28" t="str">
        <f t="shared" si="0"/>
        <v/>
      </c>
      <c r="H242" t="str">
        <f t="shared" ca="1" si="1"/>
        <v>Valid</v>
      </c>
    </row>
    <row r="243" spans="1:8" ht="15.75" hidden="1" customHeight="1">
      <c r="A243" t="s">
        <v>356</v>
      </c>
      <c r="B243" t="s">
        <v>357</v>
      </c>
      <c r="C243" t="s">
        <v>46</v>
      </c>
      <c r="D243" t="s">
        <v>159</v>
      </c>
      <c r="E243">
        <v>2025</v>
      </c>
      <c r="F243" t="s">
        <v>697</v>
      </c>
      <c r="G243" s="28">
        <f t="shared" si="0"/>
        <v>2028</v>
      </c>
      <c r="H243" t="str">
        <f t="shared" ca="1" si="1"/>
        <v>Valid</v>
      </c>
    </row>
    <row r="244" spans="1:8" ht="15.75" hidden="1" customHeight="1">
      <c r="A244" t="s">
        <v>358</v>
      </c>
      <c r="B244" t="s">
        <v>359</v>
      </c>
      <c r="C244" t="s">
        <v>46</v>
      </c>
      <c r="D244" t="s">
        <v>159</v>
      </c>
      <c r="E244">
        <v>2019</v>
      </c>
      <c r="F244" t="s">
        <v>697</v>
      </c>
      <c r="G244" s="28">
        <f t="shared" si="0"/>
        <v>2022</v>
      </c>
      <c r="H244" t="str">
        <f t="shared" ca="1" si="1"/>
        <v>Due</v>
      </c>
    </row>
    <row r="245" spans="1:8" ht="15.75" hidden="1" customHeight="1">
      <c r="A245" t="s">
        <v>360</v>
      </c>
      <c r="B245" t="s">
        <v>361</v>
      </c>
      <c r="C245" t="s">
        <v>46</v>
      </c>
      <c r="D245" t="s">
        <v>159</v>
      </c>
      <c r="E245">
        <v>2019</v>
      </c>
      <c r="F245" t="s">
        <v>697</v>
      </c>
      <c r="G245" s="28">
        <f t="shared" si="0"/>
        <v>2022</v>
      </c>
      <c r="H245" t="str">
        <f t="shared" ca="1" si="1"/>
        <v>Due</v>
      </c>
    </row>
    <row r="246" spans="1:8" ht="15.75" customHeight="1">
      <c r="A246" t="s">
        <v>362</v>
      </c>
      <c r="B246" t="s">
        <v>363</v>
      </c>
      <c r="C246" t="s">
        <v>46</v>
      </c>
      <c r="D246" t="s">
        <v>159</v>
      </c>
      <c r="G246" s="28" t="str">
        <f t="shared" si="0"/>
        <v/>
      </c>
      <c r="H246" t="str">
        <f t="shared" ca="1" si="1"/>
        <v>Valid</v>
      </c>
    </row>
    <row r="247" spans="1:8" ht="15.75" customHeight="1">
      <c r="A247" t="s">
        <v>364</v>
      </c>
      <c r="B247" t="s">
        <v>365</v>
      </c>
      <c r="C247" t="s">
        <v>46</v>
      </c>
      <c r="D247" t="s">
        <v>159</v>
      </c>
      <c r="G247" s="28" t="str">
        <f t="shared" si="0"/>
        <v/>
      </c>
      <c r="H247" t="str">
        <f t="shared" ca="1" si="1"/>
        <v>Valid</v>
      </c>
    </row>
    <row r="248" spans="1:8" ht="15.75" hidden="1" customHeight="1">
      <c r="A248" t="s">
        <v>366</v>
      </c>
      <c r="B248" t="s">
        <v>367</v>
      </c>
      <c r="C248" t="s">
        <v>146</v>
      </c>
      <c r="D248" t="s">
        <v>159</v>
      </c>
      <c r="E248">
        <v>2025</v>
      </c>
      <c r="F248" t="s">
        <v>697</v>
      </c>
      <c r="G248" s="28">
        <f t="shared" si="0"/>
        <v>2028</v>
      </c>
      <c r="H248" t="str">
        <f t="shared" ca="1" si="1"/>
        <v>Valid</v>
      </c>
    </row>
    <row r="249" spans="1:8" ht="15.75" hidden="1" customHeight="1">
      <c r="A249" t="s">
        <v>368</v>
      </c>
      <c r="B249" t="s">
        <v>369</v>
      </c>
      <c r="C249" t="s">
        <v>146</v>
      </c>
      <c r="D249" t="s">
        <v>159</v>
      </c>
      <c r="E249">
        <v>2018</v>
      </c>
      <c r="F249" t="s">
        <v>697</v>
      </c>
      <c r="G249" s="28">
        <f t="shared" si="0"/>
        <v>2021</v>
      </c>
      <c r="H249" t="str">
        <f t="shared" ca="1" si="1"/>
        <v>Due</v>
      </c>
    </row>
    <row r="250" spans="1:8" ht="15.75" hidden="1" customHeight="1">
      <c r="A250" t="s">
        <v>370</v>
      </c>
      <c r="B250" t="s">
        <v>371</v>
      </c>
      <c r="C250" t="s">
        <v>146</v>
      </c>
      <c r="D250" t="s">
        <v>159</v>
      </c>
      <c r="E250">
        <v>2019</v>
      </c>
      <c r="F250" t="s">
        <v>697</v>
      </c>
      <c r="G250" s="28">
        <f t="shared" si="0"/>
        <v>2022</v>
      </c>
      <c r="H250" t="str">
        <f t="shared" ca="1" si="1"/>
        <v>Due</v>
      </c>
    </row>
    <row r="251" spans="1:8" ht="15.75" hidden="1" customHeight="1">
      <c r="A251" t="s">
        <v>372</v>
      </c>
      <c r="B251" t="s">
        <v>373</v>
      </c>
      <c r="C251" t="s">
        <v>146</v>
      </c>
      <c r="D251" t="s">
        <v>159</v>
      </c>
      <c r="E251">
        <v>2025</v>
      </c>
      <c r="F251" t="s">
        <v>697</v>
      </c>
      <c r="G251" s="28">
        <f t="shared" si="0"/>
        <v>2028</v>
      </c>
      <c r="H251" t="str">
        <f t="shared" ca="1" si="1"/>
        <v>Valid</v>
      </c>
    </row>
    <row r="252" spans="1:8" ht="15.75" hidden="1" customHeight="1">
      <c r="A252" t="s">
        <v>374</v>
      </c>
      <c r="B252" t="s">
        <v>375</v>
      </c>
      <c r="C252" t="s">
        <v>146</v>
      </c>
      <c r="D252" t="s">
        <v>159</v>
      </c>
      <c r="E252">
        <v>2021</v>
      </c>
      <c r="F252" t="s">
        <v>697</v>
      </c>
      <c r="G252" s="28">
        <f t="shared" si="0"/>
        <v>2024</v>
      </c>
      <c r="H252" t="str">
        <f t="shared" ca="1" si="1"/>
        <v>Due</v>
      </c>
    </row>
    <row r="253" spans="1:8" ht="15.75" hidden="1" customHeight="1">
      <c r="A253" t="s">
        <v>376</v>
      </c>
      <c r="B253" t="s">
        <v>377</v>
      </c>
      <c r="C253" t="s">
        <v>146</v>
      </c>
      <c r="D253" t="s">
        <v>159</v>
      </c>
      <c r="E253">
        <v>2026</v>
      </c>
      <c r="F253" t="s">
        <v>701</v>
      </c>
      <c r="G253" s="28">
        <f t="shared" si="0"/>
        <v>2031</v>
      </c>
      <c r="H253" t="str">
        <f t="shared" ca="1" si="1"/>
        <v>Valid</v>
      </c>
    </row>
    <row r="254" spans="1:8" ht="15.75" customHeight="1">
      <c r="A254" t="s">
        <v>378</v>
      </c>
      <c r="B254" t="s">
        <v>379</v>
      </c>
      <c r="C254" t="s">
        <v>71</v>
      </c>
      <c r="D254" t="s">
        <v>159</v>
      </c>
      <c r="G254" s="28" t="str">
        <f t="shared" si="0"/>
        <v/>
      </c>
      <c r="H254" t="str">
        <f t="shared" ca="1" si="1"/>
        <v>Valid</v>
      </c>
    </row>
    <row r="255" spans="1:8" ht="15.75" hidden="1" customHeight="1">
      <c r="A255" t="s">
        <v>380</v>
      </c>
      <c r="B255" t="s">
        <v>381</v>
      </c>
      <c r="C255" t="s">
        <v>18</v>
      </c>
      <c r="D255" t="s">
        <v>159</v>
      </c>
      <c r="E255">
        <v>2023</v>
      </c>
      <c r="F255" t="s">
        <v>697</v>
      </c>
      <c r="G255" s="28">
        <f t="shared" si="0"/>
        <v>2026</v>
      </c>
      <c r="H255" t="str">
        <f t="shared" ca="1" si="1"/>
        <v>Due</v>
      </c>
    </row>
    <row r="256" spans="1:8" ht="15.75" customHeight="1">
      <c r="A256" t="s">
        <v>382</v>
      </c>
      <c r="B256" t="s">
        <v>383</v>
      </c>
      <c r="C256" t="s">
        <v>89</v>
      </c>
      <c r="D256" t="s">
        <v>159</v>
      </c>
      <c r="G256" s="28" t="str">
        <f t="shared" si="0"/>
        <v/>
      </c>
      <c r="H256" t="str">
        <f t="shared" ca="1" si="1"/>
        <v>Valid</v>
      </c>
    </row>
    <row r="257" spans="1:8" ht="15.75" customHeight="1">
      <c r="A257" t="s">
        <v>384</v>
      </c>
      <c r="B257" t="s">
        <v>385</v>
      </c>
      <c r="C257" t="s">
        <v>386</v>
      </c>
      <c r="D257" t="s">
        <v>159</v>
      </c>
      <c r="G257" s="28" t="str">
        <f t="shared" si="0"/>
        <v/>
      </c>
      <c r="H257" t="str">
        <f t="shared" ca="1" si="1"/>
        <v>Valid</v>
      </c>
    </row>
    <row r="258" spans="1:8" ht="15.75" hidden="1" customHeight="1">
      <c r="A258" t="s">
        <v>387</v>
      </c>
      <c r="B258" t="s">
        <v>388</v>
      </c>
      <c r="C258" t="s">
        <v>389</v>
      </c>
      <c r="D258" t="s">
        <v>159</v>
      </c>
      <c r="E258">
        <v>2023</v>
      </c>
      <c r="F258" t="s">
        <v>697</v>
      </c>
      <c r="G258" s="28">
        <f t="shared" si="0"/>
        <v>2026</v>
      </c>
      <c r="H258" t="str">
        <f t="shared" ca="1" si="1"/>
        <v>Due</v>
      </c>
    </row>
    <row r="259" spans="1:8" ht="15.75" hidden="1" customHeight="1">
      <c r="A259" t="s">
        <v>951</v>
      </c>
      <c r="B259" t="s">
        <v>952</v>
      </c>
      <c r="C259" t="s">
        <v>890</v>
      </c>
      <c r="D259" t="s">
        <v>159</v>
      </c>
      <c r="E259">
        <v>2024</v>
      </c>
      <c r="F259" t="s">
        <v>697</v>
      </c>
      <c r="G259" s="28">
        <f t="shared" si="0"/>
        <v>2027</v>
      </c>
      <c r="H259" t="str">
        <f t="shared" ca="1" si="1"/>
        <v>Valid</v>
      </c>
    </row>
    <row r="260" spans="1:8" ht="15.75" customHeight="1">
      <c r="A260" t="s">
        <v>953</v>
      </c>
      <c r="B260" t="s">
        <v>954</v>
      </c>
      <c r="C260" t="s">
        <v>955</v>
      </c>
      <c r="D260" t="s">
        <v>159</v>
      </c>
      <c r="G260" s="28" t="str">
        <f t="shared" si="0"/>
        <v/>
      </c>
      <c r="H260" t="str">
        <f t="shared" ca="1" si="1"/>
        <v>Valid</v>
      </c>
    </row>
    <row r="261" spans="1:8" ht="15.75" hidden="1" customHeight="1">
      <c r="A261" t="s">
        <v>956</v>
      </c>
      <c r="B261" t="s">
        <v>957</v>
      </c>
      <c r="C261" t="s">
        <v>856</v>
      </c>
      <c r="D261" t="s">
        <v>159</v>
      </c>
      <c r="E261">
        <v>2026</v>
      </c>
      <c r="F261" t="s">
        <v>697</v>
      </c>
      <c r="G261" s="28">
        <f t="shared" si="0"/>
        <v>2029</v>
      </c>
      <c r="H261" t="str">
        <f t="shared" ca="1" si="1"/>
        <v>Valid</v>
      </c>
    </row>
    <row r="262" spans="1:8" ht="15.75" hidden="1" customHeight="1">
      <c r="A262" t="s">
        <v>958</v>
      </c>
      <c r="B262" t="s">
        <v>959</v>
      </c>
      <c r="C262" t="s">
        <v>960</v>
      </c>
      <c r="D262" t="s">
        <v>159</v>
      </c>
      <c r="E262">
        <v>2021</v>
      </c>
      <c r="F262" t="s">
        <v>697</v>
      </c>
      <c r="G262" s="28">
        <f t="shared" si="0"/>
        <v>2024</v>
      </c>
      <c r="H262" t="str">
        <f t="shared" ca="1" si="1"/>
        <v>Due</v>
      </c>
    </row>
    <row r="263" spans="1:8" ht="15.75" customHeight="1">
      <c r="A263" t="s">
        <v>390</v>
      </c>
      <c r="B263" t="s">
        <v>391</v>
      </c>
      <c r="C263" t="s">
        <v>130</v>
      </c>
      <c r="D263" t="s">
        <v>159</v>
      </c>
      <c r="G263" s="28" t="str">
        <f t="shared" si="0"/>
        <v/>
      </c>
      <c r="H263" t="str">
        <f t="shared" ca="1" si="1"/>
        <v>Valid</v>
      </c>
    </row>
    <row r="264" spans="1:8" ht="15.75" hidden="1" customHeight="1">
      <c r="A264" t="s">
        <v>392</v>
      </c>
      <c r="B264" t="s">
        <v>300</v>
      </c>
      <c r="C264" t="s">
        <v>322</v>
      </c>
      <c r="D264" t="s">
        <v>159</v>
      </c>
      <c r="E264">
        <v>2025</v>
      </c>
      <c r="F264" t="s">
        <v>697</v>
      </c>
      <c r="G264" s="28">
        <f t="shared" si="0"/>
        <v>2028</v>
      </c>
      <c r="H264" t="str">
        <f t="shared" ca="1" si="1"/>
        <v>Valid</v>
      </c>
    </row>
    <row r="265" spans="1:8" ht="15.75" customHeight="1">
      <c r="A265" t="s">
        <v>393</v>
      </c>
      <c r="B265" t="s">
        <v>394</v>
      </c>
      <c r="C265" t="s">
        <v>395</v>
      </c>
      <c r="D265" t="s">
        <v>159</v>
      </c>
      <c r="G265" s="28" t="str">
        <f t="shared" si="0"/>
        <v/>
      </c>
      <c r="H265" t="str">
        <f t="shared" ca="1" si="1"/>
        <v>Valid</v>
      </c>
    </row>
    <row r="266" spans="1:8" ht="15.75" hidden="1" customHeight="1">
      <c r="A266" t="s">
        <v>396</v>
      </c>
      <c r="B266" t="s">
        <v>397</v>
      </c>
      <c r="C266" t="s">
        <v>46</v>
      </c>
      <c r="D266" t="s">
        <v>159</v>
      </c>
      <c r="E266">
        <v>2022</v>
      </c>
      <c r="F266" t="s">
        <v>697</v>
      </c>
      <c r="G266" s="28">
        <f t="shared" si="0"/>
        <v>2025</v>
      </c>
      <c r="H266" t="str">
        <f t="shared" ca="1" si="1"/>
        <v>Due</v>
      </c>
    </row>
    <row r="267" spans="1:8" ht="15.75" customHeight="1">
      <c r="A267" t="s">
        <v>398</v>
      </c>
      <c r="B267" t="s">
        <v>399</v>
      </c>
      <c r="C267" t="s">
        <v>18</v>
      </c>
      <c r="D267" t="s">
        <v>159</v>
      </c>
      <c r="G267" s="28" t="str">
        <f t="shared" si="0"/>
        <v/>
      </c>
      <c r="H267" t="str">
        <f t="shared" ca="1" si="1"/>
        <v>Valid</v>
      </c>
    </row>
    <row r="268" spans="1:8" ht="15.75" hidden="1" customHeight="1">
      <c r="A268" t="s">
        <v>400</v>
      </c>
      <c r="B268" t="s">
        <v>401</v>
      </c>
      <c r="C268" t="s">
        <v>18</v>
      </c>
      <c r="D268" t="s">
        <v>159</v>
      </c>
      <c r="E268">
        <v>2023</v>
      </c>
      <c r="F268" t="s">
        <v>697</v>
      </c>
      <c r="G268" s="28">
        <f t="shared" si="0"/>
        <v>2026</v>
      </c>
      <c r="H268" t="str">
        <f t="shared" ca="1" si="1"/>
        <v>Due</v>
      </c>
    </row>
    <row r="269" spans="1:8" ht="15.75" customHeight="1">
      <c r="A269" t="s">
        <v>402</v>
      </c>
      <c r="B269" t="s">
        <v>403</v>
      </c>
      <c r="C269" t="s">
        <v>181</v>
      </c>
      <c r="D269" t="s">
        <v>159</v>
      </c>
      <c r="G269" s="28" t="str">
        <f t="shared" si="0"/>
        <v/>
      </c>
      <c r="H269" t="str">
        <f t="shared" ca="1" si="1"/>
        <v>Valid</v>
      </c>
    </row>
    <row r="270" spans="1:8" ht="15.75" customHeight="1">
      <c r="A270" t="s">
        <v>404</v>
      </c>
      <c r="B270" t="s">
        <v>405</v>
      </c>
      <c r="C270" t="s">
        <v>86</v>
      </c>
      <c r="D270" t="s">
        <v>159</v>
      </c>
      <c r="G270" s="28" t="str">
        <f t="shared" si="0"/>
        <v/>
      </c>
      <c r="H270" t="str">
        <f t="shared" ca="1" si="1"/>
        <v>Valid</v>
      </c>
    </row>
    <row r="271" spans="1:8" ht="15.75" hidden="1" customHeight="1">
      <c r="A271" t="s">
        <v>961</v>
      </c>
      <c r="B271" t="s">
        <v>962</v>
      </c>
      <c r="C271" t="s">
        <v>890</v>
      </c>
      <c r="D271" t="s">
        <v>159</v>
      </c>
      <c r="E271">
        <v>2022</v>
      </c>
      <c r="F271" t="s">
        <v>697</v>
      </c>
      <c r="G271" s="28">
        <f t="shared" si="0"/>
        <v>2025</v>
      </c>
      <c r="H271" t="str">
        <f t="shared" ca="1" si="1"/>
        <v>Due</v>
      </c>
    </row>
    <row r="272" spans="1:8" ht="15.75" hidden="1" customHeight="1">
      <c r="A272" t="s">
        <v>963</v>
      </c>
      <c r="B272" t="s">
        <v>964</v>
      </c>
      <c r="C272" t="s">
        <v>924</v>
      </c>
      <c r="D272" t="s">
        <v>159</v>
      </c>
      <c r="E272">
        <v>2018</v>
      </c>
      <c r="F272" t="s">
        <v>697</v>
      </c>
      <c r="G272" s="28">
        <f t="shared" si="0"/>
        <v>2021</v>
      </c>
      <c r="H272" t="str">
        <f t="shared" ca="1" si="1"/>
        <v>Due</v>
      </c>
    </row>
    <row r="273" spans="1:8" ht="15.75" customHeight="1">
      <c r="A273" t="s">
        <v>406</v>
      </c>
      <c r="B273" t="s">
        <v>407</v>
      </c>
      <c r="C273" t="s">
        <v>408</v>
      </c>
      <c r="D273" t="s">
        <v>159</v>
      </c>
      <c r="G273" s="28" t="str">
        <f t="shared" si="0"/>
        <v/>
      </c>
      <c r="H273" t="str">
        <f t="shared" ca="1" si="1"/>
        <v>Valid</v>
      </c>
    </row>
    <row r="274" spans="1:8" ht="15.75" customHeight="1">
      <c r="A274" t="s">
        <v>409</v>
      </c>
      <c r="B274" t="s">
        <v>410</v>
      </c>
      <c r="C274" t="s">
        <v>322</v>
      </c>
      <c r="D274" t="s">
        <v>159</v>
      </c>
      <c r="G274" s="28" t="str">
        <f t="shared" si="0"/>
        <v/>
      </c>
      <c r="H274" t="str">
        <f t="shared" ca="1" si="1"/>
        <v>Valid</v>
      </c>
    </row>
    <row r="275" spans="1:8" ht="15.75" hidden="1" customHeight="1">
      <c r="A275" t="s">
        <v>411</v>
      </c>
      <c r="B275" t="s">
        <v>412</v>
      </c>
      <c r="C275" t="s">
        <v>395</v>
      </c>
      <c r="D275" t="s">
        <v>159</v>
      </c>
      <c r="E275">
        <v>2023</v>
      </c>
      <c r="F275" t="s">
        <v>697</v>
      </c>
      <c r="G275" s="28">
        <f t="shared" si="0"/>
        <v>2026</v>
      </c>
      <c r="H275" t="str">
        <f t="shared" ca="1" si="1"/>
        <v>Due</v>
      </c>
    </row>
    <row r="276" spans="1:8" ht="15.75" customHeight="1">
      <c r="A276" t="s">
        <v>413</v>
      </c>
      <c r="B276" t="s">
        <v>414</v>
      </c>
      <c r="C276" t="s">
        <v>46</v>
      </c>
      <c r="D276" t="s">
        <v>159</v>
      </c>
      <c r="G276" s="28" t="str">
        <f t="shared" si="0"/>
        <v/>
      </c>
      <c r="H276" t="str">
        <f t="shared" ca="1" si="1"/>
        <v>Valid</v>
      </c>
    </row>
    <row r="277" spans="1:8" ht="15.75" customHeight="1">
      <c r="A277" t="s">
        <v>415</v>
      </c>
      <c r="B277" t="s">
        <v>416</v>
      </c>
      <c r="C277" t="s">
        <v>408</v>
      </c>
      <c r="D277" t="s">
        <v>159</v>
      </c>
      <c r="G277" s="28" t="str">
        <f t="shared" si="0"/>
        <v/>
      </c>
      <c r="H277" t="str">
        <f t="shared" ca="1" si="1"/>
        <v>Valid</v>
      </c>
    </row>
    <row r="278" spans="1:8" ht="15.75" customHeight="1">
      <c r="A278" t="s">
        <v>417</v>
      </c>
      <c r="B278" t="s">
        <v>418</v>
      </c>
      <c r="C278" t="s">
        <v>46</v>
      </c>
      <c r="D278" t="s">
        <v>159</v>
      </c>
      <c r="G278" s="28" t="str">
        <f t="shared" si="0"/>
        <v/>
      </c>
      <c r="H278" t="str">
        <f t="shared" ca="1" si="1"/>
        <v>Valid</v>
      </c>
    </row>
    <row r="279" spans="1:8" ht="15.75" hidden="1" customHeight="1">
      <c r="A279" t="s">
        <v>419</v>
      </c>
      <c r="B279" t="s">
        <v>420</v>
      </c>
      <c r="C279" t="s">
        <v>146</v>
      </c>
      <c r="D279" t="s">
        <v>159</v>
      </c>
      <c r="E279">
        <v>2016</v>
      </c>
      <c r="F279" t="s">
        <v>701</v>
      </c>
      <c r="G279" s="28">
        <f t="shared" si="0"/>
        <v>2021</v>
      </c>
      <c r="H279" t="str">
        <f t="shared" ca="1" si="1"/>
        <v>Due</v>
      </c>
    </row>
    <row r="280" spans="1:8" ht="15.75" hidden="1" customHeight="1">
      <c r="A280" t="s">
        <v>421</v>
      </c>
      <c r="B280" t="s">
        <v>422</v>
      </c>
      <c r="C280" t="s">
        <v>423</v>
      </c>
      <c r="D280" t="s">
        <v>159</v>
      </c>
      <c r="E280">
        <v>2025</v>
      </c>
      <c r="F280" t="s">
        <v>697</v>
      </c>
      <c r="G280" s="28">
        <f t="shared" si="0"/>
        <v>2028</v>
      </c>
      <c r="H280" t="str">
        <f t="shared" ca="1" si="1"/>
        <v>Valid</v>
      </c>
    </row>
    <row r="281" spans="1:8" ht="15.75" hidden="1" customHeight="1">
      <c r="A281" t="s">
        <v>424</v>
      </c>
      <c r="B281" t="s">
        <v>425</v>
      </c>
      <c r="C281" t="s">
        <v>423</v>
      </c>
      <c r="D281" t="s">
        <v>159</v>
      </c>
      <c r="E281">
        <v>2021</v>
      </c>
      <c r="F281" t="s">
        <v>697</v>
      </c>
      <c r="G281" s="28">
        <f t="shared" si="0"/>
        <v>2024</v>
      </c>
      <c r="H281" t="str">
        <f t="shared" ca="1" si="1"/>
        <v>Due</v>
      </c>
    </row>
    <row r="282" spans="1:8" ht="15.75" customHeight="1">
      <c r="A282" t="s">
        <v>426</v>
      </c>
      <c r="B282" t="s">
        <v>427</v>
      </c>
      <c r="C282" t="s">
        <v>428</v>
      </c>
      <c r="D282" t="s">
        <v>159</v>
      </c>
      <c r="G282" s="28" t="str">
        <f t="shared" si="0"/>
        <v/>
      </c>
      <c r="H282" t="str">
        <f t="shared" ca="1" si="1"/>
        <v>Valid</v>
      </c>
    </row>
    <row r="283" spans="1:8" ht="15.75" hidden="1" customHeight="1">
      <c r="A283" t="s">
        <v>965</v>
      </c>
      <c r="B283" t="s">
        <v>966</v>
      </c>
      <c r="C283" t="s">
        <v>967</v>
      </c>
      <c r="D283" t="s">
        <v>432</v>
      </c>
      <c r="E283">
        <v>2022</v>
      </c>
      <c r="F283" t="s">
        <v>968</v>
      </c>
      <c r="G283" s="28" t="str">
        <f t="shared" si="0"/>
        <v>Lifetime</v>
      </c>
      <c r="H283" t="str">
        <f t="shared" ca="1" si="1"/>
        <v>Valid</v>
      </c>
    </row>
    <row r="284" spans="1:8" ht="15.75" hidden="1" customHeight="1">
      <c r="A284" t="s">
        <v>969</v>
      </c>
      <c r="B284" t="s">
        <v>970</v>
      </c>
      <c r="C284" t="s">
        <v>971</v>
      </c>
      <c r="D284" t="s">
        <v>432</v>
      </c>
      <c r="E284">
        <v>2026</v>
      </c>
      <c r="F284" t="s">
        <v>776</v>
      </c>
      <c r="G284" s="28" t="str">
        <f t="shared" si="0"/>
        <v>Lifetime</v>
      </c>
      <c r="H284" t="str">
        <f t="shared" ca="1" si="1"/>
        <v>Valid</v>
      </c>
    </row>
    <row r="285" spans="1:8" ht="15.75" hidden="1" customHeight="1">
      <c r="A285" t="s">
        <v>972</v>
      </c>
      <c r="B285" t="s">
        <v>973</v>
      </c>
      <c r="C285" t="s">
        <v>974</v>
      </c>
      <c r="D285" t="s">
        <v>432</v>
      </c>
      <c r="E285">
        <v>2020</v>
      </c>
      <c r="F285" t="s">
        <v>776</v>
      </c>
      <c r="G285" s="28" t="str">
        <f t="shared" si="0"/>
        <v>Lifetime</v>
      </c>
      <c r="H285" t="str">
        <f t="shared" ca="1" si="1"/>
        <v>Valid</v>
      </c>
    </row>
    <row r="286" spans="1:8" ht="15.75" hidden="1" customHeight="1">
      <c r="A286" t="s">
        <v>975</v>
      </c>
      <c r="B286" t="s">
        <v>976</v>
      </c>
      <c r="C286" t="s">
        <v>974</v>
      </c>
      <c r="D286" t="s">
        <v>432</v>
      </c>
      <c r="E286">
        <v>2020</v>
      </c>
      <c r="F286" t="s">
        <v>776</v>
      </c>
      <c r="G286" s="28" t="str">
        <f t="shared" si="0"/>
        <v>Lifetime</v>
      </c>
      <c r="H286" t="str">
        <f t="shared" ca="1" si="1"/>
        <v>Valid</v>
      </c>
    </row>
    <row r="287" spans="1:8" ht="15.75" hidden="1" customHeight="1">
      <c r="A287" t="s">
        <v>977</v>
      </c>
      <c r="B287" t="s">
        <v>978</v>
      </c>
      <c r="C287" t="s">
        <v>979</v>
      </c>
      <c r="D287" t="s">
        <v>432</v>
      </c>
      <c r="E287">
        <v>2020</v>
      </c>
      <c r="F287" t="s">
        <v>776</v>
      </c>
      <c r="G287" s="28" t="str">
        <f t="shared" si="0"/>
        <v>Lifetime</v>
      </c>
      <c r="H287" t="str">
        <f t="shared" ca="1" si="1"/>
        <v>Valid</v>
      </c>
    </row>
    <row r="288" spans="1:8" ht="15.75" hidden="1" customHeight="1">
      <c r="A288" t="s">
        <v>980</v>
      </c>
      <c r="B288" t="s">
        <v>981</v>
      </c>
      <c r="C288" t="s">
        <v>979</v>
      </c>
      <c r="D288" t="s">
        <v>432</v>
      </c>
      <c r="E288">
        <v>2020</v>
      </c>
      <c r="F288" t="s">
        <v>776</v>
      </c>
      <c r="G288" s="28" t="str">
        <f t="shared" si="0"/>
        <v>Lifetime</v>
      </c>
      <c r="H288" t="str">
        <f t="shared" ca="1" si="1"/>
        <v>Valid</v>
      </c>
    </row>
    <row r="289" spans="1:8" ht="15.75" hidden="1" customHeight="1">
      <c r="A289" t="s">
        <v>982</v>
      </c>
      <c r="B289" t="s">
        <v>983</v>
      </c>
      <c r="C289" t="s">
        <v>979</v>
      </c>
      <c r="D289" t="s">
        <v>432</v>
      </c>
      <c r="E289">
        <v>2020</v>
      </c>
      <c r="F289" t="s">
        <v>776</v>
      </c>
      <c r="G289" s="28" t="str">
        <f t="shared" si="0"/>
        <v>Lifetime</v>
      </c>
      <c r="H289" t="str">
        <f t="shared" ca="1" si="1"/>
        <v>Valid</v>
      </c>
    </row>
    <row r="290" spans="1:8" ht="15.75" hidden="1" customHeight="1">
      <c r="A290" t="s">
        <v>986</v>
      </c>
      <c r="B290" t="s">
        <v>987</v>
      </c>
      <c r="C290" t="s">
        <v>979</v>
      </c>
      <c r="D290" t="s">
        <v>432</v>
      </c>
      <c r="E290">
        <v>2020</v>
      </c>
      <c r="F290" t="s">
        <v>776</v>
      </c>
      <c r="G290" s="28" t="str">
        <f t="shared" si="0"/>
        <v>Lifetime</v>
      </c>
      <c r="H290" t="str">
        <f t="shared" ca="1" si="1"/>
        <v>Valid</v>
      </c>
    </row>
    <row r="291" spans="1:8" ht="15.75" hidden="1" customHeight="1">
      <c r="A291" t="s">
        <v>988</v>
      </c>
      <c r="B291" t="s">
        <v>989</v>
      </c>
      <c r="C291" t="s">
        <v>990</v>
      </c>
      <c r="D291" t="s">
        <v>432</v>
      </c>
      <c r="E291">
        <v>2020</v>
      </c>
      <c r="F291" t="s">
        <v>776</v>
      </c>
      <c r="G291" s="28" t="str">
        <f t="shared" si="0"/>
        <v>Lifetime</v>
      </c>
      <c r="H291" t="str">
        <f t="shared" ca="1" si="1"/>
        <v>Valid</v>
      </c>
    </row>
    <row r="292" spans="1:8" ht="15.75" hidden="1" customHeight="1">
      <c r="A292" t="s">
        <v>991</v>
      </c>
      <c r="B292" t="s">
        <v>992</v>
      </c>
      <c r="C292" t="s">
        <v>990</v>
      </c>
      <c r="D292" t="s">
        <v>432</v>
      </c>
      <c r="E292">
        <v>2020</v>
      </c>
      <c r="F292" t="s">
        <v>776</v>
      </c>
      <c r="G292" s="28" t="str">
        <f t="shared" si="0"/>
        <v>Lifetime</v>
      </c>
      <c r="H292" t="str">
        <f t="shared" ca="1" si="1"/>
        <v>Valid</v>
      </c>
    </row>
    <row r="293" spans="1:8" ht="15.75" hidden="1" customHeight="1">
      <c r="A293" t="s">
        <v>993</v>
      </c>
      <c r="B293" t="s">
        <v>994</v>
      </c>
      <c r="C293" t="s">
        <v>990</v>
      </c>
      <c r="D293" t="s">
        <v>432</v>
      </c>
      <c r="E293">
        <v>2020</v>
      </c>
      <c r="F293" t="s">
        <v>776</v>
      </c>
      <c r="G293" s="28" t="str">
        <f t="shared" si="0"/>
        <v>Lifetime</v>
      </c>
      <c r="H293" t="str">
        <f t="shared" ca="1" si="1"/>
        <v>Valid</v>
      </c>
    </row>
    <row r="294" spans="1:8" ht="15.75" hidden="1" customHeight="1">
      <c r="A294" t="s">
        <v>995</v>
      </c>
      <c r="B294" t="s">
        <v>996</v>
      </c>
      <c r="C294" t="s">
        <v>990</v>
      </c>
      <c r="D294" t="s">
        <v>432</v>
      </c>
      <c r="E294">
        <v>2020</v>
      </c>
      <c r="F294" t="s">
        <v>776</v>
      </c>
      <c r="G294" s="28" t="str">
        <f t="shared" si="0"/>
        <v>Lifetime</v>
      </c>
      <c r="H294" t="str">
        <f t="shared" ca="1" si="1"/>
        <v>Valid</v>
      </c>
    </row>
    <row r="295" spans="1:8" ht="15.75" hidden="1" customHeight="1">
      <c r="A295" t="s">
        <v>997</v>
      </c>
      <c r="B295" t="s">
        <v>998</v>
      </c>
      <c r="C295" t="s">
        <v>999</v>
      </c>
      <c r="D295" t="s">
        <v>432</v>
      </c>
      <c r="E295">
        <v>2024</v>
      </c>
      <c r="F295" t="s">
        <v>968</v>
      </c>
      <c r="G295" s="28" t="str">
        <f t="shared" si="0"/>
        <v>Lifetime</v>
      </c>
      <c r="H295" t="str">
        <f t="shared" ca="1" si="1"/>
        <v>Valid</v>
      </c>
    </row>
    <row r="296" spans="1:8" ht="15.75" hidden="1" customHeight="1">
      <c r="A296" t="s">
        <v>1000</v>
      </c>
      <c r="B296" t="s">
        <v>1001</v>
      </c>
      <c r="C296" t="s">
        <v>999</v>
      </c>
      <c r="D296" t="s">
        <v>432</v>
      </c>
      <c r="E296">
        <v>2022</v>
      </c>
      <c r="F296" t="s">
        <v>697</v>
      </c>
      <c r="G296" s="28">
        <f t="shared" si="0"/>
        <v>2025</v>
      </c>
      <c r="H296" t="str">
        <f t="shared" ca="1" si="1"/>
        <v>Due</v>
      </c>
    </row>
    <row r="297" spans="1:8" ht="15.75" hidden="1" customHeight="1">
      <c r="A297" t="s">
        <v>1004</v>
      </c>
      <c r="B297" t="s">
        <v>1005</v>
      </c>
      <c r="C297" t="s">
        <v>1006</v>
      </c>
      <c r="D297" t="s">
        <v>432</v>
      </c>
      <c r="E297">
        <v>2021</v>
      </c>
      <c r="F297" t="s">
        <v>776</v>
      </c>
      <c r="G297" s="28" t="str">
        <f t="shared" si="0"/>
        <v>Lifetime</v>
      </c>
      <c r="H297" t="str">
        <f t="shared" ca="1" si="1"/>
        <v>Valid</v>
      </c>
    </row>
    <row r="298" spans="1:8" ht="15.75" hidden="1" customHeight="1">
      <c r="A298" t="s">
        <v>1007</v>
      </c>
      <c r="B298" t="s">
        <v>1008</v>
      </c>
      <c r="C298" t="s">
        <v>1009</v>
      </c>
      <c r="D298" t="s">
        <v>432</v>
      </c>
      <c r="E298">
        <v>2022</v>
      </c>
      <c r="F298" t="s">
        <v>701</v>
      </c>
      <c r="G298" s="28">
        <f t="shared" si="0"/>
        <v>2027</v>
      </c>
      <c r="H298" t="str">
        <f t="shared" ca="1" si="1"/>
        <v>Valid</v>
      </c>
    </row>
    <row r="299" spans="1:8" ht="15.75" hidden="1" customHeight="1">
      <c r="A299" t="s">
        <v>1010</v>
      </c>
      <c r="B299" t="s">
        <v>1011</v>
      </c>
      <c r="C299" t="s">
        <v>1012</v>
      </c>
      <c r="D299" t="s">
        <v>432</v>
      </c>
      <c r="E299">
        <v>2022</v>
      </c>
      <c r="F299" t="s">
        <v>968</v>
      </c>
      <c r="G299" s="28" t="str">
        <f t="shared" si="0"/>
        <v>Lifetime</v>
      </c>
      <c r="H299" t="str">
        <f t="shared" ca="1" si="1"/>
        <v>Valid</v>
      </c>
    </row>
    <row r="300" spans="1:8" ht="15.75" hidden="1" customHeight="1">
      <c r="A300" t="s">
        <v>1013</v>
      </c>
      <c r="B300" t="s">
        <v>1014</v>
      </c>
      <c r="C300" t="s">
        <v>1015</v>
      </c>
      <c r="D300" t="s">
        <v>432</v>
      </c>
      <c r="E300">
        <v>2008</v>
      </c>
      <c r="F300" t="s">
        <v>776</v>
      </c>
      <c r="G300" s="28" t="str">
        <f t="shared" si="0"/>
        <v>Lifetime</v>
      </c>
      <c r="H300" t="str">
        <f t="shared" ca="1" si="1"/>
        <v>Valid</v>
      </c>
    </row>
    <row r="301" spans="1:8" ht="15.75" hidden="1" customHeight="1">
      <c r="A301" t="s">
        <v>1016</v>
      </c>
      <c r="B301" t="s">
        <v>1017</v>
      </c>
      <c r="C301" t="s">
        <v>1018</v>
      </c>
      <c r="D301" t="s">
        <v>432</v>
      </c>
      <c r="E301">
        <v>2008</v>
      </c>
      <c r="F301" t="s">
        <v>776</v>
      </c>
      <c r="G301" s="28" t="str">
        <f t="shared" si="0"/>
        <v>Lifetime</v>
      </c>
      <c r="H301" t="str">
        <f t="shared" ca="1" si="1"/>
        <v>Valid</v>
      </c>
    </row>
    <row r="302" spans="1:8" ht="15.75" customHeight="1">
      <c r="A302" t="s">
        <v>1019</v>
      </c>
      <c r="B302" t="s">
        <v>1020</v>
      </c>
      <c r="C302" t="s">
        <v>1021</v>
      </c>
      <c r="D302" t="s">
        <v>1022</v>
      </c>
      <c r="G302" s="28" t="str">
        <f t="shared" si="0"/>
        <v/>
      </c>
      <c r="H302" t="str">
        <f t="shared" ca="1" si="1"/>
        <v>Valid</v>
      </c>
    </row>
    <row r="303" spans="1:8" ht="15.75" customHeight="1">
      <c r="A303" t="s">
        <v>429</v>
      </c>
      <c r="B303" t="s">
        <v>430</v>
      </c>
      <c r="C303" t="s">
        <v>431</v>
      </c>
      <c r="D303" t="s">
        <v>432</v>
      </c>
      <c r="G303" s="28" t="str">
        <f t="shared" si="0"/>
        <v/>
      </c>
      <c r="H303" t="str">
        <f t="shared" ca="1" si="1"/>
        <v>Valid</v>
      </c>
    </row>
    <row r="304" spans="1:8" ht="15.75" customHeight="1">
      <c r="A304" t="s">
        <v>433</v>
      </c>
      <c r="B304" t="s">
        <v>434</v>
      </c>
      <c r="C304" t="s">
        <v>435</v>
      </c>
      <c r="D304" t="s">
        <v>432</v>
      </c>
      <c r="G304" s="28" t="str">
        <f t="shared" si="0"/>
        <v/>
      </c>
      <c r="H304" t="str">
        <f t="shared" ca="1" si="1"/>
        <v>Valid</v>
      </c>
    </row>
    <row r="305" spans="1:8" ht="15.75" customHeight="1">
      <c r="A305" t="s">
        <v>436</v>
      </c>
      <c r="B305" t="s">
        <v>437</v>
      </c>
      <c r="C305" t="s">
        <v>435</v>
      </c>
      <c r="D305" t="s">
        <v>432</v>
      </c>
      <c r="G305" s="28" t="str">
        <f t="shared" si="0"/>
        <v/>
      </c>
      <c r="H305" t="str">
        <f t="shared" ca="1" si="1"/>
        <v>Valid</v>
      </c>
    </row>
    <row r="306" spans="1:8" ht="15.75" hidden="1" customHeight="1">
      <c r="A306" t="s">
        <v>438</v>
      </c>
      <c r="B306" t="s">
        <v>439</v>
      </c>
      <c r="C306" t="s">
        <v>146</v>
      </c>
      <c r="D306" t="s">
        <v>432</v>
      </c>
      <c r="E306">
        <v>2018</v>
      </c>
      <c r="F306" t="s">
        <v>776</v>
      </c>
      <c r="G306" s="28" t="str">
        <f t="shared" si="0"/>
        <v>Lifetime</v>
      </c>
      <c r="H306" t="str">
        <f t="shared" ca="1" si="1"/>
        <v>Valid</v>
      </c>
    </row>
    <row r="307" spans="1:8" ht="15.75" hidden="1" customHeight="1">
      <c r="A307" t="s">
        <v>440</v>
      </c>
      <c r="B307" t="s">
        <v>441</v>
      </c>
      <c r="C307" t="s">
        <v>146</v>
      </c>
      <c r="D307" t="s">
        <v>432</v>
      </c>
      <c r="E307">
        <v>2017</v>
      </c>
      <c r="F307" t="s">
        <v>697</v>
      </c>
      <c r="G307" s="28">
        <f t="shared" si="0"/>
        <v>2020</v>
      </c>
      <c r="H307" t="str">
        <f t="shared" ca="1" si="1"/>
        <v>Due</v>
      </c>
    </row>
    <row r="308" spans="1:8" ht="15.75" hidden="1" customHeight="1">
      <c r="A308" t="s">
        <v>442</v>
      </c>
      <c r="B308" t="s">
        <v>170</v>
      </c>
      <c r="C308" t="s">
        <v>71</v>
      </c>
      <c r="D308" t="s">
        <v>432</v>
      </c>
      <c r="E308">
        <v>2024</v>
      </c>
      <c r="F308" t="s">
        <v>697</v>
      </c>
      <c r="G308" s="28">
        <f t="shared" si="0"/>
        <v>2027</v>
      </c>
      <c r="H308" t="str">
        <f t="shared" ca="1" si="1"/>
        <v>Valid</v>
      </c>
    </row>
    <row r="309" spans="1:8" ht="15.75" customHeight="1">
      <c r="A309" t="s">
        <v>443</v>
      </c>
      <c r="B309" t="s">
        <v>444</v>
      </c>
      <c r="C309" t="s">
        <v>445</v>
      </c>
      <c r="D309" t="s">
        <v>432</v>
      </c>
      <c r="G309" s="28" t="str">
        <f t="shared" si="0"/>
        <v/>
      </c>
      <c r="H309" t="str">
        <f t="shared" ca="1" si="1"/>
        <v>Valid</v>
      </c>
    </row>
    <row r="310" spans="1:8" ht="15.75" hidden="1" customHeight="1">
      <c r="A310" t="s">
        <v>1023</v>
      </c>
      <c r="B310" t="s">
        <v>1024</v>
      </c>
      <c r="C310" t="s">
        <v>1025</v>
      </c>
      <c r="D310" t="s">
        <v>432</v>
      </c>
      <c r="E310">
        <v>2023</v>
      </c>
      <c r="F310" t="s">
        <v>968</v>
      </c>
      <c r="G310" s="28" t="str">
        <f t="shared" si="0"/>
        <v>Lifetime</v>
      </c>
      <c r="H310" t="str">
        <f t="shared" ca="1" si="1"/>
        <v>Valid</v>
      </c>
    </row>
    <row r="311" spans="1:8" ht="15.75" hidden="1" customHeight="1">
      <c r="A311" t="s">
        <v>1026</v>
      </c>
      <c r="B311" t="s">
        <v>1027</v>
      </c>
      <c r="C311" t="s">
        <v>1025</v>
      </c>
      <c r="D311" t="s">
        <v>432</v>
      </c>
      <c r="E311">
        <v>2023</v>
      </c>
      <c r="F311" t="s">
        <v>968</v>
      </c>
      <c r="G311" s="28" t="str">
        <f t="shared" si="0"/>
        <v>Lifetime</v>
      </c>
      <c r="H311" t="str">
        <f t="shared" ca="1" si="1"/>
        <v>Valid</v>
      </c>
    </row>
    <row r="312" spans="1:8" ht="15.75" customHeight="1">
      <c r="A312" t="s">
        <v>1028</v>
      </c>
      <c r="B312" t="s">
        <v>1029</v>
      </c>
      <c r="C312" t="s">
        <v>1030</v>
      </c>
      <c r="D312" t="s">
        <v>432</v>
      </c>
      <c r="G312" s="28" t="str">
        <f t="shared" si="0"/>
        <v/>
      </c>
      <c r="H312" t="str">
        <f t="shared" ca="1" si="1"/>
        <v>Valid</v>
      </c>
    </row>
    <row r="313" spans="1:8" ht="15.75" hidden="1" customHeight="1">
      <c r="A313" t="s">
        <v>1031</v>
      </c>
      <c r="B313" t="s">
        <v>1032</v>
      </c>
      <c r="C313" t="s">
        <v>1030</v>
      </c>
      <c r="D313" t="s">
        <v>432</v>
      </c>
      <c r="E313">
        <v>2026</v>
      </c>
      <c r="F313" t="s">
        <v>968</v>
      </c>
      <c r="G313" s="28" t="str">
        <f t="shared" si="0"/>
        <v>Lifetime</v>
      </c>
      <c r="H313" t="str">
        <f t="shared" ca="1" si="1"/>
        <v>Valid</v>
      </c>
    </row>
    <row r="314" spans="1:8" ht="15.75" hidden="1" customHeight="1">
      <c r="A314" t="s">
        <v>1033</v>
      </c>
      <c r="B314" t="s">
        <v>1034</v>
      </c>
      <c r="C314" t="s">
        <v>921</v>
      </c>
      <c r="D314" t="s">
        <v>432</v>
      </c>
      <c r="E314">
        <v>2018</v>
      </c>
      <c r="F314" t="s">
        <v>697</v>
      </c>
      <c r="G314" s="28">
        <f t="shared" si="0"/>
        <v>2021</v>
      </c>
      <c r="H314" t="str">
        <f t="shared" ca="1" si="1"/>
        <v>Due</v>
      </c>
    </row>
    <row r="315" spans="1:8" ht="15.75" hidden="1" customHeight="1">
      <c r="A315" t="s">
        <v>1035</v>
      </c>
      <c r="B315" t="s">
        <v>1036</v>
      </c>
      <c r="C315" t="s">
        <v>1037</v>
      </c>
      <c r="D315" t="s">
        <v>432</v>
      </c>
      <c r="E315">
        <v>2026</v>
      </c>
      <c r="F315" s="23" t="s">
        <v>776</v>
      </c>
      <c r="G315" s="28" t="str">
        <f t="shared" si="0"/>
        <v>Lifetime</v>
      </c>
      <c r="H315" t="str">
        <f t="shared" ca="1" si="1"/>
        <v>Valid</v>
      </c>
    </row>
    <row r="316" spans="1:8" ht="15.75" customHeight="1">
      <c r="A316" t="s">
        <v>446</v>
      </c>
      <c r="B316" t="s">
        <v>447</v>
      </c>
      <c r="C316" t="s">
        <v>448</v>
      </c>
      <c r="D316" t="s">
        <v>432</v>
      </c>
      <c r="G316" s="28" t="str">
        <f t="shared" si="0"/>
        <v/>
      </c>
      <c r="H316" t="str">
        <f t="shared" ca="1" si="1"/>
        <v>Valid</v>
      </c>
    </row>
    <row r="317" spans="1:8" ht="15.75" hidden="1" customHeight="1">
      <c r="A317" t="s">
        <v>449</v>
      </c>
      <c r="B317" t="s">
        <v>450</v>
      </c>
      <c r="C317" t="s">
        <v>451</v>
      </c>
      <c r="D317" t="s">
        <v>432</v>
      </c>
      <c r="E317">
        <v>2025</v>
      </c>
      <c r="F317" t="s">
        <v>697</v>
      </c>
      <c r="G317" s="28">
        <f t="shared" si="0"/>
        <v>2028</v>
      </c>
      <c r="H317" t="str">
        <f t="shared" ca="1" si="1"/>
        <v>Valid</v>
      </c>
    </row>
    <row r="318" spans="1:8" ht="15.75" customHeight="1">
      <c r="A318" t="s">
        <v>452</v>
      </c>
      <c r="B318" t="s">
        <v>453</v>
      </c>
      <c r="C318" t="s">
        <v>451</v>
      </c>
      <c r="D318" t="s">
        <v>432</v>
      </c>
      <c r="G318" s="28" t="str">
        <f t="shared" si="0"/>
        <v/>
      </c>
      <c r="H318" t="str">
        <f t="shared" ca="1" si="1"/>
        <v>Valid</v>
      </c>
    </row>
    <row r="319" spans="1:8" ht="15.75" customHeight="1">
      <c r="A319" t="s">
        <v>454</v>
      </c>
      <c r="B319" t="s">
        <v>455</v>
      </c>
      <c r="C319" t="s">
        <v>451</v>
      </c>
      <c r="D319" t="s">
        <v>432</v>
      </c>
      <c r="G319" s="28" t="str">
        <f t="shared" si="0"/>
        <v/>
      </c>
      <c r="H319" t="str">
        <f t="shared" ca="1" si="1"/>
        <v>Valid</v>
      </c>
    </row>
    <row r="320" spans="1:8" ht="15.75" customHeight="1">
      <c r="A320" t="s">
        <v>456</v>
      </c>
      <c r="B320" t="s">
        <v>457</v>
      </c>
      <c r="C320" t="s">
        <v>451</v>
      </c>
      <c r="D320" t="s">
        <v>432</v>
      </c>
      <c r="G320" s="28" t="str">
        <f t="shared" si="0"/>
        <v/>
      </c>
      <c r="H320" t="str">
        <f t="shared" ca="1" si="1"/>
        <v>Valid</v>
      </c>
    </row>
    <row r="321" spans="1:8" ht="15.75" customHeight="1">
      <c r="A321" t="s">
        <v>458</v>
      </c>
      <c r="B321" t="s">
        <v>459</v>
      </c>
      <c r="C321" t="s">
        <v>451</v>
      </c>
      <c r="D321" t="s">
        <v>432</v>
      </c>
      <c r="G321" s="28" t="str">
        <f t="shared" si="0"/>
        <v/>
      </c>
      <c r="H321" t="str">
        <f t="shared" ca="1" si="1"/>
        <v>Valid</v>
      </c>
    </row>
    <row r="322" spans="1:8" ht="15.75" hidden="1" customHeight="1">
      <c r="A322" t="s">
        <v>460</v>
      </c>
      <c r="B322" t="s">
        <v>461</v>
      </c>
      <c r="C322" t="s">
        <v>100</v>
      </c>
      <c r="D322" t="s">
        <v>432</v>
      </c>
      <c r="E322">
        <v>2025</v>
      </c>
      <c r="F322" t="s">
        <v>697</v>
      </c>
      <c r="G322" s="28">
        <f t="shared" si="0"/>
        <v>2028</v>
      </c>
      <c r="H322" t="str">
        <f t="shared" ca="1" si="1"/>
        <v>Valid</v>
      </c>
    </row>
    <row r="323" spans="1:8" ht="15.75" hidden="1" customHeight="1">
      <c r="A323" t="s">
        <v>462</v>
      </c>
      <c r="B323" t="s">
        <v>463</v>
      </c>
      <c r="C323" t="s">
        <v>100</v>
      </c>
      <c r="D323" t="s">
        <v>432</v>
      </c>
      <c r="E323">
        <v>2025</v>
      </c>
      <c r="F323" t="s">
        <v>697</v>
      </c>
      <c r="G323" s="28">
        <f t="shared" si="0"/>
        <v>2028</v>
      </c>
      <c r="H323" t="str">
        <f t="shared" ca="1" si="1"/>
        <v>Valid</v>
      </c>
    </row>
    <row r="324" spans="1:8" ht="15.75" hidden="1" customHeight="1">
      <c r="A324" t="s">
        <v>1038</v>
      </c>
      <c r="B324" t="s">
        <v>1039</v>
      </c>
      <c r="C324" t="s">
        <v>1040</v>
      </c>
      <c r="D324" t="s">
        <v>432</v>
      </c>
      <c r="E324">
        <v>2026</v>
      </c>
      <c r="F324" s="27" t="s">
        <v>776</v>
      </c>
      <c r="G324" s="28" t="str">
        <f t="shared" si="0"/>
        <v>Lifetime</v>
      </c>
      <c r="H324" t="str">
        <f t="shared" ca="1" si="1"/>
        <v>Valid</v>
      </c>
    </row>
    <row r="325" spans="1:8" ht="15.75" hidden="1" customHeight="1">
      <c r="A325" t="s">
        <v>464</v>
      </c>
      <c r="B325" t="s">
        <v>465</v>
      </c>
      <c r="C325" t="s">
        <v>100</v>
      </c>
      <c r="D325" t="s">
        <v>432</v>
      </c>
      <c r="E325">
        <v>2022</v>
      </c>
      <c r="F325" t="s">
        <v>697</v>
      </c>
      <c r="G325" s="28">
        <f t="shared" si="0"/>
        <v>2025</v>
      </c>
      <c r="H325" t="str">
        <f t="shared" ca="1" si="1"/>
        <v>Due</v>
      </c>
    </row>
    <row r="326" spans="1:8" ht="15.75" hidden="1" customHeight="1">
      <c r="A326" t="s">
        <v>466</v>
      </c>
      <c r="B326" t="s">
        <v>467</v>
      </c>
      <c r="C326" t="s">
        <v>468</v>
      </c>
      <c r="D326" t="s">
        <v>432</v>
      </c>
      <c r="E326">
        <v>2021</v>
      </c>
      <c r="F326" t="s">
        <v>697</v>
      </c>
      <c r="G326" s="28">
        <f t="shared" si="0"/>
        <v>2024</v>
      </c>
      <c r="H326" t="str">
        <f t="shared" ca="1" si="1"/>
        <v>Due</v>
      </c>
    </row>
    <row r="327" spans="1:8" ht="15.75" hidden="1" customHeight="1">
      <c r="A327" t="s">
        <v>469</v>
      </c>
      <c r="B327" t="s">
        <v>470</v>
      </c>
      <c r="C327" t="s">
        <v>468</v>
      </c>
      <c r="D327" t="s">
        <v>432</v>
      </c>
      <c r="E327">
        <v>2021</v>
      </c>
      <c r="F327" t="s">
        <v>697</v>
      </c>
      <c r="G327" s="28">
        <f t="shared" si="0"/>
        <v>2024</v>
      </c>
      <c r="H327" t="str">
        <f t="shared" ca="1" si="1"/>
        <v>Due</v>
      </c>
    </row>
    <row r="328" spans="1:8" ht="15.75" hidden="1" customHeight="1">
      <c r="A328" t="s">
        <v>471</v>
      </c>
      <c r="B328" t="s">
        <v>472</v>
      </c>
      <c r="C328" t="s">
        <v>468</v>
      </c>
      <c r="D328" t="s">
        <v>432</v>
      </c>
      <c r="E328">
        <v>2021</v>
      </c>
      <c r="F328" t="s">
        <v>697</v>
      </c>
      <c r="G328" s="28">
        <f t="shared" si="0"/>
        <v>2024</v>
      </c>
      <c r="H328" t="str">
        <f t="shared" ca="1" si="1"/>
        <v>Due</v>
      </c>
    </row>
    <row r="329" spans="1:8" ht="15.75" hidden="1" customHeight="1">
      <c r="A329" t="s">
        <v>473</v>
      </c>
      <c r="B329" t="s">
        <v>474</v>
      </c>
      <c r="C329" t="s">
        <v>468</v>
      </c>
      <c r="D329" t="s">
        <v>432</v>
      </c>
      <c r="E329">
        <v>2021</v>
      </c>
      <c r="F329" t="s">
        <v>697</v>
      </c>
      <c r="G329" s="28">
        <f t="shared" si="0"/>
        <v>2024</v>
      </c>
      <c r="H329" t="str">
        <f t="shared" ca="1" si="1"/>
        <v>Due</v>
      </c>
    </row>
    <row r="330" spans="1:8" ht="15.75" hidden="1" customHeight="1">
      <c r="A330" t="s">
        <v>475</v>
      </c>
      <c r="B330" t="s">
        <v>476</v>
      </c>
      <c r="C330" t="s">
        <v>468</v>
      </c>
      <c r="D330" t="s">
        <v>432</v>
      </c>
      <c r="E330">
        <v>2019</v>
      </c>
      <c r="F330" t="s">
        <v>697</v>
      </c>
      <c r="G330" s="28">
        <f t="shared" si="0"/>
        <v>2022</v>
      </c>
      <c r="H330" t="str">
        <f t="shared" ca="1" si="1"/>
        <v>Due</v>
      </c>
    </row>
    <row r="331" spans="1:8" ht="15.75" hidden="1" customHeight="1">
      <c r="A331" t="s">
        <v>477</v>
      </c>
      <c r="B331" t="s">
        <v>478</v>
      </c>
      <c r="C331" t="s">
        <v>468</v>
      </c>
      <c r="D331" t="s">
        <v>432</v>
      </c>
      <c r="E331">
        <v>2023</v>
      </c>
      <c r="F331" t="s">
        <v>697</v>
      </c>
      <c r="G331" s="28">
        <f t="shared" si="0"/>
        <v>2026</v>
      </c>
      <c r="H331" t="str">
        <f t="shared" ca="1" si="1"/>
        <v>Due</v>
      </c>
    </row>
    <row r="332" spans="1:8" ht="15.75" hidden="1" customHeight="1">
      <c r="A332" t="s">
        <v>479</v>
      </c>
      <c r="B332" t="s">
        <v>480</v>
      </c>
      <c r="C332" t="s">
        <v>468</v>
      </c>
      <c r="D332" t="s">
        <v>432</v>
      </c>
      <c r="E332">
        <v>2019</v>
      </c>
      <c r="F332" t="s">
        <v>697</v>
      </c>
      <c r="G332" s="28">
        <f t="shared" si="0"/>
        <v>2022</v>
      </c>
      <c r="H332" t="str">
        <f t="shared" ca="1" si="1"/>
        <v>Due</v>
      </c>
    </row>
    <row r="333" spans="1:8" ht="15.75" hidden="1" customHeight="1">
      <c r="A333" t="s">
        <v>481</v>
      </c>
      <c r="B333" t="s">
        <v>482</v>
      </c>
      <c r="C333" t="s">
        <v>468</v>
      </c>
      <c r="D333" t="s">
        <v>432</v>
      </c>
      <c r="E333">
        <v>2021</v>
      </c>
      <c r="F333" t="s">
        <v>697</v>
      </c>
      <c r="G333" s="28">
        <f t="shared" si="0"/>
        <v>2024</v>
      </c>
      <c r="H333" t="str">
        <f t="shared" ca="1" si="1"/>
        <v>Due</v>
      </c>
    </row>
    <row r="334" spans="1:8" ht="15.75" hidden="1" customHeight="1">
      <c r="A334" t="s">
        <v>483</v>
      </c>
      <c r="B334" t="s">
        <v>484</v>
      </c>
      <c r="C334" t="s">
        <v>468</v>
      </c>
      <c r="D334" t="s">
        <v>432</v>
      </c>
      <c r="E334">
        <v>2021</v>
      </c>
      <c r="F334" t="s">
        <v>697</v>
      </c>
      <c r="G334" s="28">
        <f t="shared" si="0"/>
        <v>2024</v>
      </c>
      <c r="H334" t="str">
        <f t="shared" ca="1" si="1"/>
        <v>Due</v>
      </c>
    </row>
    <row r="335" spans="1:8" ht="15.75" hidden="1" customHeight="1">
      <c r="A335" t="s">
        <v>485</v>
      </c>
      <c r="B335" t="s">
        <v>486</v>
      </c>
      <c r="C335" t="s">
        <v>468</v>
      </c>
      <c r="D335" t="s">
        <v>432</v>
      </c>
      <c r="E335">
        <v>2023</v>
      </c>
      <c r="F335" t="s">
        <v>697</v>
      </c>
      <c r="G335" s="28">
        <f t="shared" si="0"/>
        <v>2026</v>
      </c>
      <c r="H335" t="str">
        <f t="shared" ca="1" si="1"/>
        <v>Due</v>
      </c>
    </row>
    <row r="336" spans="1:8" ht="15.75" customHeight="1">
      <c r="A336" t="s">
        <v>487</v>
      </c>
      <c r="B336" t="s">
        <v>488</v>
      </c>
      <c r="C336" t="s">
        <v>468</v>
      </c>
      <c r="D336" t="s">
        <v>432</v>
      </c>
      <c r="G336" s="28" t="str">
        <f t="shared" si="0"/>
        <v/>
      </c>
      <c r="H336" t="str">
        <f t="shared" ca="1" si="1"/>
        <v>Valid</v>
      </c>
    </row>
    <row r="337" spans="1:8" ht="15.75" hidden="1" customHeight="1">
      <c r="A337" t="s">
        <v>489</v>
      </c>
      <c r="B337" t="s">
        <v>490</v>
      </c>
      <c r="C337" t="s">
        <v>468</v>
      </c>
      <c r="D337" t="s">
        <v>432</v>
      </c>
      <c r="E337">
        <v>2021</v>
      </c>
      <c r="F337" t="s">
        <v>697</v>
      </c>
      <c r="G337" s="28">
        <f t="shared" si="0"/>
        <v>2024</v>
      </c>
      <c r="H337" t="str">
        <f t="shared" ca="1" si="1"/>
        <v>Due</v>
      </c>
    </row>
    <row r="338" spans="1:8" ht="15.75" hidden="1" customHeight="1">
      <c r="A338" t="s">
        <v>491</v>
      </c>
      <c r="B338" t="s">
        <v>492</v>
      </c>
      <c r="C338" t="s">
        <v>468</v>
      </c>
      <c r="D338" t="s">
        <v>432</v>
      </c>
      <c r="E338">
        <v>2019</v>
      </c>
      <c r="F338" t="s">
        <v>697</v>
      </c>
      <c r="G338" s="28">
        <f t="shared" si="0"/>
        <v>2022</v>
      </c>
      <c r="H338" t="str">
        <f t="shared" ca="1" si="1"/>
        <v>Due</v>
      </c>
    </row>
    <row r="339" spans="1:8" ht="15.75" hidden="1" customHeight="1">
      <c r="A339" t="s">
        <v>493</v>
      </c>
      <c r="B339" t="s">
        <v>494</v>
      </c>
      <c r="C339" t="s">
        <v>468</v>
      </c>
      <c r="D339" t="s">
        <v>432</v>
      </c>
      <c r="E339">
        <v>2023</v>
      </c>
      <c r="F339" t="s">
        <v>697</v>
      </c>
      <c r="G339" s="28">
        <f t="shared" si="0"/>
        <v>2026</v>
      </c>
      <c r="H339" t="str">
        <f t="shared" ca="1" si="1"/>
        <v>Due</v>
      </c>
    </row>
    <row r="340" spans="1:8" ht="15.75" hidden="1" customHeight="1">
      <c r="A340" t="s">
        <v>495</v>
      </c>
      <c r="B340" t="s">
        <v>496</v>
      </c>
      <c r="C340" t="s">
        <v>468</v>
      </c>
      <c r="D340" t="s">
        <v>432</v>
      </c>
      <c r="E340">
        <v>2023</v>
      </c>
      <c r="F340" t="s">
        <v>697</v>
      </c>
      <c r="G340" s="28">
        <f t="shared" si="0"/>
        <v>2026</v>
      </c>
      <c r="H340" t="str">
        <f t="shared" ca="1" si="1"/>
        <v>Due</v>
      </c>
    </row>
    <row r="341" spans="1:8" ht="15.75" hidden="1" customHeight="1">
      <c r="A341" t="s">
        <v>497</v>
      </c>
      <c r="B341" t="s">
        <v>498</v>
      </c>
      <c r="C341" t="s">
        <v>468</v>
      </c>
      <c r="D341" t="s">
        <v>432</v>
      </c>
      <c r="E341">
        <v>2026</v>
      </c>
      <c r="F341" t="s">
        <v>701</v>
      </c>
      <c r="G341" s="28">
        <f t="shared" si="0"/>
        <v>2031</v>
      </c>
      <c r="H341" t="str">
        <f t="shared" ca="1" si="1"/>
        <v>Valid</v>
      </c>
    </row>
    <row r="342" spans="1:8" ht="15.75" customHeight="1">
      <c r="A342" t="s">
        <v>499</v>
      </c>
      <c r="B342" t="s">
        <v>500</v>
      </c>
      <c r="C342" t="s">
        <v>468</v>
      </c>
      <c r="D342" t="s">
        <v>432</v>
      </c>
      <c r="G342" s="28" t="str">
        <f t="shared" si="0"/>
        <v/>
      </c>
      <c r="H342" t="str">
        <f t="shared" ca="1" si="1"/>
        <v>Valid</v>
      </c>
    </row>
    <row r="343" spans="1:8" ht="15.75" hidden="1" customHeight="1">
      <c r="A343" s="26" t="s">
        <v>501</v>
      </c>
      <c r="B343" s="26" t="s">
        <v>502</v>
      </c>
      <c r="C343" s="26" t="s">
        <v>468</v>
      </c>
      <c r="D343" s="26" t="s">
        <v>432</v>
      </c>
      <c r="E343" s="26">
        <v>2023</v>
      </c>
      <c r="F343" s="26" t="s">
        <v>697</v>
      </c>
      <c r="G343" s="30">
        <f t="shared" si="0"/>
        <v>2026</v>
      </c>
      <c r="H343" s="26" t="str">
        <f t="shared" ca="1" si="1"/>
        <v>Due</v>
      </c>
    </row>
    <row r="344" spans="1:8" ht="15.75" customHeight="1">
      <c r="A344" t="s">
        <v>503</v>
      </c>
      <c r="B344" t="s">
        <v>504</v>
      </c>
      <c r="C344" t="s">
        <v>468</v>
      </c>
      <c r="D344" t="s">
        <v>432</v>
      </c>
      <c r="G344" s="28" t="str">
        <f t="shared" si="0"/>
        <v/>
      </c>
      <c r="H344" t="str">
        <f t="shared" ca="1" si="1"/>
        <v>Valid</v>
      </c>
    </row>
    <row r="345" spans="1:8" ht="15.75" hidden="1" customHeight="1">
      <c r="A345" t="s">
        <v>505</v>
      </c>
      <c r="B345" t="s">
        <v>506</v>
      </c>
      <c r="C345" t="s">
        <v>468</v>
      </c>
      <c r="D345" t="s">
        <v>432</v>
      </c>
      <c r="E345">
        <v>2025</v>
      </c>
      <c r="F345" t="s">
        <v>697</v>
      </c>
      <c r="G345" s="28">
        <f t="shared" si="0"/>
        <v>2028</v>
      </c>
      <c r="H345" t="str">
        <f t="shared" ca="1" si="1"/>
        <v>Valid</v>
      </c>
    </row>
    <row r="346" spans="1:8" ht="15.75" customHeight="1">
      <c r="A346" t="s">
        <v>507</v>
      </c>
      <c r="B346" t="s">
        <v>508</v>
      </c>
      <c r="C346" t="s">
        <v>468</v>
      </c>
      <c r="D346" t="s">
        <v>432</v>
      </c>
      <c r="G346" s="28" t="str">
        <f t="shared" si="0"/>
        <v/>
      </c>
      <c r="H346" t="str">
        <f t="shared" ca="1" si="1"/>
        <v>Valid</v>
      </c>
    </row>
    <row r="347" spans="1:8" ht="15.75" hidden="1" customHeight="1">
      <c r="A347" t="s">
        <v>509</v>
      </c>
      <c r="B347" t="s">
        <v>510</v>
      </c>
      <c r="C347" t="s">
        <v>468</v>
      </c>
      <c r="D347" t="s">
        <v>432</v>
      </c>
      <c r="E347">
        <v>2024</v>
      </c>
      <c r="F347" t="s">
        <v>697</v>
      </c>
      <c r="G347" s="28">
        <f t="shared" si="0"/>
        <v>2027</v>
      </c>
      <c r="H347" t="str">
        <f t="shared" ca="1" si="1"/>
        <v>Valid</v>
      </c>
    </row>
    <row r="348" spans="1:8" ht="15.75" hidden="1" customHeight="1">
      <c r="A348" t="s">
        <v>511</v>
      </c>
      <c r="B348" t="s">
        <v>512</v>
      </c>
      <c r="C348" t="s">
        <v>468</v>
      </c>
      <c r="D348" t="s">
        <v>432</v>
      </c>
      <c r="E348">
        <v>2025</v>
      </c>
      <c r="F348" t="s">
        <v>697</v>
      </c>
      <c r="G348" s="28">
        <f t="shared" si="0"/>
        <v>2028</v>
      </c>
      <c r="H348" t="str">
        <f t="shared" ca="1" si="1"/>
        <v>Valid</v>
      </c>
    </row>
    <row r="349" spans="1:8" ht="15.75" hidden="1" customHeight="1">
      <c r="A349" t="s">
        <v>513</v>
      </c>
      <c r="B349" t="s">
        <v>514</v>
      </c>
      <c r="C349" t="s">
        <v>468</v>
      </c>
      <c r="D349" t="s">
        <v>432</v>
      </c>
      <c r="E349">
        <v>2022</v>
      </c>
      <c r="F349" t="s">
        <v>697</v>
      </c>
      <c r="G349" s="28">
        <f t="shared" si="0"/>
        <v>2025</v>
      </c>
      <c r="H349" t="str">
        <f t="shared" ca="1" si="1"/>
        <v>Due</v>
      </c>
    </row>
    <row r="350" spans="1:8" ht="15.75" hidden="1" customHeight="1">
      <c r="A350" t="s">
        <v>515</v>
      </c>
      <c r="B350" t="s">
        <v>516</v>
      </c>
      <c r="C350" t="s">
        <v>468</v>
      </c>
      <c r="D350" t="s">
        <v>432</v>
      </c>
      <c r="E350">
        <v>2023</v>
      </c>
      <c r="F350" t="s">
        <v>697</v>
      </c>
      <c r="G350" s="28">
        <f t="shared" si="0"/>
        <v>2026</v>
      </c>
      <c r="H350" t="str">
        <f t="shared" ca="1" si="1"/>
        <v>Due</v>
      </c>
    </row>
    <row r="351" spans="1:8" ht="15.75" hidden="1" customHeight="1">
      <c r="A351" t="s">
        <v>517</v>
      </c>
      <c r="B351" t="s">
        <v>518</v>
      </c>
      <c r="C351" t="s">
        <v>468</v>
      </c>
      <c r="D351" t="s">
        <v>432</v>
      </c>
      <c r="E351">
        <v>2023</v>
      </c>
      <c r="F351" t="s">
        <v>697</v>
      </c>
      <c r="G351" s="28">
        <f t="shared" si="0"/>
        <v>2026</v>
      </c>
      <c r="H351" t="str">
        <f t="shared" ca="1" si="1"/>
        <v>Due</v>
      </c>
    </row>
    <row r="352" spans="1:8" ht="15.75" hidden="1" customHeight="1">
      <c r="A352" t="s">
        <v>519</v>
      </c>
      <c r="B352" t="s">
        <v>520</v>
      </c>
      <c r="C352" t="s">
        <v>468</v>
      </c>
      <c r="D352" t="s">
        <v>432</v>
      </c>
      <c r="E352">
        <v>2023</v>
      </c>
      <c r="F352" t="s">
        <v>697</v>
      </c>
      <c r="G352" s="28">
        <f t="shared" si="0"/>
        <v>2026</v>
      </c>
      <c r="H352" t="str">
        <f t="shared" ca="1" si="1"/>
        <v>Due</v>
      </c>
    </row>
    <row r="353" spans="1:8" ht="15.75" hidden="1" customHeight="1">
      <c r="A353" t="s">
        <v>521</v>
      </c>
      <c r="B353" t="s">
        <v>522</v>
      </c>
      <c r="C353" t="s">
        <v>100</v>
      </c>
      <c r="D353" t="s">
        <v>432</v>
      </c>
      <c r="E353">
        <v>2025</v>
      </c>
      <c r="F353" t="s">
        <v>697</v>
      </c>
      <c r="G353" s="28">
        <f t="shared" si="0"/>
        <v>2028</v>
      </c>
      <c r="H353" t="str">
        <f t="shared" ca="1" si="1"/>
        <v>Valid</v>
      </c>
    </row>
    <row r="354" spans="1:8" ht="15.75" customHeight="1">
      <c r="A354" t="s">
        <v>523</v>
      </c>
      <c r="B354" t="s">
        <v>524</v>
      </c>
      <c r="C354" t="s">
        <v>468</v>
      </c>
      <c r="D354" t="s">
        <v>432</v>
      </c>
      <c r="G354" s="28" t="str">
        <f t="shared" si="0"/>
        <v/>
      </c>
      <c r="H354" t="str">
        <f t="shared" ca="1" si="1"/>
        <v>Valid</v>
      </c>
    </row>
    <row r="355" spans="1:8" ht="15.75" hidden="1" customHeight="1">
      <c r="A355" t="s">
        <v>525</v>
      </c>
      <c r="B355" t="s">
        <v>526</v>
      </c>
      <c r="C355" t="s">
        <v>468</v>
      </c>
      <c r="D355" t="s">
        <v>432</v>
      </c>
      <c r="E355">
        <v>2022</v>
      </c>
      <c r="F355" t="s">
        <v>697</v>
      </c>
      <c r="G355" s="28">
        <f t="shared" si="0"/>
        <v>2025</v>
      </c>
      <c r="H355" t="str">
        <f t="shared" ca="1" si="1"/>
        <v>Due</v>
      </c>
    </row>
    <row r="356" spans="1:8" ht="15.75" customHeight="1">
      <c r="A356" t="s">
        <v>527</v>
      </c>
      <c r="B356" t="s">
        <v>528</v>
      </c>
      <c r="C356" t="s">
        <v>468</v>
      </c>
      <c r="D356" t="s">
        <v>432</v>
      </c>
      <c r="G356" s="28" t="str">
        <f t="shared" si="0"/>
        <v/>
      </c>
      <c r="H356" t="str">
        <f t="shared" ca="1" si="1"/>
        <v>Valid</v>
      </c>
    </row>
    <row r="357" spans="1:8" ht="15.75" hidden="1" customHeight="1">
      <c r="A357" t="s">
        <v>529</v>
      </c>
      <c r="B357" t="s">
        <v>530</v>
      </c>
      <c r="C357" t="s">
        <v>468</v>
      </c>
      <c r="D357" t="s">
        <v>432</v>
      </c>
      <c r="E357">
        <v>2026</v>
      </c>
      <c r="F357" t="s">
        <v>701</v>
      </c>
      <c r="G357" s="28">
        <f t="shared" si="0"/>
        <v>2031</v>
      </c>
      <c r="H357" t="str">
        <f t="shared" ca="1" si="1"/>
        <v>Valid</v>
      </c>
    </row>
    <row r="358" spans="1:8" ht="15.75" customHeight="1">
      <c r="A358" t="s">
        <v>531</v>
      </c>
      <c r="B358" t="s">
        <v>532</v>
      </c>
      <c r="C358" t="s">
        <v>468</v>
      </c>
      <c r="D358" t="s">
        <v>432</v>
      </c>
      <c r="G358" s="28" t="str">
        <f t="shared" si="0"/>
        <v/>
      </c>
      <c r="H358" t="str">
        <f t="shared" ca="1" si="1"/>
        <v>Valid</v>
      </c>
    </row>
    <row r="359" spans="1:8" ht="15.75" hidden="1" customHeight="1">
      <c r="A359" t="s">
        <v>533</v>
      </c>
      <c r="B359" t="s">
        <v>534</v>
      </c>
      <c r="C359" t="s">
        <v>468</v>
      </c>
      <c r="D359" t="s">
        <v>432</v>
      </c>
      <c r="E359">
        <v>2025</v>
      </c>
      <c r="F359" t="s">
        <v>697</v>
      </c>
      <c r="G359" s="28">
        <f t="shared" si="0"/>
        <v>2028</v>
      </c>
      <c r="H359" t="str">
        <f t="shared" ca="1" si="1"/>
        <v>Valid</v>
      </c>
    </row>
    <row r="360" spans="1:8" ht="15.75" customHeight="1">
      <c r="A360" t="s">
        <v>535</v>
      </c>
      <c r="B360" t="s">
        <v>536</v>
      </c>
      <c r="C360" t="s">
        <v>468</v>
      </c>
      <c r="D360" t="s">
        <v>432</v>
      </c>
      <c r="G360" s="28" t="str">
        <f t="shared" si="0"/>
        <v/>
      </c>
      <c r="H360" t="str">
        <f t="shared" ca="1" si="1"/>
        <v>Valid</v>
      </c>
    </row>
    <row r="361" spans="1:8" ht="15.75" hidden="1" customHeight="1">
      <c r="A361" t="s">
        <v>537</v>
      </c>
      <c r="B361" t="s">
        <v>538</v>
      </c>
      <c r="C361" t="s">
        <v>468</v>
      </c>
      <c r="D361" t="s">
        <v>432</v>
      </c>
      <c r="E361">
        <v>2025</v>
      </c>
      <c r="F361" t="s">
        <v>697</v>
      </c>
      <c r="G361" s="28">
        <f t="shared" si="0"/>
        <v>2028</v>
      </c>
      <c r="H361" t="str">
        <f t="shared" ca="1" si="1"/>
        <v>Valid</v>
      </c>
    </row>
    <row r="362" spans="1:8" ht="15.75" hidden="1" customHeight="1">
      <c r="A362" t="s">
        <v>539</v>
      </c>
      <c r="B362" t="s">
        <v>540</v>
      </c>
      <c r="C362" t="s">
        <v>468</v>
      </c>
      <c r="D362" t="s">
        <v>432</v>
      </c>
      <c r="E362">
        <v>2025</v>
      </c>
      <c r="F362" t="s">
        <v>697</v>
      </c>
      <c r="G362" s="28">
        <f t="shared" si="0"/>
        <v>2028</v>
      </c>
      <c r="H362" t="str">
        <f t="shared" ca="1" si="1"/>
        <v>Valid</v>
      </c>
    </row>
    <row r="363" spans="1:8" ht="15.75" hidden="1" customHeight="1">
      <c r="A363" t="s">
        <v>541</v>
      </c>
      <c r="B363" t="s">
        <v>542</v>
      </c>
      <c r="C363" t="s">
        <v>468</v>
      </c>
      <c r="D363" t="s">
        <v>432</v>
      </c>
      <c r="E363">
        <v>2025</v>
      </c>
      <c r="F363" t="s">
        <v>697</v>
      </c>
      <c r="G363" s="28">
        <f t="shared" si="0"/>
        <v>2028</v>
      </c>
      <c r="H363" t="str">
        <f t="shared" ca="1" si="1"/>
        <v>Valid</v>
      </c>
    </row>
    <row r="364" spans="1:8" ht="15.75" hidden="1" customHeight="1">
      <c r="A364" t="s">
        <v>543</v>
      </c>
      <c r="B364" t="s">
        <v>544</v>
      </c>
      <c r="C364" t="s">
        <v>468</v>
      </c>
      <c r="D364" t="s">
        <v>432</v>
      </c>
      <c r="E364">
        <v>2025</v>
      </c>
      <c r="F364" t="s">
        <v>697</v>
      </c>
      <c r="G364" s="28">
        <f t="shared" si="0"/>
        <v>2028</v>
      </c>
      <c r="H364" t="str">
        <f t="shared" ca="1" si="1"/>
        <v>Valid</v>
      </c>
    </row>
    <row r="365" spans="1:8" ht="15.75" hidden="1" customHeight="1">
      <c r="A365" t="s">
        <v>1041</v>
      </c>
      <c r="B365" t="s">
        <v>1042</v>
      </c>
      <c r="C365" t="s">
        <v>1043</v>
      </c>
      <c r="D365" t="s">
        <v>432</v>
      </c>
      <c r="E365">
        <v>2025</v>
      </c>
      <c r="F365" t="s">
        <v>776</v>
      </c>
      <c r="G365" s="28" t="str">
        <f t="shared" si="0"/>
        <v>Lifetime</v>
      </c>
      <c r="H365" t="str">
        <f t="shared" ca="1" si="1"/>
        <v>Valid</v>
      </c>
    </row>
    <row r="366" spans="1:8" ht="15.75" hidden="1" customHeight="1">
      <c r="A366" t="s">
        <v>1044</v>
      </c>
      <c r="B366" t="s">
        <v>1045</v>
      </c>
      <c r="C366" t="s">
        <v>1043</v>
      </c>
      <c r="D366" t="s">
        <v>432</v>
      </c>
      <c r="E366">
        <v>2023</v>
      </c>
      <c r="F366" t="s">
        <v>701</v>
      </c>
      <c r="G366" s="28">
        <f t="shared" si="0"/>
        <v>2028</v>
      </c>
      <c r="H366" t="str">
        <f t="shared" ca="1" si="1"/>
        <v>Valid</v>
      </c>
    </row>
    <row r="367" spans="1:8" ht="15.75" hidden="1" customHeight="1">
      <c r="A367" t="s">
        <v>1046</v>
      </c>
      <c r="B367" t="s">
        <v>1047</v>
      </c>
      <c r="C367" t="s">
        <v>1048</v>
      </c>
      <c r="D367" t="s">
        <v>432</v>
      </c>
      <c r="E367">
        <v>2026</v>
      </c>
      <c r="F367" t="s">
        <v>776</v>
      </c>
      <c r="G367" s="28" t="str">
        <f t="shared" si="0"/>
        <v>Lifetime</v>
      </c>
      <c r="H367" t="str">
        <f t="shared" ca="1" si="1"/>
        <v>Valid</v>
      </c>
    </row>
    <row r="368" spans="1:8" ht="15.75" hidden="1" customHeight="1">
      <c r="A368" t="s">
        <v>1049</v>
      </c>
      <c r="B368" t="s">
        <v>1050</v>
      </c>
      <c r="C368" t="s">
        <v>1048</v>
      </c>
      <c r="D368" t="s">
        <v>432</v>
      </c>
      <c r="E368">
        <v>2026</v>
      </c>
      <c r="F368" t="s">
        <v>776</v>
      </c>
      <c r="G368" s="28" t="str">
        <f t="shared" si="0"/>
        <v>Lifetime</v>
      </c>
      <c r="H368" t="str">
        <f t="shared" ca="1" si="1"/>
        <v>Valid</v>
      </c>
    </row>
    <row r="369" spans="1:8" ht="15.75" customHeight="1">
      <c r="A369" t="s">
        <v>1051</v>
      </c>
      <c r="B369" t="s">
        <v>1052</v>
      </c>
      <c r="C369" t="s">
        <v>1048</v>
      </c>
      <c r="D369" t="s">
        <v>432</v>
      </c>
      <c r="G369" s="28" t="str">
        <f t="shared" si="0"/>
        <v/>
      </c>
      <c r="H369" t="str">
        <f t="shared" ca="1" si="1"/>
        <v>Valid</v>
      </c>
    </row>
    <row r="370" spans="1:8" ht="15.75" customHeight="1">
      <c r="A370" t="s">
        <v>1053</v>
      </c>
      <c r="B370" t="s">
        <v>1054</v>
      </c>
      <c r="C370" t="s">
        <v>1048</v>
      </c>
      <c r="D370" t="s">
        <v>432</v>
      </c>
      <c r="G370" s="28" t="str">
        <f t="shared" si="0"/>
        <v/>
      </c>
      <c r="H370" t="str">
        <f t="shared" ca="1" si="1"/>
        <v>Valid</v>
      </c>
    </row>
    <row r="371" spans="1:8" ht="15.75" hidden="1" customHeight="1">
      <c r="A371" t="s">
        <v>1055</v>
      </c>
      <c r="B371" t="s">
        <v>1056</v>
      </c>
      <c r="C371" t="s">
        <v>1057</v>
      </c>
      <c r="D371" t="s">
        <v>432</v>
      </c>
      <c r="E371">
        <v>2018</v>
      </c>
      <c r="F371" t="s">
        <v>776</v>
      </c>
      <c r="G371" s="28" t="str">
        <f t="shared" si="0"/>
        <v>Lifetime</v>
      </c>
      <c r="H371" t="str">
        <f t="shared" ca="1" si="1"/>
        <v>Valid</v>
      </c>
    </row>
    <row r="372" spans="1:8" ht="15.75" hidden="1" customHeight="1">
      <c r="A372" t="s">
        <v>1058</v>
      </c>
      <c r="B372" t="s">
        <v>1059</v>
      </c>
      <c r="C372" t="s">
        <v>1057</v>
      </c>
      <c r="D372" t="s">
        <v>432</v>
      </c>
      <c r="E372">
        <v>2018</v>
      </c>
      <c r="F372" t="s">
        <v>776</v>
      </c>
      <c r="G372" s="28" t="str">
        <f t="shared" si="0"/>
        <v>Lifetime</v>
      </c>
      <c r="H372" t="str">
        <f t="shared" ca="1" si="1"/>
        <v>Valid</v>
      </c>
    </row>
    <row r="373" spans="1:8" ht="15.75" hidden="1" customHeight="1">
      <c r="A373" t="s">
        <v>1060</v>
      </c>
      <c r="B373" t="s">
        <v>1061</v>
      </c>
      <c r="C373" t="s">
        <v>1057</v>
      </c>
      <c r="D373" t="s">
        <v>432</v>
      </c>
      <c r="E373">
        <v>2022</v>
      </c>
      <c r="F373" t="s">
        <v>968</v>
      </c>
      <c r="G373" s="28" t="str">
        <f t="shared" si="0"/>
        <v>Lifetime</v>
      </c>
      <c r="H373" t="str">
        <f t="shared" ca="1" si="1"/>
        <v>Valid</v>
      </c>
    </row>
    <row r="374" spans="1:8" ht="15.75" hidden="1" customHeight="1">
      <c r="A374" t="s">
        <v>1062</v>
      </c>
      <c r="B374" t="s">
        <v>1063</v>
      </c>
      <c r="C374" t="s">
        <v>1057</v>
      </c>
      <c r="D374" t="s">
        <v>432</v>
      </c>
      <c r="E374">
        <v>2023</v>
      </c>
      <c r="F374" t="s">
        <v>968</v>
      </c>
      <c r="G374" s="28" t="str">
        <f t="shared" si="0"/>
        <v>Lifetime</v>
      </c>
      <c r="H374" t="str">
        <f t="shared" ca="1" si="1"/>
        <v>Valid</v>
      </c>
    </row>
    <row r="375" spans="1:8" ht="15.75" hidden="1" customHeight="1">
      <c r="A375" t="s">
        <v>1064</v>
      </c>
      <c r="B375" t="s">
        <v>1065</v>
      </c>
      <c r="C375" t="s">
        <v>1057</v>
      </c>
      <c r="D375" t="s">
        <v>432</v>
      </c>
      <c r="E375">
        <v>2023</v>
      </c>
      <c r="F375" t="s">
        <v>968</v>
      </c>
      <c r="G375" s="28" t="str">
        <f t="shared" si="0"/>
        <v>Lifetime</v>
      </c>
      <c r="H375" t="str">
        <f t="shared" ca="1" si="1"/>
        <v>Valid</v>
      </c>
    </row>
    <row r="376" spans="1:8" ht="15.75" customHeight="1">
      <c r="A376" t="s">
        <v>545</v>
      </c>
      <c r="B376" t="s">
        <v>546</v>
      </c>
      <c r="C376" t="s">
        <v>46</v>
      </c>
      <c r="D376" t="s">
        <v>432</v>
      </c>
      <c r="G376" s="28" t="str">
        <f t="shared" si="0"/>
        <v/>
      </c>
      <c r="H376" t="str">
        <f t="shared" ca="1" si="1"/>
        <v>Valid</v>
      </c>
    </row>
    <row r="377" spans="1:8" ht="15.75" hidden="1" customHeight="1">
      <c r="A377" t="s">
        <v>547</v>
      </c>
      <c r="B377" t="s">
        <v>548</v>
      </c>
      <c r="C377" t="s">
        <v>46</v>
      </c>
      <c r="D377" t="s">
        <v>432</v>
      </c>
      <c r="E377">
        <v>2019</v>
      </c>
      <c r="F377" t="s">
        <v>697</v>
      </c>
      <c r="G377" s="28">
        <f t="shared" si="0"/>
        <v>2022</v>
      </c>
      <c r="H377" t="str">
        <f t="shared" ca="1" si="1"/>
        <v>Due</v>
      </c>
    </row>
    <row r="378" spans="1:8" ht="15.75" hidden="1" customHeight="1">
      <c r="A378" t="s">
        <v>549</v>
      </c>
      <c r="B378" t="s">
        <v>550</v>
      </c>
      <c r="C378" t="s">
        <v>46</v>
      </c>
      <c r="D378" t="s">
        <v>432</v>
      </c>
      <c r="E378">
        <v>2022</v>
      </c>
      <c r="F378" t="s">
        <v>697</v>
      </c>
      <c r="G378" s="28">
        <f t="shared" si="0"/>
        <v>2025</v>
      </c>
      <c r="H378" t="str">
        <f t="shared" ca="1" si="1"/>
        <v>Due</v>
      </c>
    </row>
    <row r="379" spans="1:8" ht="15.75" hidden="1" customHeight="1">
      <c r="A379" t="s">
        <v>551</v>
      </c>
      <c r="B379" t="s">
        <v>552</v>
      </c>
      <c r="C379" t="s">
        <v>46</v>
      </c>
      <c r="D379" t="s">
        <v>432</v>
      </c>
      <c r="E379">
        <v>2022</v>
      </c>
      <c r="F379" t="s">
        <v>697</v>
      </c>
      <c r="G379" s="28">
        <f t="shared" si="0"/>
        <v>2025</v>
      </c>
      <c r="H379" t="str">
        <f t="shared" ca="1" si="1"/>
        <v>Due</v>
      </c>
    </row>
    <row r="380" spans="1:8" ht="15.75" customHeight="1">
      <c r="A380" t="s">
        <v>1066</v>
      </c>
      <c r="B380" t="s">
        <v>1067</v>
      </c>
      <c r="C380" t="s">
        <v>1068</v>
      </c>
      <c r="D380" t="s">
        <v>432</v>
      </c>
      <c r="G380" s="28" t="str">
        <f t="shared" si="0"/>
        <v/>
      </c>
      <c r="H380" t="str">
        <f t="shared" ca="1" si="1"/>
        <v>Valid</v>
      </c>
    </row>
    <row r="381" spans="1:8" ht="15.75" hidden="1" customHeight="1">
      <c r="A381" t="s">
        <v>553</v>
      </c>
      <c r="B381" t="s">
        <v>554</v>
      </c>
      <c r="C381" t="s">
        <v>46</v>
      </c>
      <c r="D381" t="s">
        <v>432</v>
      </c>
      <c r="E381">
        <v>2025</v>
      </c>
      <c r="F381" t="s">
        <v>697</v>
      </c>
      <c r="G381" s="28">
        <f t="shared" si="0"/>
        <v>2028</v>
      </c>
      <c r="H381" t="str">
        <f t="shared" ca="1" si="1"/>
        <v>Valid</v>
      </c>
    </row>
    <row r="382" spans="1:8" ht="15.75" hidden="1" customHeight="1">
      <c r="A382" t="s">
        <v>555</v>
      </c>
      <c r="B382" t="s">
        <v>556</v>
      </c>
      <c r="C382" t="s">
        <v>46</v>
      </c>
      <c r="D382" t="s">
        <v>432</v>
      </c>
      <c r="E382">
        <v>2019</v>
      </c>
      <c r="F382" t="s">
        <v>697</v>
      </c>
      <c r="G382" s="28">
        <f t="shared" si="0"/>
        <v>2022</v>
      </c>
      <c r="H382" t="str">
        <f t="shared" ca="1" si="1"/>
        <v>Due</v>
      </c>
    </row>
    <row r="383" spans="1:8" ht="15.75" hidden="1" customHeight="1">
      <c r="A383" t="s">
        <v>557</v>
      </c>
      <c r="B383" t="s">
        <v>558</v>
      </c>
      <c r="C383" t="s">
        <v>46</v>
      </c>
      <c r="D383" t="s">
        <v>432</v>
      </c>
      <c r="E383">
        <v>2019</v>
      </c>
      <c r="F383" t="s">
        <v>697</v>
      </c>
      <c r="G383" s="28">
        <f t="shared" si="0"/>
        <v>2022</v>
      </c>
      <c r="H383" t="str">
        <f t="shared" ca="1" si="1"/>
        <v>Due</v>
      </c>
    </row>
    <row r="384" spans="1:8" ht="15.75" hidden="1" customHeight="1">
      <c r="A384" t="s">
        <v>559</v>
      </c>
      <c r="B384" t="s">
        <v>560</v>
      </c>
      <c r="C384" t="s">
        <v>46</v>
      </c>
      <c r="D384" t="s">
        <v>432</v>
      </c>
      <c r="E384">
        <v>2018</v>
      </c>
      <c r="F384" t="s">
        <v>697</v>
      </c>
      <c r="G384" s="28">
        <f t="shared" si="0"/>
        <v>2021</v>
      </c>
      <c r="H384" t="str">
        <f t="shared" ca="1" si="1"/>
        <v>Due</v>
      </c>
    </row>
    <row r="385" spans="1:8" ht="15.75" hidden="1" customHeight="1">
      <c r="A385" t="s">
        <v>561</v>
      </c>
      <c r="B385" t="s">
        <v>562</v>
      </c>
      <c r="C385" t="s">
        <v>46</v>
      </c>
      <c r="D385" t="s">
        <v>432</v>
      </c>
      <c r="E385">
        <v>2018</v>
      </c>
      <c r="F385" t="s">
        <v>776</v>
      </c>
      <c r="G385" s="28" t="str">
        <f t="shared" si="0"/>
        <v>Lifetime</v>
      </c>
      <c r="H385" t="str">
        <f t="shared" ca="1" si="1"/>
        <v>Valid</v>
      </c>
    </row>
    <row r="386" spans="1:8" ht="15.75" hidden="1" customHeight="1">
      <c r="A386" t="s">
        <v>563</v>
      </c>
      <c r="B386" t="s">
        <v>564</v>
      </c>
      <c r="C386" t="s">
        <v>46</v>
      </c>
      <c r="D386" t="s">
        <v>432</v>
      </c>
      <c r="E386">
        <v>2018</v>
      </c>
      <c r="F386" t="s">
        <v>697</v>
      </c>
      <c r="G386" s="28">
        <f t="shared" si="0"/>
        <v>2021</v>
      </c>
      <c r="H386" t="str">
        <f t="shared" ca="1" si="1"/>
        <v>Due</v>
      </c>
    </row>
    <row r="387" spans="1:8" ht="15.75" hidden="1" customHeight="1">
      <c r="A387" t="s">
        <v>1069</v>
      </c>
      <c r="B387" t="s">
        <v>1070</v>
      </c>
      <c r="C387" t="s">
        <v>1068</v>
      </c>
      <c r="D387" t="s">
        <v>432</v>
      </c>
      <c r="E387">
        <v>2025</v>
      </c>
      <c r="F387" t="s">
        <v>968</v>
      </c>
      <c r="G387" s="28" t="str">
        <f t="shared" si="0"/>
        <v>Lifetime</v>
      </c>
      <c r="H387" t="str">
        <f t="shared" ca="1" si="1"/>
        <v>Valid</v>
      </c>
    </row>
    <row r="388" spans="1:8" ht="15.75" hidden="1" customHeight="1">
      <c r="A388" t="s">
        <v>565</v>
      </c>
      <c r="B388" t="s">
        <v>566</v>
      </c>
      <c r="C388" t="s">
        <v>146</v>
      </c>
      <c r="D388" t="s">
        <v>432</v>
      </c>
      <c r="E388">
        <v>2025</v>
      </c>
      <c r="F388" t="s">
        <v>697</v>
      </c>
      <c r="G388" s="28">
        <f t="shared" si="0"/>
        <v>2028</v>
      </c>
      <c r="H388" t="str">
        <f t="shared" ca="1" si="1"/>
        <v>Valid</v>
      </c>
    </row>
    <row r="389" spans="1:8" ht="15.75" hidden="1" customHeight="1">
      <c r="A389" t="s">
        <v>567</v>
      </c>
      <c r="B389" t="s">
        <v>568</v>
      </c>
      <c r="C389" t="s">
        <v>146</v>
      </c>
      <c r="D389" t="s">
        <v>432</v>
      </c>
      <c r="E389">
        <v>2018</v>
      </c>
      <c r="F389" t="s">
        <v>776</v>
      </c>
      <c r="G389" s="28" t="str">
        <f t="shared" si="0"/>
        <v>Lifetime</v>
      </c>
      <c r="H389" t="str">
        <f t="shared" ca="1" si="1"/>
        <v>Valid</v>
      </c>
    </row>
    <row r="390" spans="1:8" ht="15.75" customHeight="1">
      <c r="A390" t="s">
        <v>569</v>
      </c>
      <c r="B390" t="s">
        <v>570</v>
      </c>
      <c r="C390" t="s">
        <v>146</v>
      </c>
      <c r="D390" t="s">
        <v>432</v>
      </c>
      <c r="G390" s="28" t="str">
        <f t="shared" si="0"/>
        <v/>
      </c>
      <c r="H390" t="str">
        <f t="shared" ca="1" si="1"/>
        <v>Valid</v>
      </c>
    </row>
    <row r="391" spans="1:8" ht="15.75" hidden="1" customHeight="1">
      <c r="A391" t="s">
        <v>571</v>
      </c>
      <c r="B391" t="s">
        <v>572</v>
      </c>
      <c r="C391" t="s">
        <v>146</v>
      </c>
      <c r="D391" t="s">
        <v>432</v>
      </c>
      <c r="E391">
        <v>2016</v>
      </c>
      <c r="F391" t="s">
        <v>701</v>
      </c>
      <c r="G391" s="28">
        <f t="shared" si="0"/>
        <v>2021</v>
      </c>
      <c r="H391" t="str">
        <f t="shared" ca="1" si="1"/>
        <v>Due</v>
      </c>
    </row>
    <row r="392" spans="1:8" ht="15.75" customHeight="1">
      <c r="A392" t="s">
        <v>573</v>
      </c>
      <c r="B392" t="s">
        <v>574</v>
      </c>
      <c r="C392" t="s">
        <v>146</v>
      </c>
      <c r="D392" t="s">
        <v>432</v>
      </c>
      <c r="G392" s="28" t="str">
        <f t="shared" si="0"/>
        <v/>
      </c>
      <c r="H392" t="str">
        <f t="shared" ca="1" si="1"/>
        <v>Valid</v>
      </c>
    </row>
    <row r="393" spans="1:8" ht="15.75" hidden="1" customHeight="1">
      <c r="A393" t="s">
        <v>575</v>
      </c>
      <c r="B393" t="s">
        <v>576</v>
      </c>
      <c r="C393" t="s">
        <v>146</v>
      </c>
      <c r="D393" t="s">
        <v>432</v>
      </c>
      <c r="E393">
        <v>2019</v>
      </c>
      <c r="F393" t="s">
        <v>697</v>
      </c>
      <c r="G393" s="28">
        <f t="shared" si="0"/>
        <v>2022</v>
      </c>
      <c r="H393" t="str">
        <f t="shared" ca="1" si="1"/>
        <v>Due</v>
      </c>
    </row>
    <row r="394" spans="1:8" ht="15.75" customHeight="1">
      <c r="A394" t="s">
        <v>577</v>
      </c>
      <c r="B394" t="s">
        <v>578</v>
      </c>
      <c r="C394" t="s">
        <v>146</v>
      </c>
      <c r="D394" t="s">
        <v>432</v>
      </c>
      <c r="G394" s="28" t="str">
        <f t="shared" si="0"/>
        <v/>
      </c>
      <c r="H394" t="str">
        <f t="shared" ca="1" si="1"/>
        <v>Valid</v>
      </c>
    </row>
    <row r="395" spans="1:8" ht="15.75" hidden="1" customHeight="1">
      <c r="A395" t="s">
        <v>579</v>
      </c>
      <c r="B395" t="s">
        <v>580</v>
      </c>
      <c r="C395" t="s">
        <v>146</v>
      </c>
      <c r="D395" t="s">
        <v>432</v>
      </c>
      <c r="E395">
        <v>2017</v>
      </c>
      <c r="F395" t="s">
        <v>697</v>
      </c>
      <c r="G395" s="28">
        <f t="shared" si="0"/>
        <v>2020</v>
      </c>
      <c r="H395" t="str">
        <f t="shared" ca="1" si="1"/>
        <v>Due</v>
      </c>
    </row>
    <row r="396" spans="1:8" ht="15.75" hidden="1" customHeight="1">
      <c r="A396" t="s">
        <v>581</v>
      </c>
      <c r="B396" t="s">
        <v>582</v>
      </c>
      <c r="C396" t="s">
        <v>146</v>
      </c>
      <c r="D396" t="s">
        <v>432</v>
      </c>
      <c r="E396">
        <v>2018</v>
      </c>
      <c r="F396" t="s">
        <v>697</v>
      </c>
      <c r="G396" s="28">
        <f t="shared" si="0"/>
        <v>2021</v>
      </c>
      <c r="H396" t="str">
        <f t="shared" ca="1" si="1"/>
        <v>Due</v>
      </c>
    </row>
    <row r="397" spans="1:8" ht="15.75" hidden="1" customHeight="1">
      <c r="A397" t="s">
        <v>583</v>
      </c>
      <c r="B397" t="s">
        <v>584</v>
      </c>
      <c r="C397" t="s">
        <v>146</v>
      </c>
      <c r="D397" t="s">
        <v>432</v>
      </c>
      <c r="E397">
        <v>2019</v>
      </c>
      <c r="F397" t="s">
        <v>697</v>
      </c>
      <c r="G397" s="28">
        <f t="shared" si="0"/>
        <v>2022</v>
      </c>
      <c r="H397" t="str">
        <f t="shared" ca="1" si="1"/>
        <v>Due</v>
      </c>
    </row>
    <row r="398" spans="1:8" ht="15.75" hidden="1" customHeight="1">
      <c r="A398" t="s">
        <v>585</v>
      </c>
      <c r="B398" t="s">
        <v>586</v>
      </c>
      <c r="C398" t="s">
        <v>146</v>
      </c>
      <c r="D398" t="s">
        <v>432</v>
      </c>
      <c r="E398">
        <v>2019</v>
      </c>
      <c r="F398" t="s">
        <v>697</v>
      </c>
      <c r="G398" s="28">
        <f t="shared" si="0"/>
        <v>2022</v>
      </c>
      <c r="H398" t="str">
        <f t="shared" ca="1" si="1"/>
        <v>Due</v>
      </c>
    </row>
    <row r="399" spans="1:8" ht="15.75" hidden="1" customHeight="1">
      <c r="A399" t="s">
        <v>587</v>
      </c>
      <c r="B399" t="s">
        <v>588</v>
      </c>
      <c r="C399" t="s">
        <v>146</v>
      </c>
      <c r="D399" t="s">
        <v>432</v>
      </c>
      <c r="E399">
        <v>2017</v>
      </c>
      <c r="F399" t="s">
        <v>697</v>
      </c>
      <c r="G399" s="28">
        <f t="shared" si="0"/>
        <v>2020</v>
      </c>
      <c r="H399" t="str">
        <f t="shared" ca="1" si="1"/>
        <v>Due</v>
      </c>
    </row>
    <row r="400" spans="1:8" ht="15.75" customHeight="1">
      <c r="A400" t="s">
        <v>589</v>
      </c>
      <c r="B400" t="s">
        <v>590</v>
      </c>
      <c r="C400" t="s">
        <v>71</v>
      </c>
      <c r="D400" t="s">
        <v>432</v>
      </c>
      <c r="G400" s="28" t="str">
        <f t="shared" si="0"/>
        <v/>
      </c>
      <c r="H400" t="str">
        <f t="shared" ca="1" si="1"/>
        <v>Valid</v>
      </c>
    </row>
    <row r="401" spans="1:8" ht="15.75" hidden="1" customHeight="1">
      <c r="A401" t="s">
        <v>1071</v>
      </c>
      <c r="B401" t="s">
        <v>1072</v>
      </c>
      <c r="C401" t="s">
        <v>1068</v>
      </c>
      <c r="D401" t="s">
        <v>432</v>
      </c>
      <c r="E401">
        <v>2025</v>
      </c>
      <c r="F401" t="s">
        <v>968</v>
      </c>
      <c r="G401" s="28" t="str">
        <f t="shared" si="0"/>
        <v>Lifetime</v>
      </c>
      <c r="H401" t="str">
        <f t="shared" ca="1" si="1"/>
        <v>Valid</v>
      </c>
    </row>
    <row r="402" spans="1:8" ht="15.75" customHeight="1">
      <c r="A402" t="s">
        <v>591</v>
      </c>
      <c r="B402" t="s">
        <v>592</v>
      </c>
      <c r="C402" t="s">
        <v>71</v>
      </c>
      <c r="D402" t="s">
        <v>432</v>
      </c>
      <c r="G402" s="28" t="str">
        <f t="shared" si="0"/>
        <v/>
      </c>
      <c r="H402" t="str">
        <f t="shared" ca="1" si="1"/>
        <v>Valid</v>
      </c>
    </row>
    <row r="403" spans="1:8" ht="15.75" hidden="1" customHeight="1">
      <c r="A403" t="s">
        <v>593</v>
      </c>
      <c r="B403" t="s">
        <v>594</v>
      </c>
      <c r="C403" t="s">
        <v>71</v>
      </c>
      <c r="D403" t="s">
        <v>432</v>
      </c>
      <c r="E403">
        <v>2016</v>
      </c>
      <c r="F403" t="s">
        <v>701</v>
      </c>
      <c r="G403" s="28">
        <f t="shared" si="0"/>
        <v>2021</v>
      </c>
      <c r="H403" t="str">
        <f t="shared" ca="1" si="1"/>
        <v>Due</v>
      </c>
    </row>
    <row r="404" spans="1:8" ht="15.75" hidden="1" customHeight="1">
      <c r="A404" t="s">
        <v>1073</v>
      </c>
      <c r="B404" t="s">
        <v>1074</v>
      </c>
      <c r="C404" t="s">
        <v>1068</v>
      </c>
      <c r="D404" t="s">
        <v>432</v>
      </c>
      <c r="E404">
        <v>2016</v>
      </c>
      <c r="F404" t="s">
        <v>776</v>
      </c>
      <c r="G404" s="28" t="str">
        <f t="shared" si="0"/>
        <v>Lifetime</v>
      </c>
      <c r="H404" t="str">
        <f t="shared" ca="1" si="1"/>
        <v>Valid</v>
      </c>
    </row>
    <row r="405" spans="1:8" ht="15.75" hidden="1" customHeight="1">
      <c r="A405" t="s">
        <v>595</v>
      </c>
      <c r="B405" t="s">
        <v>596</v>
      </c>
      <c r="C405" t="s">
        <v>445</v>
      </c>
      <c r="D405" t="s">
        <v>432</v>
      </c>
      <c r="E405">
        <v>2022</v>
      </c>
      <c r="F405" t="s">
        <v>697</v>
      </c>
      <c r="G405" s="28">
        <f t="shared" si="0"/>
        <v>2025</v>
      </c>
      <c r="H405" t="str">
        <f t="shared" ca="1" si="1"/>
        <v>Due</v>
      </c>
    </row>
    <row r="406" spans="1:8" ht="15.75" customHeight="1">
      <c r="A406" t="s">
        <v>597</v>
      </c>
      <c r="B406" t="s">
        <v>598</v>
      </c>
      <c r="C406" t="s">
        <v>599</v>
      </c>
      <c r="D406" t="s">
        <v>432</v>
      </c>
      <c r="G406" s="28" t="str">
        <f t="shared" si="0"/>
        <v/>
      </c>
      <c r="H406" t="str">
        <f t="shared" ca="1" si="1"/>
        <v>Valid</v>
      </c>
    </row>
    <row r="407" spans="1:8" ht="15.75" hidden="1" customHeight="1">
      <c r="A407" t="s">
        <v>600</v>
      </c>
      <c r="B407" t="s">
        <v>601</v>
      </c>
      <c r="C407" t="s">
        <v>175</v>
      </c>
      <c r="D407" t="s">
        <v>432</v>
      </c>
      <c r="E407">
        <v>2023</v>
      </c>
      <c r="F407" t="s">
        <v>697</v>
      </c>
      <c r="G407" s="28">
        <f t="shared" si="0"/>
        <v>2026</v>
      </c>
      <c r="H407" t="str">
        <f t="shared" ca="1" si="1"/>
        <v>Due</v>
      </c>
    </row>
    <row r="408" spans="1:8" ht="15.75" customHeight="1">
      <c r="A408" t="s">
        <v>602</v>
      </c>
      <c r="B408" t="s">
        <v>603</v>
      </c>
      <c r="C408" t="s">
        <v>599</v>
      </c>
      <c r="D408" t="s">
        <v>432</v>
      </c>
      <c r="G408" s="28" t="str">
        <f t="shared" si="0"/>
        <v/>
      </c>
      <c r="H408" t="str">
        <f t="shared" ca="1" si="1"/>
        <v>Valid</v>
      </c>
    </row>
    <row r="409" spans="1:8" ht="15.75" customHeight="1">
      <c r="A409" t="s">
        <v>604</v>
      </c>
      <c r="B409" t="s">
        <v>605</v>
      </c>
      <c r="C409" t="s">
        <v>175</v>
      </c>
      <c r="D409" t="s">
        <v>432</v>
      </c>
      <c r="G409" s="28" t="str">
        <f t="shared" si="0"/>
        <v/>
      </c>
      <c r="H409" t="str">
        <f t="shared" ca="1" si="1"/>
        <v>Valid</v>
      </c>
    </row>
    <row r="410" spans="1:8" ht="15.75" customHeight="1">
      <c r="A410" t="s">
        <v>606</v>
      </c>
      <c r="B410" t="s">
        <v>607</v>
      </c>
      <c r="C410" t="s">
        <v>71</v>
      </c>
      <c r="D410" t="s">
        <v>432</v>
      </c>
      <c r="G410" s="28" t="str">
        <f t="shared" si="0"/>
        <v/>
      </c>
      <c r="H410" t="str">
        <f t="shared" ca="1" si="1"/>
        <v>Valid</v>
      </c>
    </row>
    <row r="411" spans="1:8" ht="15.75" customHeight="1">
      <c r="A411" t="s">
        <v>608</v>
      </c>
      <c r="B411" t="s">
        <v>609</v>
      </c>
      <c r="C411" t="s">
        <v>89</v>
      </c>
      <c r="D411" t="s">
        <v>432</v>
      </c>
      <c r="G411" s="28" t="str">
        <f t="shared" si="0"/>
        <v/>
      </c>
      <c r="H411" t="str">
        <f t="shared" ca="1" si="1"/>
        <v>Valid</v>
      </c>
    </row>
    <row r="412" spans="1:8" ht="15.75" hidden="1" customHeight="1">
      <c r="A412" t="s">
        <v>610</v>
      </c>
      <c r="B412" t="s">
        <v>611</v>
      </c>
      <c r="C412" t="s">
        <v>22</v>
      </c>
      <c r="D412" t="s">
        <v>432</v>
      </c>
      <c r="E412">
        <v>2019</v>
      </c>
      <c r="F412" t="s">
        <v>697</v>
      </c>
      <c r="G412" s="28">
        <f t="shared" si="0"/>
        <v>2022</v>
      </c>
      <c r="H412" t="str">
        <f t="shared" ca="1" si="1"/>
        <v>Due</v>
      </c>
    </row>
    <row r="413" spans="1:8" ht="15.75" customHeight="1">
      <c r="A413" t="s">
        <v>612</v>
      </c>
      <c r="B413" t="s">
        <v>613</v>
      </c>
      <c r="C413" t="s">
        <v>614</v>
      </c>
      <c r="D413" t="s">
        <v>432</v>
      </c>
      <c r="G413" s="28" t="str">
        <f t="shared" si="0"/>
        <v/>
      </c>
      <c r="H413" t="str">
        <f t="shared" ca="1" si="1"/>
        <v>Valid</v>
      </c>
    </row>
    <row r="414" spans="1:8" ht="15.75" customHeight="1">
      <c r="A414" t="s">
        <v>1075</v>
      </c>
      <c r="B414" t="s">
        <v>1076</v>
      </c>
      <c r="C414" t="s">
        <v>1077</v>
      </c>
      <c r="D414" t="s">
        <v>432</v>
      </c>
      <c r="G414" s="28" t="str">
        <f t="shared" si="0"/>
        <v/>
      </c>
      <c r="H414" t="str">
        <f t="shared" ca="1" si="1"/>
        <v>Valid</v>
      </c>
    </row>
    <row r="415" spans="1:8" ht="15.75" hidden="1" customHeight="1">
      <c r="A415" t="s">
        <v>1078</v>
      </c>
      <c r="B415" t="s">
        <v>1079</v>
      </c>
      <c r="C415" t="s">
        <v>1077</v>
      </c>
      <c r="D415" t="s">
        <v>432</v>
      </c>
      <c r="E415">
        <v>2026</v>
      </c>
      <c r="F415" s="27" t="s">
        <v>1427</v>
      </c>
      <c r="G415" s="28" t="str">
        <f t="shared" si="0"/>
        <v>Lifetime</v>
      </c>
      <c r="H415" t="str">
        <f t="shared" ca="1" si="1"/>
        <v>Valid</v>
      </c>
    </row>
    <row r="416" spans="1:8" ht="15.75" hidden="1" customHeight="1">
      <c r="A416" t="s">
        <v>1080</v>
      </c>
      <c r="B416" t="s">
        <v>1081</v>
      </c>
      <c r="C416" t="s">
        <v>967</v>
      </c>
      <c r="D416" t="s">
        <v>432</v>
      </c>
      <c r="E416">
        <v>2026</v>
      </c>
      <c r="F416" t="s">
        <v>776</v>
      </c>
      <c r="G416" s="28" t="str">
        <f t="shared" si="0"/>
        <v>Lifetime</v>
      </c>
      <c r="H416" t="str">
        <f t="shared" ca="1" si="1"/>
        <v>Valid</v>
      </c>
    </row>
    <row r="417" spans="1:8" ht="15.75" hidden="1" customHeight="1">
      <c r="A417" t="s">
        <v>1082</v>
      </c>
      <c r="B417" t="s">
        <v>1083</v>
      </c>
      <c r="C417" t="s">
        <v>974</v>
      </c>
      <c r="D417" t="s">
        <v>432</v>
      </c>
      <c r="E417">
        <v>2026</v>
      </c>
      <c r="F417" t="s">
        <v>776</v>
      </c>
      <c r="G417" s="28" t="str">
        <f t="shared" si="0"/>
        <v>Lifetime</v>
      </c>
      <c r="H417" t="str">
        <f t="shared" ca="1" si="1"/>
        <v>Valid</v>
      </c>
    </row>
    <row r="418" spans="1:8" ht="15.75" hidden="1" customHeight="1">
      <c r="A418" t="s">
        <v>1084</v>
      </c>
      <c r="B418" t="s">
        <v>1085</v>
      </c>
      <c r="C418" t="s">
        <v>979</v>
      </c>
      <c r="D418" t="s">
        <v>432</v>
      </c>
      <c r="E418">
        <v>2026</v>
      </c>
      <c r="F418" s="23" t="s">
        <v>776</v>
      </c>
      <c r="G418" s="28" t="str">
        <f t="shared" si="0"/>
        <v>Lifetime</v>
      </c>
      <c r="H418" t="str">
        <f t="shared" ca="1" si="1"/>
        <v>Valid</v>
      </c>
    </row>
    <row r="419" spans="1:8" ht="15.75" customHeight="1">
      <c r="A419" t="s">
        <v>1086</v>
      </c>
      <c r="B419" t="s">
        <v>1087</v>
      </c>
      <c r="C419" t="s">
        <v>990</v>
      </c>
      <c r="D419" t="s">
        <v>432</v>
      </c>
      <c r="G419" s="28" t="str">
        <f t="shared" si="0"/>
        <v/>
      </c>
      <c r="H419" t="str">
        <f t="shared" ca="1" si="1"/>
        <v>Valid</v>
      </c>
    </row>
    <row r="420" spans="1:8" ht="15.75" customHeight="1">
      <c r="A420" t="s">
        <v>1088</v>
      </c>
      <c r="B420" t="s">
        <v>1089</v>
      </c>
      <c r="C420" t="s">
        <v>990</v>
      </c>
      <c r="D420" t="s">
        <v>432</v>
      </c>
      <c r="G420" s="28" t="str">
        <f t="shared" si="0"/>
        <v/>
      </c>
      <c r="H420" t="str">
        <f t="shared" ca="1" si="1"/>
        <v>Valid</v>
      </c>
    </row>
    <row r="421" spans="1:8" ht="15.75" hidden="1" customHeight="1">
      <c r="A421" t="s">
        <v>1090</v>
      </c>
      <c r="B421" t="s">
        <v>1091</v>
      </c>
      <c r="C421" t="s">
        <v>999</v>
      </c>
      <c r="D421" t="s">
        <v>432</v>
      </c>
      <c r="E421">
        <v>2020</v>
      </c>
      <c r="F421" t="s">
        <v>776</v>
      </c>
      <c r="G421" s="28" t="str">
        <f t="shared" si="0"/>
        <v>Lifetime</v>
      </c>
      <c r="H421" t="str">
        <f t="shared" ca="1" si="1"/>
        <v>Valid</v>
      </c>
    </row>
    <row r="422" spans="1:8" ht="15.75" hidden="1" customHeight="1">
      <c r="A422" t="s">
        <v>1092</v>
      </c>
      <c r="B422" t="s">
        <v>1093</v>
      </c>
      <c r="C422" t="s">
        <v>1009</v>
      </c>
      <c r="D422" t="s">
        <v>432</v>
      </c>
      <c r="E422">
        <v>2021</v>
      </c>
      <c r="F422" t="s">
        <v>776</v>
      </c>
      <c r="G422" s="28" t="str">
        <f t="shared" si="0"/>
        <v>Lifetime</v>
      </c>
      <c r="H422" t="str">
        <f t="shared" ca="1" si="1"/>
        <v>Valid</v>
      </c>
    </row>
    <row r="423" spans="1:8" ht="15.75" hidden="1" customHeight="1">
      <c r="A423" t="s">
        <v>1094</v>
      </c>
      <c r="B423" t="s">
        <v>1095</v>
      </c>
      <c r="C423" t="s">
        <v>1015</v>
      </c>
      <c r="D423" t="s">
        <v>432</v>
      </c>
      <c r="E423">
        <v>2026</v>
      </c>
      <c r="F423" t="s">
        <v>968</v>
      </c>
      <c r="G423" s="28" t="str">
        <f t="shared" si="0"/>
        <v>Lifetime</v>
      </c>
      <c r="H423" t="str">
        <f t="shared" ca="1" si="1"/>
        <v>Valid</v>
      </c>
    </row>
    <row r="424" spans="1:8" ht="15.75" customHeight="1">
      <c r="A424" t="s">
        <v>1096</v>
      </c>
      <c r="B424" t="s">
        <v>1097</v>
      </c>
      <c r="C424" t="s">
        <v>1098</v>
      </c>
      <c r="D424" t="s">
        <v>432</v>
      </c>
      <c r="G424" s="28" t="str">
        <f t="shared" si="0"/>
        <v/>
      </c>
      <c r="H424" t="str">
        <f t="shared" ca="1" si="1"/>
        <v>Valid</v>
      </c>
    </row>
    <row r="425" spans="1:8" ht="15.75" hidden="1" customHeight="1">
      <c r="A425" t="s">
        <v>1099</v>
      </c>
      <c r="B425" t="s">
        <v>1100</v>
      </c>
      <c r="C425" t="s">
        <v>1025</v>
      </c>
      <c r="D425" t="s">
        <v>432</v>
      </c>
      <c r="E425">
        <v>2025</v>
      </c>
      <c r="F425" t="s">
        <v>776</v>
      </c>
      <c r="G425" s="28" t="str">
        <f t="shared" si="0"/>
        <v>Lifetime</v>
      </c>
      <c r="H425" t="str">
        <f t="shared" ca="1" si="1"/>
        <v>Valid</v>
      </c>
    </row>
    <row r="426" spans="1:8" ht="15.75" hidden="1" customHeight="1">
      <c r="A426" t="s">
        <v>1101</v>
      </c>
      <c r="B426" t="s">
        <v>1102</v>
      </c>
      <c r="C426" t="s">
        <v>1025</v>
      </c>
      <c r="D426" t="s">
        <v>432</v>
      </c>
      <c r="E426">
        <v>2026</v>
      </c>
      <c r="F426" s="23" t="s">
        <v>776</v>
      </c>
      <c r="G426" s="28" t="str">
        <f t="shared" si="0"/>
        <v>Lifetime</v>
      </c>
      <c r="H426" t="str">
        <f t="shared" ca="1" si="1"/>
        <v>Valid</v>
      </c>
    </row>
    <row r="427" spans="1:8" ht="15.75" hidden="1" customHeight="1">
      <c r="A427" t="s">
        <v>615</v>
      </c>
      <c r="B427" t="s">
        <v>616</v>
      </c>
      <c r="C427" t="s">
        <v>448</v>
      </c>
      <c r="D427" t="s">
        <v>432</v>
      </c>
      <c r="E427">
        <v>2025</v>
      </c>
      <c r="F427" t="s">
        <v>697</v>
      </c>
      <c r="G427" s="28">
        <f t="shared" si="0"/>
        <v>2028</v>
      </c>
      <c r="H427" t="str">
        <f t="shared" ca="1" si="1"/>
        <v>Valid</v>
      </c>
    </row>
    <row r="428" spans="1:8" ht="15.75" hidden="1" customHeight="1">
      <c r="A428" t="s">
        <v>1103</v>
      </c>
      <c r="B428" t="s">
        <v>1104</v>
      </c>
      <c r="C428" t="s">
        <v>1040</v>
      </c>
      <c r="D428" t="s">
        <v>432</v>
      </c>
      <c r="E428">
        <v>2026</v>
      </c>
      <c r="F428" s="23" t="s">
        <v>776</v>
      </c>
      <c r="G428" s="28" t="str">
        <f t="shared" si="0"/>
        <v>Lifetime</v>
      </c>
      <c r="H428" t="str">
        <f t="shared" ca="1" si="1"/>
        <v>Valid</v>
      </c>
    </row>
    <row r="429" spans="1:8" ht="15.75" hidden="1" customHeight="1">
      <c r="A429" t="s">
        <v>617</v>
      </c>
      <c r="B429" t="s">
        <v>618</v>
      </c>
      <c r="C429" t="s">
        <v>468</v>
      </c>
      <c r="D429" t="s">
        <v>432</v>
      </c>
      <c r="E429">
        <v>2023</v>
      </c>
      <c r="F429" t="s">
        <v>697</v>
      </c>
      <c r="G429" s="28">
        <f t="shared" si="0"/>
        <v>2026</v>
      </c>
      <c r="H429" t="str">
        <f t="shared" ca="1" si="1"/>
        <v>Due</v>
      </c>
    </row>
    <row r="430" spans="1:8" ht="15.75" customHeight="1">
      <c r="A430" t="s">
        <v>619</v>
      </c>
      <c r="B430" t="s">
        <v>620</v>
      </c>
      <c r="C430" t="s">
        <v>468</v>
      </c>
      <c r="D430" t="s">
        <v>432</v>
      </c>
      <c r="G430" s="28" t="str">
        <f t="shared" si="0"/>
        <v/>
      </c>
      <c r="H430" t="str">
        <f t="shared" ca="1" si="1"/>
        <v>Valid</v>
      </c>
    </row>
    <row r="431" spans="1:8" ht="15.75" hidden="1" customHeight="1">
      <c r="A431" t="s">
        <v>621</v>
      </c>
      <c r="B431" t="s">
        <v>622</v>
      </c>
      <c r="C431" t="s">
        <v>468</v>
      </c>
      <c r="D431" t="s">
        <v>432</v>
      </c>
      <c r="E431">
        <v>2021</v>
      </c>
      <c r="F431" t="s">
        <v>697</v>
      </c>
      <c r="G431" s="28">
        <f t="shared" si="0"/>
        <v>2024</v>
      </c>
      <c r="H431" t="str">
        <f t="shared" ca="1" si="1"/>
        <v>Due</v>
      </c>
    </row>
    <row r="432" spans="1:8" ht="15.75" hidden="1" customHeight="1">
      <c r="A432" t="s">
        <v>623</v>
      </c>
      <c r="B432" t="s">
        <v>624</v>
      </c>
      <c r="C432" t="s">
        <v>468</v>
      </c>
      <c r="D432" t="s">
        <v>432</v>
      </c>
      <c r="E432">
        <v>2019</v>
      </c>
      <c r="F432" t="s">
        <v>701</v>
      </c>
      <c r="G432" s="28">
        <f t="shared" si="0"/>
        <v>2024</v>
      </c>
      <c r="H432" t="str">
        <f t="shared" ca="1" si="1"/>
        <v>Due</v>
      </c>
    </row>
    <row r="433" spans="1:8" ht="15.75" customHeight="1">
      <c r="A433" t="s">
        <v>625</v>
      </c>
      <c r="B433" t="s">
        <v>296</v>
      </c>
      <c r="C433" t="s">
        <v>468</v>
      </c>
      <c r="D433" t="s">
        <v>432</v>
      </c>
      <c r="G433" s="28" t="str">
        <f t="shared" si="0"/>
        <v/>
      </c>
      <c r="H433" t="str">
        <f t="shared" ca="1" si="1"/>
        <v>Valid</v>
      </c>
    </row>
    <row r="434" spans="1:8" ht="15.75" hidden="1" customHeight="1">
      <c r="A434" t="s">
        <v>626</v>
      </c>
      <c r="B434" t="s">
        <v>627</v>
      </c>
      <c r="C434" t="s">
        <v>468</v>
      </c>
      <c r="D434" t="s">
        <v>432</v>
      </c>
      <c r="E434">
        <v>2019</v>
      </c>
      <c r="F434" t="s">
        <v>697</v>
      </c>
      <c r="G434" s="28">
        <f t="shared" si="0"/>
        <v>2022</v>
      </c>
      <c r="H434" t="str">
        <f t="shared" ca="1" si="1"/>
        <v>Due</v>
      </c>
    </row>
    <row r="435" spans="1:8" ht="15.75" hidden="1" customHeight="1">
      <c r="A435" t="s">
        <v>628</v>
      </c>
      <c r="B435" t="s">
        <v>629</v>
      </c>
      <c r="C435" t="s">
        <v>468</v>
      </c>
      <c r="D435" t="s">
        <v>432</v>
      </c>
      <c r="E435">
        <v>2019</v>
      </c>
      <c r="F435" t="s">
        <v>776</v>
      </c>
      <c r="G435" s="28" t="str">
        <f t="shared" si="0"/>
        <v>Lifetime</v>
      </c>
      <c r="H435" t="str">
        <f t="shared" ca="1" si="1"/>
        <v>Valid</v>
      </c>
    </row>
    <row r="436" spans="1:8" ht="15.75" hidden="1" customHeight="1">
      <c r="A436" t="s">
        <v>1105</v>
      </c>
      <c r="B436" t="s">
        <v>1106</v>
      </c>
      <c r="C436" t="s">
        <v>1043</v>
      </c>
      <c r="D436" t="s">
        <v>432</v>
      </c>
      <c r="E436">
        <v>2019</v>
      </c>
      <c r="F436" t="s">
        <v>776</v>
      </c>
      <c r="G436" s="28" t="str">
        <f t="shared" si="0"/>
        <v>Lifetime</v>
      </c>
      <c r="H436" t="str">
        <f t="shared" ca="1" si="1"/>
        <v>Valid</v>
      </c>
    </row>
    <row r="437" spans="1:8" ht="15.75" hidden="1" customHeight="1">
      <c r="A437" t="s">
        <v>1107</v>
      </c>
      <c r="B437" t="s">
        <v>1108</v>
      </c>
      <c r="C437" t="s">
        <v>1048</v>
      </c>
      <c r="D437" t="s">
        <v>432</v>
      </c>
      <c r="E437">
        <v>2025</v>
      </c>
      <c r="F437" t="s">
        <v>776</v>
      </c>
      <c r="G437" s="28" t="str">
        <f t="shared" si="0"/>
        <v>Lifetime</v>
      </c>
      <c r="H437" t="str">
        <f t="shared" ca="1" si="1"/>
        <v>Valid</v>
      </c>
    </row>
    <row r="438" spans="1:8" ht="15.75" hidden="1" customHeight="1">
      <c r="A438" t="s">
        <v>1109</v>
      </c>
      <c r="B438" t="s">
        <v>1110</v>
      </c>
      <c r="C438" t="s">
        <v>1048</v>
      </c>
      <c r="D438" t="s">
        <v>432</v>
      </c>
      <c r="E438">
        <v>2025</v>
      </c>
      <c r="F438" s="24" t="s">
        <v>968</v>
      </c>
      <c r="G438" s="28" t="str">
        <f t="shared" si="0"/>
        <v>Lifetime</v>
      </c>
      <c r="H438" t="str">
        <f t="shared" ca="1" si="1"/>
        <v>Valid</v>
      </c>
    </row>
    <row r="439" spans="1:8" ht="15.75" hidden="1" customHeight="1">
      <c r="A439" t="s">
        <v>630</v>
      </c>
      <c r="B439" t="s">
        <v>631</v>
      </c>
      <c r="C439" t="s">
        <v>46</v>
      </c>
      <c r="D439" t="s">
        <v>432</v>
      </c>
      <c r="E439">
        <v>2025</v>
      </c>
      <c r="F439" t="s">
        <v>776</v>
      </c>
      <c r="G439" s="28" t="str">
        <f t="shared" si="0"/>
        <v>Lifetime</v>
      </c>
      <c r="H439" t="str">
        <f t="shared" ca="1" si="1"/>
        <v>Valid</v>
      </c>
    </row>
    <row r="440" spans="1:8" ht="15.75" hidden="1" customHeight="1">
      <c r="A440" t="s">
        <v>632</v>
      </c>
      <c r="B440" t="s">
        <v>633</v>
      </c>
      <c r="C440" t="s">
        <v>46</v>
      </c>
      <c r="D440" t="s">
        <v>432</v>
      </c>
      <c r="E440">
        <v>2025</v>
      </c>
      <c r="F440" t="s">
        <v>697</v>
      </c>
      <c r="G440" s="28">
        <f t="shared" si="0"/>
        <v>2028</v>
      </c>
      <c r="H440" t="str">
        <f t="shared" ca="1" si="1"/>
        <v>Valid</v>
      </c>
    </row>
    <row r="441" spans="1:8" ht="15.75" hidden="1" customHeight="1">
      <c r="A441" t="s">
        <v>634</v>
      </c>
      <c r="B441" t="s">
        <v>635</v>
      </c>
      <c r="C441" t="s">
        <v>146</v>
      </c>
      <c r="D441" t="s">
        <v>432</v>
      </c>
      <c r="E441">
        <v>2018</v>
      </c>
      <c r="F441" t="s">
        <v>776</v>
      </c>
      <c r="G441" s="28" t="str">
        <f t="shared" si="0"/>
        <v>Lifetime</v>
      </c>
      <c r="H441" t="str">
        <f t="shared" ca="1" si="1"/>
        <v>Valid</v>
      </c>
    </row>
    <row r="442" spans="1:8" ht="15.75" hidden="1" customHeight="1">
      <c r="A442" t="s">
        <v>636</v>
      </c>
      <c r="B442" t="s">
        <v>637</v>
      </c>
      <c r="C442" t="s">
        <v>146</v>
      </c>
      <c r="D442" t="s">
        <v>432</v>
      </c>
      <c r="E442">
        <v>2018</v>
      </c>
      <c r="F442" t="s">
        <v>776</v>
      </c>
      <c r="G442" s="28" t="str">
        <f t="shared" si="0"/>
        <v>Lifetime</v>
      </c>
      <c r="H442" t="str">
        <f t="shared" ca="1" si="1"/>
        <v>Valid</v>
      </c>
    </row>
    <row r="443" spans="1:8" ht="15.75" hidden="1" customHeight="1">
      <c r="A443" t="s">
        <v>638</v>
      </c>
      <c r="B443" t="s">
        <v>639</v>
      </c>
      <c r="C443" t="s">
        <v>146</v>
      </c>
      <c r="D443" t="s">
        <v>432</v>
      </c>
      <c r="E443">
        <v>2017</v>
      </c>
      <c r="F443" t="s">
        <v>697</v>
      </c>
      <c r="G443" s="28">
        <f t="shared" si="0"/>
        <v>2020</v>
      </c>
      <c r="H443" t="str">
        <f t="shared" ca="1" si="1"/>
        <v>Due</v>
      </c>
    </row>
    <row r="444" spans="1:8" ht="15.75" hidden="1" customHeight="1">
      <c r="A444" t="s">
        <v>640</v>
      </c>
      <c r="B444" t="s">
        <v>641</v>
      </c>
      <c r="C444" t="s">
        <v>175</v>
      </c>
      <c r="D444" t="s">
        <v>432</v>
      </c>
      <c r="E444">
        <v>2024</v>
      </c>
      <c r="F444" s="24" t="s">
        <v>1426</v>
      </c>
      <c r="G444" s="28">
        <f t="shared" si="0"/>
        <v>2029</v>
      </c>
      <c r="H444" t="str">
        <f t="shared" ca="1" si="1"/>
        <v>Valid</v>
      </c>
    </row>
    <row r="445" spans="1:8" ht="15.75" customHeight="1">
      <c r="A445" t="s">
        <v>642</v>
      </c>
      <c r="B445" t="s">
        <v>643</v>
      </c>
      <c r="C445" t="s">
        <v>614</v>
      </c>
      <c r="D445" t="s">
        <v>432</v>
      </c>
      <c r="G445" s="28" t="str">
        <f t="shared" si="0"/>
        <v/>
      </c>
      <c r="H445" t="str">
        <f t="shared" ca="1" si="1"/>
        <v>Valid</v>
      </c>
    </row>
    <row r="446" spans="1:8" ht="15.75" customHeight="1">
      <c r="A446" t="s">
        <v>644</v>
      </c>
      <c r="B446" t="s">
        <v>645</v>
      </c>
      <c r="C446" t="s">
        <v>614</v>
      </c>
      <c r="D446" t="s">
        <v>432</v>
      </c>
      <c r="G446" s="28" t="str">
        <f t="shared" si="0"/>
        <v/>
      </c>
      <c r="H446" t="str">
        <f t="shared" ca="1" si="1"/>
        <v>Valid</v>
      </c>
    </row>
    <row r="447" spans="1:8" ht="15.75" hidden="1" customHeight="1">
      <c r="A447" t="s">
        <v>646</v>
      </c>
      <c r="B447" t="s">
        <v>647</v>
      </c>
      <c r="C447" t="s">
        <v>648</v>
      </c>
      <c r="D447" t="s">
        <v>432</v>
      </c>
      <c r="E447">
        <v>2023</v>
      </c>
      <c r="F447" t="s">
        <v>701</v>
      </c>
      <c r="G447" s="28">
        <f t="shared" si="0"/>
        <v>2028</v>
      </c>
      <c r="H447" t="str">
        <f t="shared" ca="1" si="1"/>
        <v>Valid</v>
      </c>
    </row>
    <row r="448" spans="1:8" ht="15.75" hidden="1" customHeight="1">
      <c r="A448" t="s">
        <v>1111</v>
      </c>
      <c r="B448" t="s">
        <v>1112</v>
      </c>
      <c r="C448" t="s">
        <v>1006</v>
      </c>
      <c r="D448" t="s">
        <v>432</v>
      </c>
      <c r="E448">
        <v>2024</v>
      </c>
      <c r="F448" t="s">
        <v>697</v>
      </c>
      <c r="G448" s="28">
        <f t="shared" si="0"/>
        <v>2027</v>
      </c>
      <c r="H448" t="str">
        <f t="shared" ca="1" si="1"/>
        <v>Valid</v>
      </c>
    </row>
    <row r="449" spans="1:8" ht="15.75" hidden="1" customHeight="1">
      <c r="A449" t="s">
        <v>1113</v>
      </c>
      <c r="B449" t="s">
        <v>1114</v>
      </c>
      <c r="C449" t="s">
        <v>1115</v>
      </c>
      <c r="D449" t="s">
        <v>432</v>
      </c>
      <c r="E449">
        <v>2026</v>
      </c>
      <c r="F449" t="s">
        <v>776</v>
      </c>
      <c r="G449" s="28" t="str">
        <f t="shared" si="0"/>
        <v>Lifetime</v>
      </c>
      <c r="H449" t="str">
        <f t="shared" ca="1" si="1"/>
        <v>Valid</v>
      </c>
    </row>
    <row r="450" spans="1:8" ht="15.75" hidden="1" customHeight="1">
      <c r="A450" t="s">
        <v>1116</v>
      </c>
      <c r="B450" t="s">
        <v>1117</v>
      </c>
      <c r="C450" t="s">
        <v>1037</v>
      </c>
      <c r="D450" t="s">
        <v>432</v>
      </c>
      <c r="E450">
        <v>2026</v>
      </c>
      <c r="F450" t="s">
        <v>776</v>
      </c>
      <c r="G450" s="28" t="str">
        <f t="shared" si="0"/>
        <v>Lifetime</v>
      </c>
      <c r="H450" t="str">
        <f t="shared" ca="1" si="1"/>
        <v>Valid</v>
      </c>
    </row>
    <row r="451" spans="1:8" ht="15.75" hidden="1" customHeight="1">
      <c r="A451" t="s">
        <v>649</v>
      </c>
      <c r="B451" t="s">
        <v>650</v>
      </c>
      <c r="C451" t="s">
        <v>146</v>
      </c>
      <c r="D451" t="s">
        <v>432</v>
      </c>
      <c r="E451">
        <v>2025</v>
      </c>
      <c r="F451" t="s">
        <v>968</v>
      </c>
      <c r="G451" s="28" t="str">
        <f t="shared" si="0"/>
        <v>Lifetime</v>
      </c>
      <c r="H451" t="str">
        <f t="shared" ca="1" si="1"/>
        <v>Valid</v>
      </c>
    </row>
    <row r="452" spans="1:8" ht="15.75" hidden="1" customHeight="1">
      <c r="A452" t="s">
        <v>1118</v>
      </c>
      <c r="B452" t="s">
        <v>1119</v>
      </c>
      <c r="C452" t="s">
        <v>1120</v>
      </c>
      <c r="D452" t="s">
        <v>432</v>
      </c>
      <c r="E452">
        <v>2026</v>
      </c>
      <c r="F452" t="s">
        <v>968</v>
      </c>
      <c r="G452" s="28" t="str">
        <f t="shared" si="0"/>
        <v>Lifetime</v>
      </c>
      <c r="H452" t="str">
        <f t="shared" ca="1" si="1"/>
        <v>Valid</v>
      </c>
    </row>
    <row r="453" spans="1:8" ht="15.75" hidden="1" customHeight="1">
      <c r="A453" t="s">
        <v>1121</v>
      </c>
      <c r="B453" t="s">
        <v>1122</v>
      </c>
      <c r="C453" t="s">
        <v>1123</v>
      </c>
      <c r="D453" t="s">
        <v>432</v>
      </c>
      <c r="E453">
        <v>2022</v>
      </c>
      <c r="F453" t="s">
        <v>968</v>
      </c>
      <c r="G453" s="28" t="str">
        <f t="shared" si="0"/>
        <v>Lifetime</v>
      </c>
      <c r="H453" t="str">
        <f t="shared" ca="1" si="1"/>
        <v>Valid</v>
      </c>
    </row>
    <row r="454" spans="1:8" ht="15.75" hidden="1" customHeight="1">
      <c r="A454" t="s">
        <v>651</v>
      </c>
      <c r="B454" t="s">
        <v>652</v>
      </c>
      <c r="C454" t="s">
        <v>653</v>
      </c>
      <c r="D454" t="s">
        <v>432</v>
      </c>
      <c r="E454">
        <v>2023</v>
      </c>
      <c r="F454" t="s">
        <v>776</v>
      </c>
      <c r="G454" s="28" t="str">
        <f t="shared" si="0"/>
        <v>Lifetime</v>
      </c>
      <c r="H454" t="str">
        <f t="shared" ca="1" si="1"/>
        <v>Valid</v>
      </c>
    </row>
    <row r="455" spans="1:8" ht="15.75" customHeight="1">
      <c r="A455" t="s">
        <v>654</v>
      </c>
      <c r="B455" t="s">
        <v>655</v>
      </c>
      <c r="C455" t="s">
        <v>656</v>
      </c>
      <c r="D455" t="s">
        <v>432</v>
      </c>
      <c r="G455" s="28" t="str">
        <f t="shared" si="0"/>
        <v/>
      </c>
      <c r="H455" t="str">
        <f t="shared" ca="1" si="1"/>
        <v>Valid</v>
      </c>
    </row>
    <row r="456" spans="1:8" ht="15.75" hidden="1" customHeight="1">
      <c r="A456" t="s">
        <v>657</v>
      </c>
      <c r="B456" t="s">
        <v>658</v>
      </c>
      <c r="C456" t="s">
        <v>659</v>
      </c>
      <c r="D456" t="s">
        <v>432</v>
      </c>
      <c r="E456">
        <v>2025</v>
      </c>
      <c r="F456" t="s">
        <v>697</v>
      </c>
      <c r="G456" s="28">
        <f t="shared" si="0"/>
        <v>2028</v>
      </c>
      <c r="H456" t="str">
        <f t="shared" ca="1" si="1"/>
        <v>Valid</v>
      </c>
    </row>
    <row r="457" spans="1:8" ht="15.75" hidden="1" customHeight="1">
      <c r="A457" t="s">
        <v>660</v>
      </c>
      <c r="B457" t="s">
        <v>661</v>
      </c>
      <c r="C457" t="s">
        <v>89</v>
      </c>
      <c r="D457" t="s">
        <v>432</v>
      </c>
      <c r="E457">
        <v>2024</v>
      </c>
      <c r="F457" t="s">
        <v>697</v>
      </c>
      <c r="G457" s="28">
        <f t="shared" si="0"/>
        <v>2027</v>
      </c>
      <c r="H457" t="str">
        <f t="shared" ca="1" si="1"/>
        <v>Valid</v>
      </c>
    </row>
    <row r="458" spans="1:8" ht="15.75" hidden="1" customHeight="1">
      <c r="A458" t="s">
        <v>1124</v>
      </c>
      <c r="B458" t="s">
        <v>1125</v>
      </c>
      <c r="C458" t="s">
        <v>1126</v>
      </c>
      <c r="D458" t="s">
        <v>1127</v>
      </c>
      <c r="E458">
        <v>2024</v>
      </c>
      <c r="F458" t="s">
        <v>697</v>
      </c>
      <c r="G458" s="28">
        <f t="shared" si="0"/>
        <v>2027</v>
      </c>
      <c r="H458" t="str">
        <f t="shared" ca="1" si="1"/>
        <v>Valid</v>
      </c>
    </row>
    <row r="459" spans="1:8" ht="15.75" customHeight="1">
      <c r="A459" t="s">
        <v>1128</v>
      </c>
      <c r="B459" t="s">
        <v>1129</v>
      </c>
      <c r="C459" t="s">
        <v>1130</v>
      </c>
      <c r="D459" t="s">
        <v>1127</v>
      </c>
      <c r="G459" s="28" t="str">
        <f t="shared" si="0"/>
        <v/>
      </c>
      <c r="H459" t="str">
        <f t="shared" ca="1" si="1"/>
        <v>Valid</v>
      </c>
    </row>
    <row r="460" spans="1:8" ht="15.75" hidden="1" customHeight="1">
      <c r="A460" t="s">
        <v>1131</v>
      </c>
      <c r="B460" t="s">
        <v>1132</v>
      </c>
      <c r="C460" t="s">
        <v>748</v>
      </c>
      <c r="D460" t="s">
        <v>780</v>
      </c>
      <c r="E460">
        <v>2022</v>
      </c>
      <c r="F460" t="s">
        <v>697</v>
      </c>
      <c r="G460" s="28">
        <f t="shared" si="0"/>
        <v>2025</v>
      </c>
      <c r="H460" t="str">
        <f t="shared" ca="1" si="1"/>
        <v>Due</v>
      </c>
    </row>
    <row r="461" spans="1:8" ht="15.75" hidden="1" customHeight="1">
      <c r="A461" t="s">
        <v>1133</v>
      </c>
      <c r="B461" t="s">
        <v>1134</v>
      </c>
      <c r="C461" t="s">
        <v>1123</v>
      </c>
      <c r="D461" t="s">
        <v>780</v>
      </c>
      <c r="E461">
        <v>2022</v>
      </c>
      <c r="F461" t="s">
        <v>968</v>
      </c>
      <c r="G461" s="28" t="str">
        <f t="shared" si="0"/>
        <v>Lifetime</v>
      </c>
      <c r="H461" t="str">
        <f t="shared" ca="1" si="1"/>
        <v>Valid</v>
      </c>
    </row>
    <row r="462" spans="1:8" ht="15.75" customHeight="1">
      <c r="A462" t="s">
        <v>1135</v>
      </c>
      <c r="B462" t="s">
        <v>1136</v>
      </c>
      <c r="C462" t="s">
        <v>1137</v>
      </c>
      <c r="D462" t="s">
        <v>780</v>
      </c>
      <c r="G462" s="28" t="str">
        <f t="shared" si="0"/>
        <v/>
      </c>
      <c r="H462" t="str">
        <f t="shared" ca="1" si="1"/>
        <v>Valid</v>
      </c>
    </row>
    <row r="463" spans="1:8" ht="15.75" customHeight="1">
      <c r="A463" t="s">
        <v>1138</v>
      </c>
      <c r="B463" t="s">
        <v>1139</v>
      </c>
      <c r="C463" t="s">
        <v>948</v>
      </c>
      <c r="D463" t="s">
        <v>780</v>
      </c>
      <c r="G463" s="28" t="str">
        <f t="shared" si="0"/>
        <v/>
      </c>
      <c r="H463" t="str">
        <f t="shared" ca="1" si="1"/>
        <v>Valid</v>
      </c>
    </row>
    <row r="464" spans="1:8" ht="15.75" hidden="1" customHeight="1">
      <c r="A464" t="s">
        <v>1140</v>
      </c>
      <c r="B464" t="s">
        <v>1141</v>
      </c>
      <c r="C464" t="s">
        <v>1142</v>
      </c>
      <c r="D464" t="s">
        <v>780</v>
      </c>
      <c r="E464">
        <v>2021</v>
      </c>
      <c r="F464" t="s">
        <v>697</v>
      </c>
      <c r="G464" s="28">
        <f t="shared" si="0"/>
        <v>2024</v>
      </c>
      <c r="H464" t="str">
        <f t="shared" ca="1" si="1"/>
        <v>Due</v>
      </c>
    </row>
    <row r="465" spans="1:8" ht="15.75" customHeight="1">
      <c r="A465" t="s">
        <v>662</v>
      </c>
      <c r="B465" t="s">
        <v>663</v>
      </c>
      <c r="C465" t="s">
        <v>46</v>
      </c>
      <c r="D465" t="s">
        <v>19</v>
      </c>
      <c r="G465" s="28" t="str">
        <f t="shared" si="0"/>
        <v/>
      </c>
      <c r="H465" t="str">
        <f t="shared" ca="1" si="1"/>
        <v>Valid</v>
      </c>
    </row>
    <row r="466" spans="1:8" ht="15.75" hidden="1" customHeight="1">
      <c r="A466" t="s">
        <v>664</v>
      </c>
      <c r="B466" t="s">
        <v>665</v>
      </c>
      <c r="C466" t="s">
        <v>666</v>
      </c>
      <c r="D466" t="s">
        <v>19</v>
      </c>
      <c r="E466">
        <v>2025</v>
      </c>
      <c r="F466" t="s">
        <v>697</v>
      </c>
      <c r="G466" s="28">
        <f t="shared" si="0"/>
        <v>2028</v>
      </c>
      <c r="H466" t="str">
        <f t="shared" ca="1" si="1"/>
        <v>Valid</v>
      </c>
    </row>
    <row r="467" spans="1:8" ht="15.75" customHeight="1">
      <c r="A467" t="s">
        <v>667</v>
      </c>
      <c r="B467" t="s">
        <v>668</v>
      </c>
      <c r="C467" t="s">
        <v>46</v>
      </c>
      <c r="D467" t="s">
        <v>19</v>
      </c>
      <c r="G467" s="28" t="str">
        <f t="shared" si="0"/>
        <v/>
      </c>
      <c r="H467" t="str">
        <f t="shared" ca="1" si="1"/>
        <v>Valid</v>
      </c>
    </row>
    <row r="468" spans="1:8" ht="15.75" customHeight="1">
      <c r="A468" t="s">
        <v>669</v>
      </c>
      <c r="B468" t="s">
        <v>670</v>
      </c>
      <c r="C468" t="s">
        <v>46</v>
      </c>
      <c r="D468" t="s">
        <v>19</v>
      </c>
      <c r="G468" s="28" t="str">
        <f t="shared" si="0"/>
        <v/>
      </c>
      <c r="H468" t="str">
        <f t="shared" ca="1" si="1"/>
        <v>Valid</v>
      </c>
    </row>
    <row r="469" spans="1:8" ht="15.75" hidden="1" customHeight="1">
      <c r="A469" t="s">
        <v>671</v>
      </c>
      <c r="B469" t="s">
        <v>672</v>
      </c>
      <c r="C469" t="s">
        <v>46</v>
      </c>
      <c r="D469" t="s">
        <v>432</v>
      </c>
      <c r="E469">
        <v>2018</v>
      </c>
      <c r="F469" t="s">
        <v>776</v>
      </c>
      <c r="G469" s="28" t="str">
        <f t="shared" si="0"/>
        <v>Lifetime</v>
      </c>
      <c r="H469" t="str">
        <f t="shared" ca="1" si="1"/>
        <v>Valid</v>
      </c>
    </row>
    <row r="470" spans="1:8" ht="15.75" hidden="1" customHeight="1">
      <c r="A470" t="s">
        <v>673</v>
      </c>
      <c r="B470" t="s">
        <v>674</v>
      </c>
      <c r="C470" t="s">
        <v>46</v>
      </c>
      <c r="D470" t="s">
        <v>432</v>
      </c>
      <c r="E470">
        <v>2019</v>
      </c>
      <c r="F470" t="s">
        <v>697</v>
      </c>
      <c r="G470" s="28">
        <f t="shared" si="0"/>
        <v>2022</v>
      </c>
      <c r="H470" t="str">
        <f t="shared" ca="1" si="1"/>
        <v>Due</v>
      </c>
    </row>
    <row r="471" spans="1:8" ht="15.75" customHeight="1">
      <c r="A471" t="s">
        <v>675</v>
      </c>
      <c r="B471" t="s">
        <v>676</v>
      </c>
      <c r="C471" t="s">
        <v>146</v>
      </c>
      <c r="D471" t="s">
        <v>19</v>
      </c>
      <c r="G471" s="28" t="str">
        <f t="shared" si="0"/>
        <v/>
      </c>
      <c r="H471" t="str">
        <f t="shared" ca="1" si="1"/>
        <v>Valid</v>
      </c>
    </row>
    <row r="472" spans="1:8" ht="15.75" hidden="1" customHeight="1">
      <c r="A472" t="s">
        <v>677</v>
      </c>
      <c r="B472" t="s">
        <v>678</v>
      </c>
      <c r="C472" t="s">
        <v>146</v>
      </c>
      <c r="D472" t="s">
        <v>19</v>
      </c>
      <c r="E472">
        <v>2024</v>
      </c>
      <c r="F472" t="s">
        <v>697</v>
      </c>
      <c r="G472" s="28">
        <f t="shared" si="0"/>
        <v>2027</v>
      </c>
      <c r="H472" t="str">
        <f t="shared" ca="1" si="1"/>
        <v>Valid</v>
      </c>
    </row>
    <row r="473" spans="1:8" ht="15.75" hidden="1" customHeight="1">
      <c r="A473" t="s">
        <v>679</v>
      </c>
      <c r="B473" t="s">
        <v>680</v>
      </c>
      <c r="C473" t="s">
        <v>681</v>
      </c>
      <c r="D473" t="s">
        <v>19</v>
      </c>
      <c r="E473">
        <v>2025</v>
      </c>
      <c r="F473" t="s">
        <v>697</v>
      </c>
      <c r="G473" s="28">
        <f t="shared" si="0"/>
        <v>2028</v>
      </c>
      <c r="H473" t="str">
        <f t="shared" ca="1" si="1"/>
        <v>Valid</v>
      </c>
    </row>
    <row r="474" spans="1:8" ht="15.75" customHeight="1">
      <c r="A474" t="s">
        <v>682</v>
      </c>
      <c r="B474" t="s">
        <v>683</v>
      </c>
      <c r="C474" t="s">
        <v>71</v>
      </c>
      <c r="D474" t="s">
        <v>19</v>
      </c>
      <c r="G474" s="28" t="str">
        <f t="shared" si="0"/>
        <v/>
      </c>
      <c r="H474" t="str">
        <f t="shared" ca="1" si="1"/>
        <v>Valid</v>
      </c>
    </row>
    <row r="475" spans="1:8" ht="15.75" customHeight="1">
      <c r="A475" t="s">
        <v>684</v>
      </c>
      <c r="B475" t="s">
        <v>685</v>
      </c>
      <c r="C475" t="s">
        <v>71</v>
      </c>
      <c r="D475" t="s">
        <v>19</v>
      </c>
      <c r="G475" s="28" t="str">
        <f t="shared" si="0"/>
        <v/>
      </c>
      <c r="H475" t="str">
        <f t="shared" ca="1" si="1"/>
        <v>Valid</v>
      </c>
    </row>
    <row r="476" spans="1:8" ht="15.75" hidden="1" customHeight="1">
      <c r="A476" t="s">
        <v>686</v>
      </c>
      <c r="B476" t="s">
        <v>687</v>
      </c>
      <c r="C476" t="s">
        <v>688</v>
      </c>
      <c r="D476" t="s">
        <v>19</v>
      </c>
      <c r="E476">
        <v>2025</v>
      </c>
      <c r="F476" t="s">
        <v>697</v>
      </c>
      <c r="G476" s="28">
        <f t="shared" si="0"/>
        <v>2028</v>
      </c>
      <c r="H476" t="str">
        <f t="shared" ca="1" si="1"/>
        <v>Valid</v>
      </c>
    </row>
    <row r="477" spans="1:8" ht="15.75" customHeight="1">
      <c r="A477" t="s">
        <v>689</v>
      </c>
      <c r="B477" t="s">
        <v>690</v>
      </c>
      <c r="C477" t="s">
        <v>599</v>
      </c>
      <c r="D477" t="s">
        <v>19</v>
      </c>
      <c r="G477" s="28" t="str">
        <f t="shared" si="0"/>
        <v/>
      </c>
      <c r="H477" t="str">
        <f t="shared" ca="1" si="1"/>
        <v>Valid</v>
      </c>
    </row>
  </sheetData>
  <autoFilter ref="A3:H477">
    <filterColumn colId="5">
      <filters blank="1"/>
    </filterColumn>
  </autoFilter>
  <conditionalFormatting sqref="H4:H477">
    <cfRule type="cellIs" dxfId="520" priority="1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9"/>
  <sheetViews>
    <sheetView workbookViewId="0"/>
  </sheetViews>
  <sheetFormatPr defaultColWidth="14.42578125" defaultRowHeight="15" customHeight="1"/>
  <cols>
    <col min="1" max="7" width="24.7109375" customWidth="1"/>
    <col min="8" max="11" width="8.7109375" customWidth="1"/>
  </cols>
  <sheetData>
    <row r="1" spans="1:7" ht="30" customHeight="1">
      <c r="A1" s="12" t="s">
        <v>8</v>
      </c>
    </row>
    <row r="3" spans="1:7" ht="24.75" customHeight="1">
      <c r="A3" s="13" t="s">
        <v>9</v>
      </c>
      <c r="B3" s="13" t="s">
        <v>10</v>
      </c>
      <c r="C3" s="13" t="s">
        <v>11</v>
      </c>
      <c r="D3" s="13" t="s">
        <v>12</v>
      </c>
      <c r="E3" s="13" t="s">
        <v>1143</v>
      </c>
      <c r="F3" s="13" t="s">
        <v>1144</v>
      </c>
      <c r="G3" s="13" t="s">
        <v>15</v>
      </c>
    </row>
    <row r="4" spans="1:7">
      <c r="A4" t="s">
        <v>694</v>
      </c>
      <c r="B4" t="s">
        <v>695</v>
      </c>
      <c r="C4" t="s">
        <v>696</v>
      </c>
      <c r="D4" t="s">
        <v>19</v>
      </c>
      <c r="F4" s="10" t="str">
        <f t="shared" ref="F4:F479" si="0">IF(ISBLANK(E4), "", EDATE(E4, 12))</f>
        <v/>
      </c>
      <c r="G4" t="e">
        <f t="shared" ref="G4:G479" ca="1" si="1">IF(ISBLANK(F4), "", IF(TODAY()&gt;=EDATE(F4, -1), "Due", "Valid"))</f>
        <v>#VALUE!</v>
      </c>
    </row>
    <row r="5" spans="1:7">
      <c r="A5" t="s">
        <v>698</v>
      </c>
      <c r="B5" t="s">
        <v>699</v>
      </c>
      <c r="C5" t="s">
        <v>700</v>
      </c>
      <c r="D5" t="s">
        <v>19</v>
      </c>
      <c r="F5" s="10" t="str">
        <f t="shared" si="0"/>
        <v/>
      </c>
      <c r="G5" t="e">
        <f t="shared" ca="1" si="1"/>
        <v>#VALUE!</v>
      </c>
    </row>
    <row r="6" spans="1:7">
      <c r="A6" t="s">
        <v>16</v>
      </c>
      <c r="B6" t="s">
        <v>17</v>
      </c>
      <c r="C6" t="s">
        <v>18</v>
      </c>
      <c r="D6" t="s">
        <v>19</v>
      </c>
      <c r="F6" s="10" t="str">
        <f t="shared" si="0"/>
        <v/>
      </c>
      <c r="G6" t="e">
        <f t="shared" ca="1" si="1"/>
        <v>#VALUE!</v>
      </c>
    </row>
    <row r="7" spans="1:7">
      <c r="A7" t="s">
        <v>20</v>
      </c>
      <c r="B7" t="s">
        <v>21</v>
      </c>
      <c r="C7" t="s">
        <v>22</v>
      </c>
      <c r="D7" t="s">
        <v>19</v>
      </c>
      <c r="F7" s="10" t="str">
        <f t="shared" si="0"/>
        <v/>
      </c>
      <c r="G7" t="e">
        <f t="shared" ca="1" si="1"/>
        <v>#VALUE!</v>
      </c>
    </row>
    <row r="8" spans="1:7">
      <c r="A8" t="s">
        <v>23</v>
      </c>
      <c r="B8" t="s">
        <v>24</v>
      </c>
      <c r="C8" t="s">
        <v>22</v>
      </c>
      <c r="D8" t="s">
        <v>19</v>
      </c>
      <c r="F8" s="10" t="str">
        <f t="shared" si="0"/>
        <v/>
      </c>
      <c r="G8" t="e">
        <f t="shared" ca="1" si="1"/>
        <v>#VALUE!</v>
      </c>
    </row>
    <row r="9" spans="1:7">
      <c r="A9" t="s">
        <v>25</v>
      </c>
      <c r="B9" t="s">
        <v>26</v>
      </c>
      <c r="C9" t="s">
        <v>27</v>
      </c>
      <c r="D9" t="s">
        <v>19</v>
      </c>
      <c r="F9" s="10" t="str">
        <f t="shared" si="0"/>
        <v/>
      </c>
      <c r="G9" t="e">
        <f t="shared" ca="1" si="1"/>
        <v>#VALUE!</v>
      </c>
    </row>
    <row r="10" spans="1:7">
      <c r="A10" t="s">
        <v>702</v>
      </c>
      <c r="B10" t="s">
        <v>703</v>
      </c>
      <c r="C10" t="s">
        <v>704</v>
      </c>
      <c r="D10" t="s">
        <v>133</v>
      </c>
      <c r="F10" s="10" t="str">
        <f t="shared" si="0"/>
        <v/>
      </c>
      <c r="G10" t="e">
        <f t="shared" ca="1" si="1"/>
        <v>#VALUE!</v>
      </c>
    </row>
    <row r="11" spans="1:7">
      <c r="A11" t="s">
        <v>705</v>
      </c>
      <c r="B11" t="s">
        <v>706</v>
      </c>
      <c r="C11" t="s">
        <v>707</v>
      </c>
      <c r="D11" t="s">
        <v>708</v>
      </c>
      <c r="F11" s="10" t="str">
        <f t="shared" si="0"/>
        <v/>
      </c>
      <c r="G11" t="e">
        <f t="shared" ca="1" si="1"/>
        <v>#VALUE!</v>
      </c>
    </row>
    <row r="12" spans="1:7">
      <c r="A12" t="s">
        <v>709</v>
      </c>
      <c r="B12" t="s">
        <v>710</v>
      </c>
      <c r="C12" t="s">
        <v>711</v>
      </c>
      <c r="D12" t="s">
        <v>708</v>
      </c>
      <c r="F12" s="10" t="str">
        <f t="shared" si="0"/>
        <v/>
      </c>
      <c r="G12" t="e">
        <f t="shared" ca="1" si="1"/>
        <v>#VALUE!</v>
      </c>
    </row>
    <row r="13" spans="1:7">
      <c r="A13" t="s">
        <v>712</v>
      </c>
      <c r="B13" t="s">
        <v>713</v>
      </c>
      <c r="C13" t="s">
        <v>714</v>
      </c>
      <c r="D13" t="s">
        <v>708</v>
      </c>
      <c r="F13" s="10" t="str">
        <f t="shared" si="0"/>
        <v/>
      </c>
      <c r="G13" t="e">
        <f t="shared" ca="1" si="1"/>
        <v>#VALUE!</v>
      </c>
    </row>
    <row r="14" spans="1:7">
      <c r="A14" t="s">
        <v>715</v>
      </c>
      <c r="B14" t="s">
        <v>716</v>
      </c>
      <c r="C14" t="s">
        <v>717</v>
      </c>
      <c r="D14" t="s">
        <v>31</v>
      </c>
      <c r="F14" s="10" t="str">
        <f t="shared" si="0"/>
        <v/>
      </c>
      <c r="G14" t="e">
        <f t="shared" ca="1" si="1"/>
        <v>#VALUE!</v>
      </c>
    </row>
    <row r="15" spans="1:7">
      <c r="A15" t="s">
        <v>718</v>
      </c>
      <c r="B15" t="s">
        <v>719</v>
      </c>
      <c r="C15" t="s">
        <v>717</v>
      </c>
      <c r="D15" t="s">
        <v>31</v>
      </c>
      <c r="F15" s="10" t="str">
        <f t="shared" si="0"/>
        <v/>
      </c>
      <c r="G15" t="e">
        <f t="shared" ca="1" si="1"/>
        <v>#VALUE!</v>
      </c>
    </row>
    <row r="16" spans="1:7">
      <c r="A16" t="s">
        <v>720</v>
      </c>
      <c r="B16" t="s">
        <v>721</v>
      </c>
      <c r="C16" t="s">
        <v>722</v>
      </c>
      <c r="D16" t="s">
        <v>31</v>
      </c>
      <c r="F16" s="10" t="str">
        <f t="shared" si="0"/>
        <v/>
      </c>
      <c r="G16" t="e">
        <f t="shared" ca="1" si="1"/>
        <v>#VALUE!</v>
      </c>
    </row>
    <row r="17" spans="1:7">
      <c r="A17" t="s">
        <v>28</v>
      </c>
      <c r="B17" t="s">
        <v>29</v>
      </c>
      <c r="C17" t="s">
        <v>30</v>
      </c>
      <c r="D17" t="s">
        <v>31</v>
      </c>
      <c r="F17" s="10" t="str">
        <f t="shared" si="0"/>
        <v/>
      </c>
      <c r="G17" t="e">
        <f t="shared" ca="1" si="1"/>
        <v>#VALUE!</v>
      </c>
    </row>
    <row r="18" spans="1:7">
      <c r="A18" t="s">
        <v>723</v>
      </c>
      <c r="B18" t="s">
        <v>724</v>
      </c>
      <c r="C18" t="s">
        <v>725</v>
      </c>
      <c r="D18" t="s">
        <v>35</v>
      </c>
      <c r="F18" s="10" t="str">
        <f t="shared" si="0"/>
        <v/>
      </c>
      <c r="G18" t="e">
        <f t="shared" ca="1" si="1"/>
        <v>#VALUE!</v>
      </c>
    </row>
    <row r="19" spans="1:7">
      <c r="A19" t="s">
        <v>726</v>
      </c>
      <c r="B19" t="s">
        <v>727</v>
      </c>
      <c r="C19" t="s">
        <v>728</v>
      </c>
      <c r="D19" t="s">
        <v>35</v>
      </c>
      <c r="F19" s="10" t="str">
        <f t="shared" si="0"/>
        <v/>
      </c>
      <c r="G19" t="e">
        <f t="shared" ca="1" si="1"/>
        <v>#VALUE!</v>
      </c>
    </row>
    <row r="20" spans="1:7">
      <c r="A20" t="s">
        <v>729</v>
      </c>
      <c r="B20" t="s">
        <v>730</v>
      </c>
      <c r="C20" t="s">
        <v>731</v>
      </c>
      <c r="D20" t="s">
        <v>35</v>
      </c>
      <c r="F20" s="10" t="str">
        <f t="shared" si="0"/>
        <v/>
      </c>
      <c r="G20" t="e">
        <f t="shared" ca="1" si="1"/>
        <v>#VALUE!</v>
      </c>
    </row>
    <row r="21" spans="1:7" ht="15.75" customHeight="1">
      <c r="A21" t="s">
        <v>732</v>
      </c>
      <c r="B21" t="s">
        <v>733</v>
      </c>
      <c r="C21" t="s">
        <v>731</v>
      </c>
      <c r="D21" t="s">
        <v>35</v>
      </c>
      <c r="F21" s="10" t="str">
        <f t="shared" si="0"/>
        <v/>
      </c>
      <c r="G21" t="e">
        <f t="shared" ca="1" si="1"/>
        <v>#VALUE!</v>
      </c>
    </row>
    <row r="22" spans="1:7" ht="15.75" customHeight="1">
      <c r="A22" t="s">
        <v>734</v>
      </c>
      <c r="B22" t="s">
        <v>735</v>
      </c>
      <c r="C22" t="s">
        <v>736</v>
      </c>
      <c r="D22" t="s">
        <v>35</v>
      </c>
      <c r="F22" s="10" t="str">
        <f t="shared" si="0"/>
        <v/>
      </c>
      <c r="G22" t="e">
        <f t="shared" ca="1" si="1"/>
        <v>#VALUE!</v>
      </c>
    </row>
    <row r="23" spans="1:7" ht="15.75" customHeight="1">
      <c r="A23" t="s">
        <v>737</v>
      </c>
      <c r="B23" t="s">
        <v>738</v>
      </c>
      <c r="C23" t="s">
        <v>736</v>
      </c>
      <c r="D23" t="s">
        <v>35</v>
      </c>
      <c r="F23" s="10" t="str">
        <f t="shared" si="0"/>
        <v/>
      </c>
      <c r="G23" t="e">
        <f t="shared" ca="1" si="1"/>
        <v>#VALUE!</v>
      </c>
    </row>
    <row r="24" spans="1:7" ht="15.75" customHeight="1">
      <c r="A24" t="s">
        <v>739</v>
      </c>
      <c r="B24" t="s">
        <v>740</v>
      </c>
      <c r="C24" t="s">
        <v>736</v>
      </c>
      <c r="D24" t="s">
        <v>35</v>
      </c>
      <c r="F24" s="10" t="str">
        <f t="shared" si="0"/>
        <v/>
      </c>
      <c r="G24" t="e">
        <f t="shared" ca="1" si="1"/>
        <v>#VALUE!</v>
      </c>
    </row>
    <row r="25" spans="1:7" ht="15.75" customHeight="1">
      <c r="A25" t="s">
        <v>741</v>
      </c>
      <c r="B25" t="s">
        <v>742</v>
      </c>
      <c r="C25" t="s">
        <v>743</v>
      </c>
      <c r="D25" t="s">
        <v>35</v>
      </c>
      <c r="F25" s="10" t="str">
        <f t="shared" si="0"/>
        <v/>
      </c>
      <c r="G25" t="e">
        <f t="shared" ca="1" si="1"/>
        <v>#VALUE!</v>
      </c>
    </row>
    <row r="26" spans="1:7" ht="15.75" customHeight="1">
      <c r="A26" t="s">
        <v>744</v>
      </c>
      <c r="B26" t="s">
        <v>745</v>
      </c>
      <c r="C26" t="s">
        <v>743</v>
      </c>
      <c r="D26" t="s">
        <v>159</v>
      </c>
      <c r="F26" s="10" t="str">
        <f t="shared" si="0"/>
        <v/>
      </c>
      <c r="G26" t="e">
        <f t="shared" ca="1" si="1"/>
        <v>#VALUE!</v>
      </c>
    </row>
    <row r="27" spans="1:7" ht="15.75" customHeight="1">
      <c r="A27" t="s">
        <v>746</v>
      </c>
      <c r="B27" t="s">
        <v>747</v>
      </c>
      <c r="C27" t="s">
        <v>748</v>
      </c>
      <c r="D27" t="s">
        <v>35</v>
      </c>
      <c r="F27" s="10" t="str">
        <f t="shared" si="0"/>
        <v/>
      </c>
      <c r="G27" t="e">
        <f t="shared" ca="1" si="1"/>
        <v>#VALUE!</v>
      </c>
    </row>
    <row r="28" spans="1:7" ht="15.75" customHeight="1">
      <c r="A28" t="s">
        <v>749</v>
      </c>
      <c r="B28" t="s">
        <v>750</v>
      </c>
      <c r="C28" t="s">
        <v>751</v>
      </c>
      <c r="D28" t="s">
        <v>35</v>
      </c>
      <c r="F28" s="10" t="str">
        <f t="shared" si="0"/>
        <v/>
      </c>
      <c r="G28" t="e">
        <f t="shared" ca="1" si="1"/>
        <v>#VALUE!</v>
      </c>
    </row>
    <row r="29" spans="1:7" ht="15.75" customHeight="1">
      <c r="A29" t="s">
        <v>752</v>
      </c>
      <c r="B29" t="s">
        <v>753</v>
      </c>
      <c r="C29" t="s">
        <v>754</v>
      </c>
      <c r="D29" t="s">
        <v>35</v>
      </c>
      <c r="F29" s="10" t="str">
        <f t="shared" si="0"/>
        <v/>
      </c>
      <c r="G29" t="e">
        <f t="shared" ca="1" si="1"/>
        <v>#VALUE!</v>
      </c>
    </row>
    <row r="30" spans="1:7" ht="15.75" customHeight="1">
      <c r="A30" t="s">
        <v>755</v>
      </c>
      <c r="B30" t="s">
        <v>756</v>
      </c>
      <c r="C30" t="s">
        <v>751</v>
      </c>
      <c r="D30" t="s">
        <v>35</v>
      </c>
      <c r="F30" s="10" t="str">
        <f t="shared" si="0"/>
        <v/>
      </c>
      <c r="G30" t="e">
        <f t="shared" ca="1" si="1"/>
        <v>#VALUE!</v>
      </c>
    </row>
    <row r="31" spans="1:7" ht="15.75" customHeight="1">
      <c r="A31" t="s">
        <v>757</v>
      </c>
      <c r="B31" t="s">
        <v>758</v>
      </c>
      <c r="C31" t="s">
        <v>754</v>
      </c>
      <c r="D31" t="s">
        <v>35</v>
      </c>
      <c r="F31" s="10" t="str">
        <f t="shared" si="0"/>
        <v/>
      </c>
      <c r="G31" t="e">
        <f t="shared" ca="1" si="1"/>
        <v>#VALUE!</v>
      </c>
    </row>
    <row r="32" spans="1:7" ht="15.75" customHeight="1">
      <c r="A32" t="s">
        <v>759</v>
      </c>
      <c r="B32" t="s">
        <v>760</v>
      </c>
      <c r="C32" t="s">
        <v>761</v>
      </c>
      <c r="D32" t="s">
        <v>35</v>
      </c>
      <c r="F32" s="10" t="str">
        <f t="shared" si="0"/>
        <v/>
      </c>
      <c r="G32" t="e">
        <f t="shared" ca="1" si="1"/>
        <v>#VALUE!</v>
      </c>
    </row>
    <row r="33" spans="1:7" ht="15.75" customHeight="1">
      <c r="A33" t="s">
        <v>762</v>
      </c>
      <c r="B33" t="s">
        <v>763</v>
      </c>
      <c r="C33" t="s">
        <v>764</v>
      </c>
      <c r="D33" t="s">
        <v>35</v>
      </c>
      <c r="F33" s="10" t="str">
        <f t="shared" si="0"/>
        <v/>
      </c>
      <c r="G33" t="e">
        <f t="shared" ca="1" si="1"/>
        <v>#VALUE!</v>
      </c>
    </row>
    <row r="34" spans="1:7" ht="15.75" customHeight="1">
      <c r="A34" t="s">
        <v>765</v>
      </c>
      <c r="B34" t="s">
        <v>766</v>
      </c>
      <c r="C34" t="s">
        <v>767</v>
      </c>
      <c r="D34" t="s">
        <v>35</v>
      </c>
      <c r="F34" s="10" t="str">
        <f t="shared" si="0"/>
        <v/>
      </c>
      <c r="G34" t="e">
        <f t="shared" ca="1" si="1"/>
        <v>#VALUE!</v>
      </c>
    </row>
    <row r="35" spans="1:7" ht="15.75" customHeight="1">
      <c r="A35" t="s">
        <v>768</v>
      </c>
      <c r="B35" t="s">
        <v>769</v>
      </c>
      <c r="C35" t="s">
        <v>770</v>
      </c>
      <c r="D35" t="s">
        <v>35</v>
      </c>
      <c r="F35" s="10" t="str">
        <f t="shared" si="0"/>
        <v/>
      </c>
      <c r="G35" t="e">
        <f t="shared" ca="1" si="1"/>
        <v>#VALUE!</v>
      </c>
    </row>
    <row r="36" spans="1:7" ht="15.75" customHeight="1">
      <c r="A36" t="s">
        <v>771</v>
      </c>
      <c r="B36" t="s">
        <v>772</v>
      </c>
      <c r="C36" t="s">
        <v>773</v>
      </c>
      <c r="D36" t="s">
        <v>35</v>
      </c>
      <c r="F36" s="10" t="str">
        <f t="shared" si="0"/>
        <v/>
      </c>
      <c r="G36" t="e">
        <f t="shared" ca="1" si="1"/>
        <v>#VALUE!</v>
      </c>
    </row>
    <row r="37" spans="1:7" ht="15.75" customHeight="1">
      <c r="A37" t="s">
        <v>774</v>
      </c>
      <c r="B37" t="s">
        <v>775</v>
      </c>
      <c r="C37" t="s">
        <v>770</v>
      </c>
      <c r="D37" t="s">
        <v>35</v>
      </c>
      <c r="F37" s="10" t="str">
        <f t="shared" si="0"/>
        <v/>
      </c>
      <c r="G37" t="e">
        <f t="shared" ca="1" si="1"/>
        <v>#VALUE!</v>
      </c>
    </row>
    <row r="38" spans="1:7" ht="15.75" customHeight="1">
      <c r="A38" t="s">
        <v>32</v>
      </c>
      <c r="B38" t="s">
        <v>33</v>
      </c>
      <c r="C38" t="s">
        <v>34</v>
      </c>
      <c r="D38" t="s">
        <v>35</v>
      </c>
      <c r="F38" s="10" t="str">
        <f t="shared" si="0"/>
        <v/>
      </c>
      <c r="G38" t="e">
        <f t="shared" ca="1" si="1"/>
        <v>#VALUE!</v>
      </c>
    </row>
    <row r="39" spans="1:7" ht="15.75" customHeight="1">
      <c r="A39" t="s">
        <v>36</v>
      </c>
      <c r="B39" t="s">
        <v>37</v>
      </c>
      <c r="C39" t="s">
        <v>34</v>
      </c>
      <c r="D39" t="s">
        <v>35</v>
      </c>
      <c r="F39" s="10" t="str">
        <f t="shared" si="0"/>
        <v/>
      </c>
      <c r="G39" t="e">
        <f t="shared" ca="1" si="1"/>
        <v>#VALUE!</v>
      </c>
    </row>
    <row r="40" spans="1:7" ht="15.75" customHeight="1">
      <c r="A40" t="s">
        <v>38</v>
      </c>
      <c r="B40" t="s">
        <v>39</v>
      </c>
      <c r="C40" t="s">
        <v>34</v>
      </c>
      <c r="D40" t="s">
        <v>35</v>
      </c>
      <c r="F40" s="10" t="str">
        <f t="shared" si="0"/>
        <v/>
      </c>
      <c r="G40" t="e">
        <f t="shared" ca="1" si="1"/>
        <v>#VALUE!</v>
      </c>
    </row>
    <row r="41" spans="1:7" ht="15.75" customHeight="1">
      <c r="A41" t="s">
        <v>40</v>
      </c>
      <c r="B41" t="s">
        <v>41</v>
      </c>
      <c r="C41" t="s">
        <v>42</v>
      </c>
      <c r="D41" t="s">
        <v>43</v>
      </c>
      <c r="F41" s="10" t="str">
        <f t="shared" si="0"/>
        <v/>
      </c>
      <c r="G41" t="e">
        <f t="shared" ca="1" si="1"/>
        <v>#VALUE!</v>
      </c>
    </row>
    <row r="42" spans="1:7" ht="15.75" customHeight="1">
      <c r="A42" t="s">
        <v>44</v>
      </c>
      <c r="B42" t="s">
        <v>45</v>
      </c>
      <c r="C42" t="s">
        <v>46</v>
      </c>
      <c r="D42" t="s">
        <v>35</v>
      </c>
      <c r="F42" s="10" t="str">
        <f t="shared" si="0"/>
        <v/>
      </c>
      <c r="G42" t="e">
        <f t="shared" ca="1" si="1"/>
        <v>#VALUE!</v>
      </c>
    </row>
    <row r="43" spans="1:7" ht="15.75" customHeight="1">
      <c r="A43" t="s">
        <v>47</v>
      </c>
      <c r="B43" t="s">
        <v>48</v>
      </c>
      <c r="C43" t="s">
        <v>46</v>
      </c>
      <c r="D43" t="s">
        <v>35</v>
      </c>
      <c r="F43" s="10" t="str">
        <f t="shared" si="0"/>
        <v/>
      </c>
      <c r="G43" t="e">
        <f t="shared" ca="1" si="1"/>
        <v>#VALUE!</v>
      </c>
    </row>
    <row r="44" spans="1:7" ht="15.75" customHeight="1">
      <c r="A44" t="s">
        <v>49</v>
      </c>
      <c r="B44" t="s">
        <v>50</v>
      </c>
      <c r="C44" t="s">
        <v>46</v>
      </c>
      <c r="D44" t="s">
        <v>35</v>
      </c>
      <c r="F44" s="10" t="str">
        <f t="shared" si="0"/>
        <v/>
      </c>
      <c r="G44" t="e">
        <f t="shared" ca="1" si="1"/>
        <v>#VALUE!</v>
      </c>
    </row>
    <row r="45" spans="1:7" ht="15.75" customHeight="1">
      <c r="A45" t="s">
        <v>51</v>
      </c>
      <c r="B45" t="s">
        <v>52</v>
      </c>
      <c r="C45" t="s">
        <v>46</v>
      </c>
      <c r="D45" t="s">
        <v>35</v>
      </c>
      <c r="F45" s="10" t="str">
        <f t="shared" si="0"/>
        <v/>
      </c>
      <c r="G45" t="e">
        <f t="shared" ca="1" si="1"/>
        <v>#VALUE!</v>
      </c>
    </row>
    <row r="46" spans="1:7" ht="15.75" customHeight="1">
      <c r="A46" t="s">
        <v>53</v>
      </c>
      <c r="B46" t="s">
        <v>54</v>
      </c>
      <c r="C46" t="s">
        <v>46</v>
      </c>
      <c r="D46" t="s">
        <v>35</v>
      </c>
      <c r="F46" s="10" t="str">
        <f t="shared" si="0"/>
        <v/>
      </c>
      <c r="G46" t="e">
        <f t="shared" ca="1" si="1"/>
        <v>#VALUE!</v>
      </c>
    </row>
    <row r="47" spans="1:7" ht="15.75" customHeight="1">
      <c r="A47" t="s">
        <v>55</v>
      </c>
      <c r="B47" t="s">
        <v>56</v>
      </c>
      <c r="C47" t="s">
        <v>46</v>
      </c>
      <c r="D47" t="s">
        <v>35</v>
      </c>
      <c r="F47" s="10" t="str">
        <f t="shared" si="0"/>
        <v/>
      </c>
      <c r="G47" t="e">
        <f t="shared" ca="1" si="1"/>
        <v>#VALUE!</v>
      </c>
    </row>
    <row r="48" spans="1:7" ht="15.75" customHeight="1">
      <c r="A48" t="s">
        <v>57</v>
      </c>
      <c r="B48" t="s">
        <v>58</v>
      </c>
      <c r="C48" t="s">
        <v>46</v>
      </c>
      <c r="D48" t="s">
        <v>35</v>
      </c>
      <c r="F48" s="10" t="str">
        <f t="shared" si="0"/>
        <v/>
      </c>
      <c r="G48" t="e">
        <f t="shared" ca="1" si="1"/>
        <v>#VALUE!</v>
      </c>
    </row>
    <row r="49" spans="1:7" ht="15.75" customHeight="1">
      <c r="A49" t="s">
        <v>59</v>
      </c>
      <c r="B49" t="s">
        <v>60</v>
      </c>
      <c r="C49" t="s">
        <v>46</v>
      </c>
      <c r="D49" t="s">
        <v>35</v>
      </c>
      <c r="F49" s="10" t="str">
        <f t="shared" si="0"/>
        <v/>
      </c>
      <c r="G49" t="e">
        <f t="shared" ca="1" si="1"/>
        <v>#VALUE!</v>
      </c>
    </row>
    <row r="50" spans="1:7" ht="15.75" customHeight="1">
      <c r="A50" t="s">
        <v>61</v>
      </c>
      <c r="B50" t="s">
        <v>62</v>
      </c>
      <c r="C50" t="s">
        <v>46</v>
      </c>
      <c r="D50" t="s">
        <v>35</v>
      </c>
      <c r="F50" s="10" t="str">
        <f t="shared" si="0"/>
        <v/>
      </c>
      <c r="G50" t="e">
        <f t="shared" ca="1" si="1"/>
        <v>#VALUE!</v>
      </c>
    </row>
    <row r="51" spans="1:7" ht="15.75" customHeight="1">
      <c r="A51" t="s">
        <v>63</v>
      </c>
      <c r="B51" t="s">
        <v>64</v>
      </c>
      <c r="C51" t="s">
        <v>46</v>
      </c>
      <c r="D51" t="s">
        <v>43</v>
      </c>
      <c r="F51" s="10" t="str">
        <f t="shared" si="0"/>
        <v/>
      </c>
      <c r="G51" t="e">
        <f t="shared" ca="1" si="1"/>
        <v>#VALUE!</v>
      </c>
    </row>
    <row r="52" spans="1:7" ht="15.75" customHeight="1">
      <c r="A52" t="s">
        <v>65</v>
      </c>
      <c r="B52" t="s">
        <v>66</v>
      </c>
      <c r="C52" t="s">
        <v>46</v>
      </c>
      <c r="D52" t="s">
        <v>35</v>
      </c>
      <c r="F52" s="10" t="str">
        <f t="shared" si="0"/>
        <v/>
      </c>
      <c r="G52" t="e">
        <f t="shared" ca="1" si="1"/>
        <v>#VALUE!</v>
      </c>
    </row>
    <row r="53" spans="1:7" ht="15.75" customHeight="1">
      <c r="A53" t="s">
        <v>67</v>
      </c>
      <c r="B53" t="s">
        <v>68</v>
      </c>
      <c r="C53" t="s">
        <v>46</v>
      </c>
      <c r="D53" t="s">
        <v>35</v>
      </c>
      <c r="F53" s="10" t="str">
        <f t="shared" si="0"/>
        <v/>
      </c>
      <c r="G53" t="e">
        <f t="shared" ca="1" si="1"/>
        <v>#VALUE!</v>
      </c>
    </row>
    <row r="54" spans="1:7" ht="15.75" customHeight="1">
      <c r="A54" t="s">
        <v>69</v>
      </c>
      <c r="B54" t="s">
        <v>70</v>
      </c>
      <c r="C54" t="s">
        <v>71</v>
      </c>
      <c r="D54" t="s">
        <v>43</v>
      </c>
      <c r="F54" s="10" t="str">
        <f t="shared" si="0"/>
        <v/>
      </c>
      <c r="G54" t="e">
        <f t="shared" ca="1" si="1"/>
        <v>#VALUE!</v>
      </c>
    </row>
    <row r="55" spans="1:7" ht="15.75" customHeight="1">
      <c r="A55" t="s">
        <v>72</v>
      </c>
      <c r="B55" t="s">
        <v>73</v>
      </c>
      <c r="C55" t="s">
        <v>74</v>
      </c>
      <c r="D55" t="s">
        <v>35</v>
      </c>
      <c r="F55" s="10" t="str">
        <f t="shared" si="0"/>
        <v/>
      </c>
      <c r="G55" t="e">
        <f t="shared" ca="1" si="1"/>
        <v>#VALUE!</v>
      </c>
    </row>
    <row r="56" spans="1:7" ht="15.75" customHeight="1">
      <c r="A56" t="s">
        <v>75</v>
      </c>
      <c r="B56" t="s">
        <v>76</v>
      </c>
      <c r="C56" t="s">
        <v>77</v>
      </c>
      <c r="D56" t="s">
        <v>35</v>
      </c>
      <c r="F56" s="10" t="str">
        <f t="shared" si="0"/>
        <v/>
      </c>
      <c r="G56" t="e">
        <f t="shared" ca="1" si="1"/>
        <v>#VALUE!</v>
      </c>
    </row>
    <row r="57" spans="1:7" ht="15.75" customHeight="1">
      <c r="A57" t="s">
        <v>78</v>
      </c>
      <c r="B57" t="s">
        <v>79</v>
      </c>
      <c r="C57" t="s">
        <v>77</v>
      </c>
      <c r="D57" t="s">
        <v>35</v>
      </c>
      <c r="F57" s="10" t="str">
        <f t="shared" si="0"/>
        <v/>
      </c>
      <c r="G57" t="e">
        <f t="shared" ca="1" si="1"/>
        <v>#VALUE!</v>
      </c>
    </row>
    <row r="58" spans="1:7" ht="15.75" customHeight="1">
      <c r="A58" t="s">
        <v>80</v>
      </c>
      <c r="B58" t="s">
        <v>81</v>
      </c>
      <c r="C58" t="s">
        <v>77</v>
      </c>
      <c r="D58" t="s">
        <v>35</v>
      </c>
      <c r="F58" s="10" t="str">
        <f t="shared" si="0"/>
        <v/>
      </c>
      <c r="G58" t="e">
        <f t="shared" ca="1" si="1"/>
        <v>#VALUE!</v>
      </c>
    </row>
    <row r="59" spans="1:7" ht="15.75" customHeight="1">
      <c r="A59" t="s">
        <v>82</v>
      </c>
      <c r="B59" t="s">
        <v>83</v>
      </c>
      <c r="C59" t="s">
        <v>77</v>
      </c>
      <c r="D59" t="s">
        <v>35</v>
      </c>
      <c r="F59" s="10" t="str">
        <f t="shared" si="0"/>
        <v/>
      </c>
      <c r="G59" t="e">
        <f t="shared" ca="1" si="1"/>
        <v>#VALUE!</v>
      </c>
    </row>
    <row r="60" spans="1:7" ht="15.75" customHeight="1">
      <c r="A60" t="s">
        <v>84</v>
      </c>
      <c r="B60" t="s">
        <v>85</v>
      </c>
      <c r="C60" t="s">
        <v>86</v>
      </c>
      <c r="D60" t="s">
        <v>35</v>
      </c>
      <c r="F60" s="10" t="str">
        <f t="shared" si="0"/>
        <v/>
      </c>
      <c r="G60" t="e">
        <f t="shared" ca="1" si="1"/>
        <v>#VALUE!</v>
      </c>
    </row>
    <row r="61" spans="1:7" ht="15.75" customHeight="1">
      <c r="A61" t="s">
        <v>777</v>
      </c>
      <c r="B61" t="s">
        <v>778</v>
      </c>
      <c r="C61" t="s">
        <v>779</v>
      </c>
      <c r="D61" t="s">
        <v>780</v>
      </c>
      <c r="F61" s="10" t="str">
        <f t="shared" si="0"/>
        <v/>
      </c>
      <c r="G61" t="e">
        <f t="shared" ca="1" si="1"/>
        <v>#VALUE!</v>
      </c>
    </row>
    <row r="62" spans="1:7" ht="15.75" customHeight="1">
      <c r="A62" t="s">
        <v>781</v>
      </c>
      <c r="B62" t="s">
        <v>782</v>
      </c>
      <c r="C62" t="s">
        <v>783</v>
      </c>
      <c r="D62" t="s">
        <v>90</v>
      </c>
      <c r="F62" s="10" t="str">
        <f t="shared" si="0"/>
        <v/>
      </c>
      <c r="G62" t="e">
        <f t="shared" ca="1" si="1"/>
        <v>#VALUE!</v>
      </c>
    </row>
    <row r="63" spans="1:7" ht="15.75" customHeight="1">
      <c r="A63" t="s">
        <v>784</v>
      </c>
      <c r="B63" t="s">
        <v>785</v>
      </c>
      <c r="C63" t="s">
        <v>786</v>
      </c>
      <c r="D63" t="s">
        <v>90</v>
      </c>
      <c r="F63" s="10" t="str">
        <f t="shared" si="0"/>
        <v/>
      </c>
      <c r="G63" t="e">
        <f t="shared" ca="1" si="1"/>
        <v>#VALUE!</v>
      </c>
    </row>
    <row r="64" spans="1:7" ht="15.75" customHeight="1">
      <c r="A64" t="s">
        <v>787</v>
      </c>
      <c r="B64" t="s">
        <v>788</v>
      </c>
      <c r="C64" t="s">
        <v>789</v>
      </c>
      <c r="D64" t="s">
        <v>90</v>
      </c>
      <c r="F64" s="10" t="str">
        <f t="shared" si="0"/>
        <v/>
      </c>
      <c r="G64" t="e">
        <f t="shared" ca="1" si="1"/>
        <v>#VALUE!</v>
      </c>
    </row>
    <row r="65" spans="1:7" ht="15.75" customHeight="1">
      <c r="A65" t="s">
        <v>790</v>
      </c>
      <c r="B65" t="s">
        <v>791</v>
      </c>
      <c r="C65" t="s">
        <v>789</v>
      </c>
      <c r="D65" t="s">
        <v>90</v>
      </c>
      <c r="F65" s="10" t="str">
        <f t="shared" si="0"/>
        <v/>
      </c>
      <c r="G65" t="e">
        <f t="shared" ca="1" si="1"/>
        <v>#VALUE!</v>
      </c>
    </row>
    <row r="66" spans="1:7" ht="15.75" customHeight="1">
      <c r="A66" t="s">
        <v>792</v>
      </c>
      <c r="B66" t="s">
        <v>793</v>
      </c>
      <c r="C66" t="s">
        <v>794</v>
      </c>
      <c r="D66" t="s">
        <v>90</v>
      </c>
      <c r="F66" s="10" t="str">
        <f t="shared" si="0"/>
        <v/>
      </c>
      <c r="G66" t="e">
        <f t="shared" ca="1" si="1"/>
        <v>#VALUE!</v>
      </c>
    </row>
    <row r="67" spans="1:7" ht="15.75" customHeight="1">
      <c r="A67" t="s">
        <v>795</v>
      </c>
      <c r="B67" t="s">
        <v>796</v>
      </c>
      <c r="C67" t="s">
        <v>797</v>
      </c>
      <c r="D67" t="s">
        <v>90</v>
      </c>
      <c r="F67" s="10" t="str">
        <f t="shared" si="0"/>
        <v/>
      </c>
      <c r="G67" t="e">
        <f t="shared" ca="1" si="1"/>
        <v>#VALUE!</v>
      </c>
    </row>
    <row r="68" spans="1:7" ht="15.75" customHeight="1">
      <c r="A68" t="s">
        <v>798</v>
      </c>
      <c r="B68" t="s">
        <v>799</v>
      </c>
      <c r="C68" t="s">
        <v>800</v>
      </c>
      <c r="D68" t="s">
        <v>90</v>
      </c>
      <c r="F68" s="10" t="str">
        <f t="shared" si="0"/>
        <v/>
      </c>
      <c r="G68" t="e">
        <f t="shared" ca="1" si="1"/>
        <v>#VALUE!</v>
      </c>
    </row>
    <row r="69" spans="1:7" ht="15.75" customHeight="1">
      <c r="A69" t="s">
        <v>87</v>
      </c>
      <c r="B69" t="s">
        <v>88</v>
      </c>
      <c r="C69" t="s">
        <v>89</v>
      </c>
      <c r="D69" t="s">
        <v>90</v>
      </c>
      <c r="F69" s="10" t="str">
        <f t="shared" si="0"/>
        <v/>
      </c>
      <c r="G69" t="e">
        <f t="shared" ca="1" si="1"/>
        <v>#VALUE!</v>
      </c>
    </row>
    <row r="70" spans="1:7" ht="15.75" customHeight="1">
      <c r="A70" t="s">
        <v>801</v>
      </c>
      <c r="B70" t="s">
        <v>802</v>
      </c>
      <c r="C70" t="s">
        <v>803</v>
      </c>
      <c r="D70" t="s">
        <v>94</v>
      </c>
      <c r="F70" s="10" t="str">
        <f t="shared" si="0"/>
        <v/>
      </c>
      <c r="G70" t="e">
        <f t="shared" ca="1" si="1"/>
        <v>#VALUE!</v>
      </c>
    </row>
    <row r="71" spans="1:7" ht="15.75" customHeight="1">
      <c r="A71" t="s">
        <v>804</v>
      </c>
      <c r="B71" t="s">
        <v>805</v>
      </c>
      <c r="C71" t="s">
        <v>806</v>
      </c>
      <c r="D71" t="s">
        <v>94</v>
      </c>
      <c r="F71" s="10" t="str">
        <f t="shared" si="0"/>
        <v/>
      </c>
      <c r="G71" t="e">
        <f t="shared" ca="1" si="1"/>
        <v>#VALUE!</v>
      </c>
    </row>
    <row r="72" spans="1:7" ht="15.75" customHeight="1">
      <c r="A72" t="s">
        <v>807</v>
      </c>
      <c r="B72" t="s">
        <v>808</v>
      </c>
      <c r="C72" t="s">
        <v>806</v>
      </c>
      <c r="D72" t="s">
        <v>94</v>
      </c>
      <c r="F72" s="10" t="str">
        <f t="shared" si="0"/>
        <v/>
      </c>
      <c r="G72" t="e">
        <f t="shared" ca="1" si="1"/>
        <v>#VALUE!</v>
      </c>
    </row>
    <row r="73" spans="1:7" ht="15.75" customHeight="1">
      <c r="A73" t="s">
        <v>809</v>
      </c>
      <c r="B73" t="s">
        <v>810</v>
      </c>
      <c r="C73" t="s">
        <v>811</v>
      </c>
      <c r="D73" t="s">
        <v>94</v>
      </c>
      <c r="F73" s="10" t="str">
        <f t="shared" si="0"/>
        <v/>
      </c>
      <c r="G73" t="e">
        <f t="shared" ca="1" si="1"/>
        <v>#VALUE!</v>
      </c>
    </row>
    <row r="74" spans="1:7" ht="15.75" customHeight="1">
      <c r="A74" t="s">
        <v>812</v>
      </c>
      <c r="B74" t="s">
        <v>813</v>
      </c>
      <c r="C74" t="s">
        <v>814</v>
      </c>
      <c r="D74" t="s">
        <v>94</v>
      </c>
      <c r="F74" s="10" t="str">
        <f t="shared" si="0"/>
        <v/>
      </c>
      <c r="G74" t="e">
        <f t="shared" ca="1" si="1"/>
        <v>#VALUE!</v>
      </c>
    </row>
    <row r="75" spans="1:7" ht="15.75" customHeight="1">
      <c r="A75" t="s">
        <v>815</v>
      </c>
      <c r="B75" t="s">
        <v>816</v>
      </c>
      <c r="C75" t="s">
        <v>817</v>
      </c>
      <c r="D75" t="s">
        <v>94</v>
      </c>
      <c r="F75" s="10" t="str">
        <f t="shared" si="0"/>
        <v/>
      </c>
      <c r="G75" t="e">
        <f t="shared" ca="1" si="1"/>
        <v>#VALUE!</v>
      </c>
    </row>
    <row r="76" spans="1:7" ht="15.75" customHeight="1">
      <c r="A76" t="s">
        <v>818</v>
      </c>
      <c r="B76" t="s">
        <v>819</v>
      </c>
      <c r="C76" t="s">
        <v>820</v>
      </c>
      <c r="D76" t="s">
        <v>94</v>
      </c>
      <c r="F76" s="10" t="str">
        <f t="shared" si="0"/>
        <v/>
      </c>
      <c r="G76" t="e">
        <f t="shared" ca="1" si="1"/>
        <v>#VALUE!</v>
      </c>
    </row>
    <row r="77" spans="1:7" ht="15.75" customHeight="1">
      <c r="A77" t="s">
        <v>91</v>
      </c>
      <c r="B77" t="s">
        <v>92</v>
      </c>
      <c r="C77" t="s">
        <v>93</v>
      </c>
      <c r="D77" t="s">
        <v>94</v>
      </c>
      <c r="F77" s="10" t="str">
        <f t="shared" si="0"/>
        <v/>
      </c>
      <c r="G77" t="e">
        <f t="shared" ca="1" si="1"/>
        <v>#VALUE!</v>
      </c>
    </row>
    <row r="78" spans="1:7" ht="15.75" customHeight="1">
      <c r="A78" t="s">
        <v>95</v>
      </c>
      <c r="B78" t="s">
        <v>96</v>
      </c>
      <c r="C78" t="s">
        <v>97</v>
      </c>
      <c r="D78" t="s">
        <v>94</v>
      </c>
      <c r="F78" s="10" t="str">
        <f t="shared" si="0"/>
        <v/>
      </c>
      <c r="G78" t="e">
        <f t="shared" ca="1" si="1"/>
        <v>#VALUE!</v>
      </c>
    </row>
    <row r="79" spans="1:7" ht="15.75" customHeight="1">
      <c r="A79" t="s">
        <v>98</v>
      </c>
      <c r="B79" t="s">
        <v>99</v>
      </c>
      <c r="C79" t="s">
        <v>100</v>
      </c>
      <c r="D79" t="s">
        <v>94</v>
      </c>
      <c r="F79" s="10" t="str">
        <f t="shared" si="0"/>
        <v/>
      </c>
      <c r="G79" t="e">
        <f t="shared" ca="1" si="1"/>
        <v>#VALUE!</v>
      </c>
    </row>
    <row r="80" spans="1:7" ht="15.75" customHeight="1">
      <c r="A80" t="s">
        <v>101</v>
      </c>
      <c r="B80" t="s">
        <v>102</v>
      </c>
      <c r="C80" t="s">
        <v>103</v>
      </c>
      <c r="D80" t="s">
        <v>94</v>
      </c>
      <c r="F80" s="10" t="str">
        <f t="shared" si="0"/>
        <v/>
      </c>
      <c r="G80" t="e">
        <f t="shared" ca="1" si="1"/>
        <v>#VALUE!</v>
      </c>
    </row>
    <row r="81" spans="1:7" ht="15.75" customHeight="1">
      <c r="A81" t="s">
        <v>104</v>
      </c>
      <c r="B81" t="s">
        <v>105</v>
      </c>
      <c r="C81" t="s">
        <v>106</v>
      </c>
      <c r="D81" t="s">
        <v>94</v>
      </c>
      <c r="F81" s="10" t="str">
        <f t="shared" si="0"/>
        <v/>
      </c>
      <c r="G81" t="e">
        <f t="shared" ca="1" si="1"/>
        <v>#VALUE!</v>
      </c>
    </row>
    <row r="82" spans="1:7" ht="15.75" customHeight="1">
      <c r="A82" t="s">
        <v>107</v>
      </c>
      <c r="B82" t="s">
        <v>108</v>
      </c>
      <c r="C82" t="s">
        <v>109</v>
      </c>
      <c r="D82" t="s">
        <v>94</v>
      </c>
      <c r="F82" s="10" t="str">
        <f t="shared" si="0"/>
        <v/>
      </c>
      <c r="G82" t="e">
        <f t="shared" ca="1" si="1"/>
        <v>#VALUE!</v>
      </c>
    </row>
    <row r="83" spans="1:7" ht="15.75" customHeight="1">
      <c r="A83" t="s">
        <v>110</v>
      </c>
      <c r="B83" t="s">
        <v>111</v>
      </c>
      <c r="C83" t="s">
        <v>112</v>
      </c>
      <c r="D83" t="s">
        <v>94</v>
      </c>
      <c r="F83" s="10" t="str">
        <f t="shared" si="0"/>
        <v/>
      </c>
      <c r="G83" t="e">
        <f t="shared" ca="1" si="1"/>
        <v>#VALUE!</v>
      </c>
    </row>
    <row r="84" spans="1:7" ht="15.75" customHeight="1">
      <c r="A84" t="s">
        <v>113</v>
      </c>
      <c r="B84" t="s">
        <v>114</v>
      </c>
      <c r="C84" t="s">
        <v>18</v>
      </c>
      <c r="D84" t="s">
        <v>94</v>
      </c>
      <c r="F84" s="10" t="str">
        <f t="shared" si="0"/>
        <v/>
      </c>
      <c r="G84" t="e">
        <f t="shared" ca="1" si="1"/>
        <v>#VALUE!</v>
      </c>
    </row>
    <row r="85" spans="1:7" ht="15.75" customHeight="1">
      <c r="A85" t="s">
        <v>115</v>
      </c>
      <c r="B85" t="s">
        <v>116</v>
      </c>
      <c r="C85" t="s">
        <v>117</v>
      </c>
      <c r="D85" t="s">
        <v>94</v>
      </c>
      <c r="F85" s="10" t="str">
        <f t="shared" si="0"/>
        <v/>
      </c>
      <c r="G85" t="e">
        <f t="shared" ca="1" si="1"/>
        <v>#VALUE!</v>
      </c>
    </row>
    <row r="86" spans="1:7" ht="15.75" customHeight="1">
      <c r="A86" t="s">
        <v>118</v>
      </c>
      <c r="B86" t="s">
        <v>119</v>
      </c>
      <c r="C86" t="s">
        <v>117</v>
      </c>
      <c r="D86" t="s">
        <v>94</v>
      </c>
      <c r="F86" s="10" t="str">
        <f t="shared" si="0"/>
        <v/>
      </c>
      <c r="G86" t="e">
        <f t="shared" ca="1" si="1"/>
        <v>#VALUE!</v>
      </c>
    </row>
    <row r="87" spans="1:7" ht="15.75" customHeight="1">
      <c r="A87" t="s">
        <v>120</v>
      </c>
      <c r="B87" t="s">
        <v>121</v>
      </c>
      <c r="C87" t="s">
        <v>117</v>
      </c>
      <c r="D87" t="s">
        <v>94</v>
      </c>
      <c r="F87" s="10" t="str">
        <f t="shared" si="0"/>
        <v/>
      </c>
      <c r="G87" t="e">
        <f t="shared" ca="1" si="1"/>
        <v>#VALUE!</v>
      </c>
    </row>
    <row r="88" spans="1:7" ht="15.75" customHeight="1">
      <c r="A88" t="s">
        <v>122</v>
      </c>
      <c r="B88" t="s">
        <v>123</v>
      </c>
      <c r="C88" t="s">
        <v>117</v>
      </c>
      <c r="D88" t="s">
        <v>94</v>
      </c>
      <c r="F88" s="10" t="str">
        <f t="shared" si="0"/>
        <v/>
      </c>
      <c r="G88" t="e">
        <f t="shared" ca="1" si="1"/>
        <v>#VALUE!</v>
      </c>
    </row>
    <row r="89" spans="1:7" ht="15.75" customHeight="1">
      <c r="A89" t="s">
        <v>821</v>
      </c>
      <c r="B89" t="s">
        <v>822</v>
      </c>
      <c r="C89" t="s">
        <v>823</v>
      </c>
      <c r="D89" t="s">
        <v>19</v>
      </c>
      <c r="F89" s="10" t="str">
        <f t="shared" si="0"/>
        <v/>
      </c>
      <c r="G89" t="e">
        <f t="shared" ca="1" si="1"/>
        <v>#VALUE!</v>
      </c>
    </row>
    <row r="90" spans="1:7" ht="15.75" customHeight="1">
      <c r="A90" t="s">
        <v>124</v>
      </c>
      <c r="B90" t="s">
        <v>125</v>
      </c>
      <c r="C90" t="s">
        <v>46</v>
      </c>
      <c r="D90" t="s">
        <v>19</v>
      </c>
      <c r="F90" s="10" t="str">
        <f t="shared" si="0"/>
        <v/>
      </c>
      <c r="G90" t="e">
        <f t="shared" ca="1" si="1"/>
        <v>#VALUE!</v>
      </c>
    </row>
    <row r="91" spans="1:7" ht="15.75" customHeight="1">
      <c r="A91" t="s">
        <v>126</v>
      </c>
      <c r="B91" t="s">
        <v>127</v>
      </c>
      <c r="C91" t="s">
        <v>71</v>
      </c>
      <c r="D91" t="s">
        <v>19</v>
      </c>
      <c r="F91" s="10" t="str">
        <f t="shared" si="0"/>
        <v/>
      </c>
      <c r="G91" t="e">
        <f t="shared" ca="1" si="1"/>
        <v>#VALUE!</v>
      </c>
    </row>
    <row r="92" spans="1:7" ht="15.75" customHeight="1">
      <c r="A92" t="s">
        <v>824</v>
      </c>
      <c r="B92" t="s">
        <v>825</v>
      </c>
      <c r="C92" t="s">
        <v>826</v>
      </c>
      <c r="D92" t="s">
        <v>133</v>
      </c>
      <c r="F92" s="10" t="str">
        <f t="shared" si="0"/>
        <v/>
      </c>
      <c r="G92" t="e">
        <f t="shared" ca="1" si="1"/>
        <v>#VALUE!</v>
      </c>
    </row>
    <row r="93" spans="1:7" ht="15.75" customHeight="1">
      <c r="A93" t="s">
        <v>827</v>
      </c>
      <c r="B93" t="s">
        <v>828</v>
      </c>
      <c r="C93" t="s">
        <v>829</v>
      </c>
      <c r="D93" t="s">
        <v>133</v>
      </c>
      <c r="F93" s="10" t="str">
        <f t="shared" si="0"/>
        <v/>
      </c>
      <c r="G93" t="e">
        <f t="shared" ca="1" si="1"/>
        <v>#VALUE!</v>
      </c>
    </row>
    <row r="94" spans="1:7" ht="15.75" customHeight="1">
      <c r="A94" t="s">
        <v>830</v>
      </c>
      <c r="B94" t="s">
        <v>831</v>
      </c>
      <c r="C94" t="s">
        <v>832</v>
      </c>
      <c r="D94" t="s">
        <v>133</v>
      </c>
      <c r="F94" s="10" t="str">
        <f t="shared" si="0"/>
        <v/>
      </c>
      <c r="G94" t="e">
        <f t="shared" ca="1" si="1"/>
        <v>#VALUE!</v>
      </c>
    </row>
    <row r="95" spans="1:7" ht="15.75" customHeight="1">
      <c r="A95" t="s">
        <v>833</v>
      </c>
      <c r="B95" t="s">
        <v>834</v>
      </c>
      <c r="C95" t="s">
        <v>835</v>
      </c>
      <c r="D95" t="s">
        <v>133</v>
      </c>
      <c r="F95" s="10" t="str">
        <f t="shared" si="0"/>
        <v/>
      </c>
      <c r="G95" t="e">
        <f t="shared" ca="1" si="1"/>
        <v>#VALUE!</v>
      </c>
    </row>
    <row r="96" spans="1:7" ht="15.75" customHeight="1">
      <c r="A96" t="s">
        <v>128</v>
      </c>
      <c r="B96" t="s">
        <v>129</v>
      </c>
      <c r="C96" t="s">
        <v>130</v>
      </c>
      <c r="D96" t="s">
        <v>19</v>
      </c>
      <c r="F96" s="10" t="str">
        <f t="shared" si="0"/>
        <v/>
      </c>
      <c r="G96" t="e">
        <f t="shared" ca="1" si="1"/>
        <v>#VALUE!</v>
      </c>
    </row>
    <row r="97" spans="1:7" ht="15.75" customHeight="1">
      <c r="A97" t="s">
        <v>131</v>
      </c>
      <c r="B97" t="s">
        <v>132</v>
      </c>
      <c r="C97" t="s">
        <v>18</v>
      </c>
      <c r="D97" t="s">
        <v>133</v>
      </c>
      <c r="F97" s="10" t="str">
        <f t="shared" si="0"/>
        <v/>
      </c>
      <c r="G97" t="e">
        <f t="shared" ca="1" si="1"/>
        <v>#VALUE!</v>
      </c>
    </row>
    <row r="98" spans="1:7" ht="15.75" customHeight="1">
      <c r="A98" t="s">
        <v>134</v>
      </c>
      <c r="B98" t="s">
        <v>135</v>
      </c>
      <c r="C98" t="s">
        <v>18</v>
      </c>
      <c r="D98" t="s">
        <v>19</v>
      </c>
      <c r="F98" s="10" t="str">
        <f t="shared" si="0"/>
        <v/>
      </c>
      <c r="G98" t="e">
        <f t="shared" ca="1" si="1"/>
        <v>#VALUE!</v>
      </c>
    </row>
    <row r="99" spans="1:7" ht="15.75" customHeight="1">
      <c r="A99" t="s">
        <v>836</v>
      </c>
      <c r="B99" t="s">
        <v>837</v>
      </c>
      <c r="C99" t="s">
        <v>838</v>
      </c>
      <c r="D99" t="s">
        <v>138</v>
      </c>
      <c r="F99" s="10" t="str">
        <f t="shared" si="0"/>
        <v/>
      </c>
      <c r="G99" t="e">
        <f t="shared" ca="1" si="1"/>
        <v>#VALUE!</v>
      </c>
    </row>
    <row r="100" spans="1:7" ht="15.75" customHeight="1">
      <c r="A100" t="s">
        <v>839</v>
      </c>
      <c r="B100" t="s">
        <v>840</v>
      </c>
      <c r="C100" t="s">
        <v>841</v>
      </c>
      <c r="D100" t="s">
        <v>138</v>
      </c>
      <c r="F100" s="10" t="str">
        <f t="shared" si="0"/>
        <v/>
      </c>
      <c r="G100" t="e">
        <f t="shared" ca="1" si="1"/>
        <v>#VALUE!</v>
      </c>
    </row>
    <row r="101" spans="1:7" ht="15.75" customHeight="1">
      <c r="A101" t="s">
        <v>842</v>
      </c>
      <c r="B101" t="s">
        <v>843</v>
      </c>
      <c r="C101" t="s">
        <v>844</v>
      </c>
      <c r="D101" t="s">
        <v>138</v>
      </c>
      <c r="F101" s="10" t="str">
        <f t="shared" si="0"/>
        <v/>
      </c>
      <c r="G101" t="e">
        <f t="shared" ca="1" si="1"/>
        <v>#VALUE!</v>
      </c>
    </row>
    <row r="102" spans="1:7" ht="15.75" customHeight="1">
      <c r="A102" t="s">
        <v>136</v>
      </c>
      <c r="B102" t="s">
        <v>137</v>
      </c>
      <c r="C102" t="s">
        <v>130</v>
      </c>
      <c r="D102" t="s">
        <v>138</v>
      </c>
      <c r="F102" s="10" t="str">
        <f t="shared" si="0"/>
        <v/>
      </c>
      <c r="G102" t="e">
        <f t="shared" ca="1" si="1"/>
        <v>#VALUE!</v>
      </c>
    </row>
    <row r="103" spans="1:7" ht="15.75" customHeight="1">
      <c r="A103" t="s">
        <v>139</v>
      </c>
      <c r="B103" t="s">
        <v>140</v>
      </c>
      <c r="C103" t="s">
        <v>100</v>
      </c>
      <c r="D103" t="s">
        <v>138</v>
      </c>
      <c r="F103" s="10" t="str">
        <f t="shared" si="0"/>
        <v/>
      </c>
      <c r="G103" t="e">
        <f t="shared" ca="1" si="1"/>
        <v>#VALUE!</v>
      </c>
    </row>
    <row r="104" spans="1:7" ht="15.75" customHeight="1">
      <c r="A104" t="s">
        <v>141</v>
      </c>
      <c r="B104" t="s">
        <v>142</v>
      </c>
      <c r="C104" t="s">
        <v>143</v>
      </c>
      <c r="D104" t="s">
        <v>138</v>
      </c>
      <c r="F104" s="10" t="str">
        <f t="shared" si="0"/>
        <v/>
      </c>
      <c r="G104" t="e">
        <f t="shared" ca="1" si="1"/>
        <v>#VALUE!</v>
      </c>
    </row>
    <row r="105" spans="1:7" ht="15.75" customHeight="1">
      <c r="A105" t="s">
        <v>144</v>
      </c>
      <c r="B105" t="s">
        <v>145</v>
      </c>
      <c r="C105" t="s">
        <v>146</v>
      </c>
      <c r="D105" t="s">
        <v>138</v>
      </c>
      <c r="F105" s="10" t="str">
        <f t="shared" si="0"/>
        <v/>
      </c>
      <c r="G105" t="e">
        <f t="shared" ca="1" si="1"/>
        <v>#VALUE!</v>
      </c>
    </row>
    <row r="106" spans="1:7" ht="15.75" customHeight="1">
      <c r="A106" t="s">
        <v>147</v>
      </c>
      <c r="B106" t="s">
        <v>148</v>
      </c>
      <c r="C106" t="s">
        <v>89</v>
      </c>
      <c r="D106" t="s">
        <v>138</v>
      </c>
      <c r="F106" s="10" t="str">
        <f t="shared" si="0"/>
        <v/>
      </c>
      <c r="G106" t="e">
        <f t="shared" ca="1" si="1"/>
        <v>#VALUE!</v>
      </c>
    </row>
    <row r="107" spans="1:7" ht="15.75" customHeight="1">
      <c r="A107" t="s">
        <v>149</v>
      </c>
      <c r="B107" t="s">
        <v>150</v>
      </c>
      <c r="C107" t="s">
        <v>151</v>
      </c>
      <c r="D107" t="s">
        <v>138</v>
      </c>
      <c r="F107" s="10" t="str">
        <f t="shared" si="0"/>
        <v/>
      </c>
      <c r="G107" t="e">
        <f t="shared" ca="1" si="1"/>
        <v>#VALUE!</v>
      </c>
    </row>
    <row r="108" spans="1:7" ht="15.75" customHeight="1">
      <c r="A108" t="s">
        <v>152</v>
      </c>
      <c r="B108" t="s">
        <v>153</v>
      </c>
      <c r="C108" t="s">
        <v>151</v>
      </c>
      <c r="D108" t="s">
        <v>138</v>
      </c>
      <c r="F108" s="10" t="str">
        <f t="shared" si="0"/>
        <v/>
      </c>
      <c r="G108" t="e">
        <f t="shared" ca="1" si="1"/>
        <v>#VALUE!</v>
      </c>
    </row>
    <row r="109" spans="1:7" ht="15.75" customHeight="1">
      <c r="A109" t="s">
        <v>154</v>
      </c>
      <c r="B109" t="s">
        <v>155</v>
      </c>
      <c r="C109" t="s">
        <v>86</v>
      </c>
      <c r="D109" t="s">
        <v>138</v>
      </c>
      <c r="F109" s="10" t="str">
        <f t="shared" si="0"/>
        <v/>
      </c>
      <c r="G109" t="e">
        <f t="shared" ca="1" si="1"/>
        <v>#VALUE!</v>
      </c>
    </row>
    <row r="110" spans="1:7" ht="15.75" customHeight="1">
      <c r="A110" t="s">
        <v>845</v>
      </c>
      <c r="B110" t="s">
        <v>846</v>
      </c>
      <c r="C110" t="s">
        <v>847</v>
      </c>
      <c r="D110" t="s">
        <v>138</v>
      </c>
      <c r="F110" s="10" t="str">
        <f t="shared" si="0"/>
        <v/>
      </c>
      <c r="G110" t="e">
        <f t="shared" ca="1" si="1"/>
        <v>#VALUE!</v>
      </c>
    </row>
    <row r="111" spans="1:7" ht="15.75" customHeight="1">
      <c r="A111" t="s">
        <v>848</v>
      </c>
      <c r="B111" t="s">
        <v>849</v>
      </c>
      <c r="C111" t="s">
        <v>850</v>
      </c>
      <c r="D111" t="s">
        <v>138</v>
      </c>
      <c r="F111" s="10" t="str">
        <f t="shared" si="0"/>
        <v/>
      </c>
      <c r="G111" t="e">
        <f t="shared" ca="1" si="1"/>
        <v>#VALUE!</v>
      </c>
    </row>
    <row r="112" spans="1:7" ht="15.75" customHeight="1">
      <c r="A112" t="s">
        <v>851</v>
      </c>
      <c r="B112" t="s">
        <v>852</v>
      </c>
      <c r="C112" t="s">
        <v>853</v>
      </c>
      <c r="D112" t="s">
        <v>159</v>
      </c>
      <c r="F112" s="10" t="str">
        <f t="shared" si="0"/>
        <v/>
      </c>
      <c r="G112" t="e">
        <f t="shared" ca="1" si="1"/>
        <v>#VALUE!</v>
      </c>
    </row>
    <row r="113" spans="1:7" ht="15.75" customHeight="1">
      <c r="A113" t="s">
        <v>854</v>
      </c>
      <c r="B113" t="s">
        <v>855</v>
      </c>
      <c r="C113" t="s">
        <v>856</v>
      </c>
      <c r="D113" t="s">
        <v>159</v>
      </c>
      <c r="F113" s="10" t="str">
        <f t="shared" si="0"/>
        <v/>
      </c>
      <c r="G113" t="e">
        <f t="shared" ca="1" si="1"/>
        <v>#VALUE!</v>
      </c>
    </row>
    <row r="114" spans="1:7" ht="15.75" customHeight="1">
      <c r="A114" t="s">
        <v>857</v>
      </c>
      <c r="B114" t="s">
        <v>858</v>
      </c>
      <c r="C114" t="s">
        <v>859</v>
      </c>
      <c r="D114" t="s">
        <v>159</v>
      </c>
      <c r="F114" s="10" t="str">
        <f t="shared" si="0"/>
        <v/>
      </c>
      <c r="G114" t="e">
        <f t="shared" ca="1" si="1"/>
        <v>#VALUE!</v>
      </c>
    </row>
    <row r="115" spans="1:7" ht="15.75" customHeight="1">
      <c r="A115" t="s">
        <v>860</v>
      </c>
      <c r="B115" t="s">
        <v>861</v>
      </c>
      <c r="C115" t="s">
        <v>859</v>
      </c>
      <c r="D115" t="s">
        <v>159</v>
      </c>
      <c r="F115" s="10" t="str">
        <f t="shared" si="0"/>
        <v/>
      </c>
      <c r="G115" t="e">
        <f t="shared" ca="1" si="1"/>
        <v>#VALUE!</v>
      </c>
    </row>
    <row r="116" spans="1:7" ht="15.75" customHeight="1">
      <c r="A116" t="s">
        <v>862</v>
      </c>
      <c r="B116" t="s">
        <v>863</v>
      </c>
      <c r="C116" t="s">
        <v>864</v>
      </c>
      <c r="D116" t="s">
        <v>159</v>
      </c>
      <c r="F116" s="10" t="str">
        <f t="shared" si="0"/>
        <v/>
      </c>
      <c r="G116" t="e">
        <f t="shared" ca="1" si="1"/>
        <v>#VALUE!</v>
      </c>
    </row>
    <row r="117" spans="1:7" ht="15.75" customHeight="1">
      <c r="A117" t="s">
        <v>156</v>
      </c>
      <c r="B117" t="s">
        <v>157</v>
      </c>
      <c r="C117" t="s">
        <v>158</v>
      </c>
      <c r="D117" t="s">
        <v>159</v>
      </c>
      <c r="F117" s="10" t="str">
        <f t="shared" si="0"/>
        <v/>
      </c>
      <c r="G117" t="e">
        <f t="shared" ca="1" si="1"/>
        <v>#VALUE!</v>
      </c>
    </row>
    <row r="118" spans="1:7" ht="15.75" customHeight="1">
      <c r="A118" t="s">
        <v>160</v>
      </c>
      <c r="B118" t="s">
        <v>161</v>
      </c>
      <c r="C118" t="s">
        <v>162</v>
      </c>
      <c r="D118" t="s">
        <v>159</v>
      </c>
      <c r="F118" s="10" t="str">
        <f t="shared" si="0"/>
        <v/>
      </c>
      <c r="G118" t="e">
        <f t="shared" ca="1" si="1"/>
        <v>#VALUE!</v>
      </c>
    </row>
    <row r="119" spans="1:7" ht="15.75" customHeight="1">
      <c r="A119" t="s">
        <v>163</v>
      </c>
      <c r="B119" t="s">
        <v>164</v>
      </c>
      <c r="C119" t="s">
        <v>162</v>
      </c>
      <c r="D119" t="s">
        <v>159</v>
      </c>
      <c r="F119" s="10" t="str">
        <f t="shared" si="0"/>
        <v/>
      </c>
      <c r="G119" t="e">
        <f t="shared" ca="1" si="1"/>
        <v>#VALUE!</v>
      </c>
    </row>
    <row r="120" spans="1:7" ht="15.75" customHeight="1">
      <c r="A120" t="s">
        <v>165</v>
      </c>
      <c r="B120" t="s">
        <v>166</v>
      </c>
      <c r="C120" t="s">
        <v>46</v>
      </c>
      <c r="D120" t="s">
        <v>159</v>
      </c>
      <c r="F120" s="10" t="str">
        <f t="shared" si="0"/>
        <v/>
      </c>
      <c r="G120" t="e">
        <f t="shared" ca="1" si="1"/>
        <v>#VALUE!</v>
      </c>
    </row>
    <row r="121" spans="1:7" ht="15.75" customHeight="1">
      <c r="A121" t="s">
        <v>167</v>
      </c>
      <c r="B121" t="s">
        <v>168</v>
      </c>
      <c r="C121" t="s">
        <v>46</v>
      </c>
      <c r="D121" t="s">
        <v>159</v>
      </c>
      <c r="F121" s="10" t="str">
        <f t="shared" si="0"/>
        <v/>
      </c>
      <c r="G121" t="e">
        <f t="shared" ca="1" si="1"/>
        <v>#VALUE!</v>
      </c>
    </row>
    <row r="122" spans="1:7" ht="15.75" customHeight="1">
      <c r="A122" t="s">
        <v>169</v>
      </c>
      <c r="B122" t="s">
        <v>170</v>
      </c>
      <c r="C122" t="s">
        <v>146</v>
      </c>
      <c r="D122" t="s">
        <v>159</v>
      </c>
      <c r="F122" s="10" t="str">
        <f t="shared" si="0"/>
        <v/>
      </c>
      <c r="G122" t="e">
        <f t="shared" ca="1" si="1"/>
        <v>#VALUE!</v>
      </c>
    </row>
    <row r="123" spans="1:7" ht="15.75" customHeight="1">
      <c r="A123" t="s">
        <v>171</v>
      </c>
      <c r="B123" t="s">
        <v>172</v>
      </c>
      <c r="C123" t="s">
        <v>146</v>
      </c>
      <c r="D123" t="s">
        <v>159</v>
      </c>
      <c r="F123" s="10" t="str">
        <f t="shared" si="0"/>
        <v/>
      </c>
      <c r="G123" t="e">
        <f t="shared" ca="1" si="1"/>
        <v>#VALUE!</v>
      </c>
    </row>
    <row r="124" spans="1:7" ht="15.75" customHeight="1">
      <c r="A124" t="s">
        <v>865</v>
      </c>
      <c r="B124" t="s">
        <v>866</v>
      </c>
      <c r="C124" t="s">
        <v>867</v>
      </c>
      <c r="D124" t="s">
        <v>159</v>
      </c>
      <c r="F124" s="10" t="str">
        <f t="shared" si="0"/>
        <v/>
      </c>
      <c r="G124" t="e">
        <f t="shared" ca="1" si="1"/>
        <v>#VALUE!</v>
      </c>
    </row>
    <row r="125" spans="1:7" ht="15.75" customHeight="1">
      <c r="A125" t="s">
        <v>173</v>
      </c>
      <c r="B125" t="s">
        <v>174</v>
      </c>
      <c r="C125" t="s">
        <v>175</v>
      </c>
      <c r="D125" t="s">
        <v>159</v>
      </c>
      <c r="F125" s="10" t="str">
        <f t="shared" si="0"/>
        <v/>
      </c>
      <c r="G125" t="e">
        <f t="shared" ca="1" si="1"/>
        <v>#VALUE!</v>
      </c>
    </row>
    <row r="126" spans="1:7" ht="15.75" customHeight="1">
      <c r="A126" t="s">
        <v>176</v>
      </c>
      <c r="B126" t="s">
        <v>177</v>
      </c>
      <c r="C126" t="s">
        <v>178</v>
      </c>
      <c r="D126" t="s">
        <v>159</v>
      </c>
      <c r="F126" s="10" t="str">
        <f t="shared" si="0"/>
        <v/>
      </c>
      <c r="G126" t="e">
        <f t="shared" ca="1" si="1"/>
        <v>#VALUE!</v>
      </c>
    </row>
    <row r="127" spans="1:7" ht="15.75" customHeight="1">
      <c r="A127" t="s">
        <v>179</v>
      </c>
      <c r="B127" t="s">
        <v>180</v>
      </c>
      <c r="C127" t="s">
        <v>181</v>
      </c>
      <c r="D127" t="s">
        <v>159</v>
      </c>
      <c r="F127" s="10" t="str">
        <f t="shared" si="0"/>
        <v/>
      </c>
      <c r="G127" t="e">
        <f t="shared" ca="1" si="1"/>
        <v>#VALUE!</v>
      </c>
    </row>
    <row r="128" spans="1:7" ht="15.75" customHeight="1">
      <c r="A128" t="s">
        <v>868</v>
      </c>
      <c r="B128" t="s">
        <v>869</v>
      </c>
      <c r="C128" t="s">
        <v>870</v>
      </c>
      <c r="D128" t="s">
        <v>159</v>
      </c>
      <c r="F128" s="10" t="str">
        <f t="shared" si="0"/>
        <v/>
      </c>
      <c r="G128" t="e">
        <f t="shared" ca="1" si="1"/>
        <v>#VALUE!</v>
      </c>
    </row>
    <row r="129" spans="1:7" ht="15.75" customHeight="1">
      <c r="A129" t="s">
        <v>871</v>
      </c>
      <c r="B129" t="s">
        <v>872</v>
      </c>
      <c r="C129" t="s">
        <v>870</v>
      </c>
      <c r="D129" t="s">
        <v>159</v>
      </c>
      <c r="F129" s="10" t="str">
        <f t="shared" si="0"/>
        <v/>
      </c>
      <c r="G129" t="e">
        <f t="shared" ca="1" si="1"/>
        <v>#VALUE!</v>
      </c>
    </row>
    <row r="130" spans="1:7" ht="15.75" customHeight="1">
      <c r="A130" t="s">
        <v>873</v>
      </c>
      <c r="B130" t="s">
        <v>874</v>
      </c>
      <c r="C130" t="s">
        <v>870</v>
      </c>
      <c r="D130" t="s">
        <v>159</v>
      </c>
      <c r="F130" s="10" t="str">
        <f t="shared" si="0"/>
        <v/>
      </c>
      <c r="G130" t="e">
        <f t="shared" ca="1" si="1"/>
        <v>#VALUE!</v>
      </c>
    </row>
    <row r="131" spans="1:7" ht="15.75" customHeight="1">
      <c r="A131" t="s">
        <v>875</v>
      </c>
      <c r="B131" t="s">
        <v>876</v>
      </c>
      <c r="C131" t="s">
        <v>877</v>
      </c>
      <c r="D131" t="s">
        <v>159</v>
      </c>
      <c r="F131" s="10" t="str">
        <f t="shared" si="0"/>
        <v/>
      </c>
      <c r="G131" t="e">
        <f t="shared" ca="1" si="1"/>
        <v>#VALUE!</v>
      </c>
    </row>
    <row r="132" spans="1:7" ht="15.75" customHeight="1">
      <c r="A132" t="s">
        <v>878</v>
      </c>
      <c r="B132" t="s">
        <v>879</v>
      </c>
      <c r="C132" t="s">
        <v>880</v>
      </c>
      <c r="D132" t="s">
        <v>159</v>
      </c>
      <c r="F132" s="10" t="str">
        <f t="shared" si="0"/>
        <v/>
      </c>
      <c r="G132" t="e">
        <f t="shared" ca="1" si="1"/>
        <v>#VALUE!</v>
      </c>
    </row>
    <row r="133" spans="1:7" ht="15.75" customHeight="1">
      <c r="A133" t="s">
        <v>881</v>
      </c>
      <c r="B133" t="s">
        <v>882</v>
      </c>
      <c r="C133" t="s">
        <v>880</v>
      </c>
      <c r="D133" t="s">
        <v>159</v>
      </c>
      <c r="F133" s="10" t="str">
        <f t="shared" si="0"/>
        <v/>
      </c>
      <c r="G133" t="e">
        <f t="shared" ca="1" si="1"/>
        <v>#VALUE!</v>
      </c>
    </row>
    <row r="134" spans="1:7" ht="15.75" customHeight="1">
      <c r="A134" t="s">
        <v>883</v>
      </c>
      <c r="B134" t="s">
        <v>884</v>
      </c>
      <c r="C134" t="s">
        <v>885</v>
      </c>
      <c r="D134" t="s">
        <v>159</v>
      </c>
      <c r="F134" s="10" t="str">
        <f t="shared" si="0"/>
        <v/>
      </c>
      <c r="G134" t="e">
        <f t="shared" ca="1" si="1"/>
        <v>#VALUE!</v>
      </c>
    </row>
    <row r="135" spans="1:7" ht="15.75" customHeight="1">
      <c r="A135" t="s">
        <v>886</v>
      </c>
      <c r="B135" t="s">
        <v>887</v>
      </c>
      <c r="C135" t="s">
        <v>885</v>
      </c>
      <c r="D135" t="s">
        <v>159</v>
      </c>
      <c r="F135" s="10" t="str">
        <f t="shared" si="0"/>
        <v/>
      </c>
      <c r="G135" t="e">
        <f t="shared" ca="1" si="1"/>
        <v>#VALUE!</v>
      </c>
    </row>
    <row r="136" spans="1:7" ht="15.75" customHeight="1">
      <c r="A136" t="s">
        <v>888</v>
      </c>
      <c r="B136" t="s">
        <v>889</v>
      </c>
      <c r="C136" t="s">
        <v>890</v>
      </c>
      <c r="D136" t="s">
        <v>159</v>
      </c>
      <c r="F136" s="10" t="str">
        <f t="shared" si="0"/>
        <v/>
      </c>
      <c r="G136" t="e">
        <f t="shared" ca="1" si="1"/>
        <v>#VALUE!</v>
      </c>
    </row>
    <row r="137" spans="1:7" ht="15.75" customHeight="1">
      <c r="A137" t="s">
        <v>891</v>
      </c>
      <c r="B137" t="s">
        <v>892</v>
      </c>
      <c r="C137" t="s">
        <v>890</v>
      </c>
      <c r="D137" t="s">
        <v>159</v>
      </c>
      <c r="F137" s="10" t="str">
        <f t="shared" si="0"/>
        <v/>
      </c>
      <c r="G137" t="e">
        <f t="shared" ca="1" si="1"/>
        <v>#VALUE!</v>
      </c>
    </row>
    <row r="138" spans="1:7" ht="15.75" customHeight="1">
      <c r="A138" t="s">
        <v>893</v>
      </c>
      <c r="B138" t="s">
        <v>894</v>
      </c>
      <c r="C138" t="s">
        <v>890</v>
      </c>
      <c r="D138" t="s">
        <v>159</v>
      </c>
      <c r="F138" s="10" t="str">
        <f t="shared" si="0"/>
        <v/>
      </c>
      <c r="G138" t="e">
        <f t="shared" ca="1" si="1"/>
        <v>#VALUE!</v>
      </c>
    </row>
    <row r="139" spans="1:7" ht="15.75" customHeight="1">
      <c r="A139" t="s">
        <v>895</v>
      </c>
      <c r="B139" t="s">
        <v>896</v>
      </c>
      <c r="C139" t="s">
        <v>897</v>
      </c>
      <c r="D139" t="s">
        <v>159</v>
      </c>
      <c r="F139" s="10" t="str">
        <f t="shared" si="0"/>
        <v/>
      </c>
      <c r="G139" t="e">
        <f t="shared" ca="1" si="1"/>
        <v>#VALUE!</v>
      </c>
    </row>
    <row r="140" spans="1:7" ht="15.75" customHeight="1">
      <c r="A140" t="s">
        <v>898</v>
      </c>
      <c r="B140" t="s">
        <v>899</v>
      </c>
      <c r="C140" t="s">
        <v>897</v>
      </c>
      <c r="D140" t="s">
        <v>159</v>
      </c>
      <c r="F140" s="10" t="str">
        <f t="shared" si="0"/>
        <v/>
      </c>
      <c r="G140" t="e">
        <f t="shared" ca="1" si="1"/>
        <v>#VALUE!</v>
      </c>
    </row>
    <row r="141" spans="1:7" ht="15.75" customHeight="1">
      <c r="A141" t="s">
        <v>900</v>
      </c>
      <c r="B141" t="s">
        <v>901</v>
      </c>
      <c r="C141" t="s">
        <v>902</v>
      </c>
      <c r="D141" t="s">
        <v>159</v>
      </c>
      <c r="F141" s="10" t="str">
        <f t="shared" si="0"/>
        <v/>
      </c>
      <c r="G141" t="e">
        <f t="shared" ca="1" si="1"/>
        <v>#VALUE!</v>
      </c>
    </row>
    <row r="142" spans="1:7" ht="15.75" customHeight="1">
      <c r="A142" t="s">
        <v>903</v>
      </c>
      <c r="B142" t="s">
        <v>904</v>
      </c>
      <c r="C142" t="s">
        <v>859</v>
      </c>
      <c r="D142" t="s">
        <v>159</v>
      </c>
      <c r="F142" s="10" t="str">
        <f t="shared" si="0"/>
        <v/>
      </c>
      <c r="G142" t="e">
        <f t="shared" ca="1" si="1"/>
        <v>#VALUE!</v>
      </c>
    </row>
    <row r="143" spans="1:7" ht="15.75" customHeight="1">
      <c r="A143" t="s">
        <v>905</v>
      </c>
      <c r="B143" t="s">
        <v>906</v>
      </c>
      <c r="C143" t="s">
        <v>907</v>
      </c>
      <c r="D143" t="s">
        <v>159</v>
      </c>
      <c r="F143" s="10" t="str">
        <f t="shared" si="0"/>
        <v/>
      </c>
      <c r="G143" t="e">
        <f t="shared" ca="1" si="1"/>
        <v>#VALUE!</v>
      </c>
    </row>
    <row r="144" spans="1:7" ht="15.75" customHeight="1">
      <c r="A144" t="s">
        <v>908</v>
      </c>
      <c r="B144" t="s">
        <v>909</v>
      </c>
      <c r="C144" t="s">
        <v>910</v>
      </c>
      <c r="D144" t="s">
        <v>159</v>
      </c>
      <c r="F144" s="10" t="str">
        <f t="shared" si="0"/>
        <v/>
      </c>
      <c r="G144" t="e">
        <f t="shared" ca="1" si="1"/>
        <v>#VALUE!</v>
      </c>
    </row>
    <row r="145" spans="1:7" ht="15.75" customHeight="1">
      <c r="A145" t="s">
        <v>911</v>
      </c>
      <c r="B145" t="s">
        <v>912</v>
      </c>
      <c r="C145" t="s">
        <v>910</v>
      </c>
      <c r="D145" t="s">
        <v>159</v>
      </c>
      <c r="F145" s="10" t="str">
        <f t="shared" si="0"/>
        <v/>
      </c>
      <c r="G145" t="e">
        <f t="shared" ca="1" si="1"/>
        <v>#VALUE!</v>
      </c>
    </row>
    <row r="146" spans="1:7" ht="15.75" customHeight="1">
      <c r="A146" t="s">
        <v>913</v>
      </c>
      <c r="B146" t="s">
        <v>914</v>
      </c>
      <c r="C146" t="s">
        <v>915</v>
      </c>
      <c r="D146" t="s">
        <v>159</v>
      </c>
      <c r="F146" s="10" t="str">
        <f t="shared" si="0"/>
        <v/>
      </c>
      <c r="G146" t="e">
        <f t="shared" ca="1" si="1"/>
        <v>#VALUE!</v>
      </c>
    </row>
    <row r="147" spans="1:7" ht="15.75" customHeight="1">
      <c r="A147" t="s">
        <v>916</v>
      </c>
      <c r="B147" t="s">
        <v>917</v>
      </c>
      <c r="C147" t="s">
        <v>918</v>
      </c>
      <c r="D147" t="s">
        <v>159</v>
      </c>
      <c r="F147" s="10" t="str">
        <f t="shared" si="0"/>
        <v/>
      </c>
      <c r="G147" t="e">
        <f t="shared" ca="1" si="1"/>
        <v>#VALUE!</v>
      </c>
    </row>
    <row r="148" spans="1:7" ht="15.75" customHeight="1">
      <c r="A148" t="s">
        <v>919</v>
      </c>
      <c r="B148" t="s">
        <v>920</v>
      </c>
      <c r="C148" t="s">
        <v>921</v>
      </c>
      <c r="D148" t="s">
        <v>159</v>
      </c>
      <c r="F148" s="10" t="str">
        <f t="shared" si="0"/>
        <v/>
      </c>
      <c r="G148" t="e">
        <f t="shared" ca="1" si="1"/>
        <v>#VALUE!</v>
      </c>
    </row>
    <row r="149" spans="1:7" ht="15.75" customHeight="1">
      <c r="A149" t="s">
        <v>922</v>
      </c>
      <c r="B149" t="s">
        <v>923</v>
      </c>
      <c r="C149" t="s">
        <v>924</v>
      </c>
      <c r="D149" t="s">
        <v>159</v>
      </c>
      <c r="F149" s="10" t="str">
        <f t="shared" si="0"/>
        <v/>
      </c>
      <c r="G149" t="e">
        <f t="shared" ca="1" si="1"/>
        <v>#VALUE!</v>
      </c>
    </row>
    <row r="150" spans="1:7" ht="15.75" customHeight="1">
      <c r="A150" t="s">
        <v>925</v>
      </c>
      <c r="B150" t="s">
        <v>926</v>
      </c>
      <c r="C150" t="s">
        <v>927</v>
      </c>
      <c r="D150" t="s">
        <v>159</v>
      </c>
      <c r="F150" s="10" t="str">
        <f t="shared" si="0"/>
        <v/>
      </c>
      <c r="G150" t="e">
        <f t="shared" ca="1" si="1"/>
        <v>#VALUE!</v>
      </c>
    </row>
    <row r="151" spans="1:7" ht="15.75" customHeight="1">
      <c r="A151" t="s">
        <v>182</v>
      </c>
      <c r="B151" t="s">
        <v>183</v>
      </c>
      <c r="C151" t="s">
        <v>184</v>
      </c>
      <c r="D151" t="s">
        <v>159</v>
      </c>
      <c r="F151" s="10" t="str">
        <f t="shared" si="0"/>
        <v/>
      </c>
      <c r="G151" t="e">
        <f t="shared" ca="1" si="1"/>
        <v>#VALUE!</v>
      </c>
    </row>
    <row r="152" spans="1:7" ht="15.75" customHeight="1">
      <c r="A152" t="s">
        <v>185</v>
      </c>
      <c r="B152" t="s">
        <v>186</v>
      </c>
      <c r="C152" t="s">
        <v>184</v>
      </c>
      <c r="D152" t="s">
        <v>159</v>
      </c>
      <c r="F152" s="10" t="str">
        <f t="shared" si="0"/>
        <v/>
      </c>
      <c r="G152" t="e">
        <f t="shared" ca="1" si="1"/>
        <v>#VALUE!</v>
      </c>
    </row>
    <row r="153" spans="1:7" ht="15.75" customHeight="1">
      <c r="A153" t="s">
        <v>187</v>
      </c>
      <c r="B153" t="s">
        <v>188</v>
      </c>
      <c r="C153" t="s">
        <v>46</v>
      </c>
      <c r="D153" t="s">
        <v>159</v>
      </c>
      <c r="F153" s="10" t="str">
        <f t="shared" si="0"/>
        <v/>
      </c>
      <c r="G153" t="e">
        <f t="shared" ca="1" si="1"/>
        <v>#VALUE!</v>
      </c>
    </row>
    <row r="154" spans="1:7" ht="15.75" customHeight="1">
      <c r="A154" t="s">
        <v>189</v>
      </c>
      <c r="B154" t="s">
        <v>190</v>
      </c>
      <c r="C154" t="s">
        <v>46</v>
      </c>
      <c r="D154" t="s">
        <v>159</v>
      </c>
      <c r="F154" s="10" t="str">
        <f t="shared" si="0"/>
        <v/>
      </c>
      <c r="G154" t="e">
        <f t="shared" ca="1" si="1"/>
        <v>#VALUE!</v>
      </c>
    </row>
    <row r="155" spans="1:7" ht="15.75" customHeight="1">
      <c r="A155" t="s">
        <v>191</v>
      </c>
      <c r="B155" t="s">
        <v>192</v>
      </c>
      <c r="C155" t="s">
        <v>46</v>
      </c>
      <c r="D155" t="s">
        <v>159</v>
      </c>
      <c r="F155" s="10" t="str">
        <f t="shared" si="0"/>
        <v/>
      </c>
      <c r="G155" t="e">
        <f t="shared" ca="1" si="1"/>
        <v>#VALUE!</v>
      </c>
    </row>
    <row r="156" spans="1:7" ht="15.75" customHeight="1">
      <c r="A156" t="s">
        <v>193</v>
      </c>
      <c r="B156" t="s">
        <v>194</v>
      </c>
      <c r="C156" t="s">
        <v>46</v>
      </c>
      <c r="D156" t="s">
        <v>159</v>
      </c>
      <c r="F156" s="10" t="str">
        <f t="shared" si="0"/>
        <v/>
      </c>
      <c r="G156" t="e">
        <f t="shared" ca="1" si="1"/>
        <v>#VALUE!</v>
      </c>
    </row>
    <row r="157" spans="1:7" ht="15.75" customHeight="1">
      <c r="A157" t="s">
        <v>195</v>
      </c>
      <c r="B157" t="s">
        <v>196</v>
      </c>
      <c r="C157" t="s">
        <v>46</v>
      </c>
      <c r="D157" t="s">
        <v>159</v>
      </c>
      <c r="F157" s="10" t="str">
        <f t="shared" si="0"/>
        <v/>
      </c>
      <c r="G157" t="e">
        <f t="shared" ca="1" si="1"/>
        <v>#VALUE!</v>
      </c>
    </row>
    <row r="158" spans="1:7" ht="15.75" customHeight="1">
      <c r="A158" t="s">
        <v>197</v>
      </c>
      <c r="B158" t="s">
        <v>198</v>
      </c>
      <c r="C158" t="s">
        <v>46</v>
      </c>
      <c r="D158" t="s">
        <v>159</v>
      </c>
      <c r="F158" s="10" t="str">
        <f t="shared" si="0"/>
        <v/>
      </c>
      <c r="G158" t="e">
        <f t="shared" ca="1" si="1"/>
        <v>#VALUE!</v>
      </c>
    </row>
    <row r="159" spans="1:7" ht="15.75" customHeight="1">
      <c r="A159" t="s">
        <v>199</v>
      </c>
      <c r="B159" t="s">
        <v>200</v>
      </c>
      <c r="C159" t="s">
        <v>46</v>
      </c>
      <c r="D159" t="s">
        <v>159</v>
      </c>
      <c r="F159" s="10" t="str">
        <f t="shared" si="0"/>
        <v/>
      </c>
      <c r="G159" t="e">
        <f t="shared" ca="1" si="1"/>
        <v>#VALUE!</v>
      </c>
    </row>
    <row r="160" spans="1:7" ht="15.75" customHeight="1">
      <c r="A160" t="s">
        <v>201</v>
      </c>
      <c r="B160" t="s">
        <v>202</v>
      </c>
      <c r="C160" t="s">
        <v>46</v>
      </c>
      <c r="D160" t="s">
        <v>159</v>
      </c>
      <c r="F160" s="10" t="str">
        <f t="shared" si="0"/>
        <v/>
      </c>
      <c r="G160" t="e">
        <f t="shared" ca="1" si="1"/>
        <v>#VALUE!</v>
      </c>
    </row>
    <row r="161" spans="1:7" ht="15.75" customHeight="1">
      <c r="A161" t="s">
        <v>203</v>
      </c>
      <c r="B161" t="s">
        <v>204</v>
      </c>
      <c r="C161" t="s">
        <v>46</v>
      </c>
      <c r="D161" t="s">
        <v>159</v>
      </c>
      <c r="F161" s="10" t="str">
        <f t="shared" si="0"/>
        <v/>
      </c>
      <c r="G161" t="e">
        <f t="shared" ca="1" si="1"/>
        <v>#VALUE!</v>
      </c>
    </row>
    <row r="162" spans="1:7" ht="15.75" customHeight="1">
      <c r="A162" t="s">
        <v>205</v>
      </c>
      <c r="B162" t="s">
        <v>206</v>
      </c>
      <c r="C162" t="s">
        <v>46</v>
      </c>
      <c r="D162" t="s">
        <v>159</v>
      </c>
      <c r="F162" s="10" t="str">
        <f t="shared" si="0"/>
        <v/>
      </c>
      <c r="G162" t="e">
        <f t="shared" ca="1" si="1"/>
        <v>#VALUE!</v>
      </c>
    </row>
    <row r="163" spans="1:7" ht="15.75" customHeight="1">
      <c r="A163" t="s">
        <v>207</v>
      </c>
      <c r="B163" t="s">
        <v>208</v>
      </c>
      <c r="C163" t="s">
        <v>46</v>
      </c>
      <c r="D163" t="s">
        <v>159</v>
      </c>
      <c r="F163" s="10" t="str">
        <f t="shared" si="0"/>
        <v/>
      </c>
      <c r="G163" t="e">
        <f t="shared" ca="1" si="1"/>
        <v>#VALUE!</v>
      </c>
    </row>
    <row r="164" spans="1:7" ht="15.75" customHeight="1">
      <c r="A164" t="s">
        <v>209</v>
      </c>
      <c r="B164" t="s">
        <v>210</v>
      </c>
      <c r="C164" t="s">
        <v>46</v>
      </c>
      <c r="D164" t="s">
        <v>159</v>
      </c>
      <c r="F164" s="10" t="str">
        <f t="shared" si="0"/>
        <v/>
      </c>
      <c r="G164" t="e">
        <f t="shared" ca="1" si="1"/>
        <v>#VALUE!</v>
      </c>
    </row>
    <row r="165" spans="1:7" ht="15.75" customHeight="1">
      <c r="A165" t="s">
        <v>211</v>
      </c>
      <c r="B165" t="s">
        <v>212</v>
      </c>
      <c r="C165" t="s">
        <v>46</v>
      </c>
      <c r="D165" t="s">
        <v>159</v>
      </c>
      <c r="F165" s="10" t="str">
        <f t="shared" si="0"/>
        <v/>
      </c>
      <c r="G165" t="e">
        <f t="shared" ca="1" si="1"/>
        <v>#VALUE!</v>
      </c>
    </row>
    <row r="166" spans="1:7" ht="15.75" customHeight="1">
      <c r="A166" t="s">
        <v>213</v>
      </c>
      <c r="B166" t="s">
        <v>214</v>
      </c>
      <c r="C166" t="s">
        <v>46</v>
      </c>
      <c r="D166" t="s">
        <v>159</v>
      </c>
      <c r="F166" s="10" t="str">
        <f t="shared" si="0"/>
        <v/>
      </c>
      <c r="G166" t="e">
        <f t="shared" ca="1" si="1"/>
        <v>#VALUE!</v>
      </c>
    </row>
    <row r="167" spans="1:7" ht="15.75" customHeight="1">
      <c r="A167" t="s">
        <v>215</v>
      </c>
      <c r="B167" t="s">
        <v>216</v>
      </c>
      <c r="C167" t="s">
        <v>46</v>
      </c>
      <c r="D167" t="s">
        <v>159</v>
      </c>
      <c r="F167" s="10" t="str">
        <f t="shared" si="0"/>
        <v/>
      </c>
      <c r="G167" t="e">
        <f t="shared" ca="1" si="1"/>
        <v>#VALUE!</v>
      </c>
    </row>
    <row r="168" spans="1:7" ht="15.75" customHeight="1">
      <c r="A168" t="s">
        <v>217</v>
      </c>
      <c r="B168" t="s">
        <v>218</v>
      </c>
      <c r="C168" t="s">
        <v>46</v>
      </c>
      <c r="D168" t="s">
        <v>159</v>
      </c>
      <c r="F168" s="10" t="str">
        <f t="shared" si="0"/>
        <v/>
      </c>
      <c r="G168" t="e">
        <f t="shared" ca="1" si="1"/>
        <v>#VALUE!</v>
      </c>
    </row>
    <row r="169" spans="1:7" ht="15.75" customHeight="1">
      <c r="A169" t="s">
        <v>219</v>
      </c>
      <c r="B169" t="s">
        <v>220</v>
      </c>
      <c r="C169" t="s">
        <v>46</v>
      </c>
      <c r="D169" t="s">
        <v>159</v>
      </c>
      <c r="F169" s="10" t="str">
        <f t="shared" si="0"/>
        <v/>
      </c>
      <c r="G169" t="e">
        <f t="shared" ca="1" si="1"/>
        <v>#VALUE!</v>
      </c>
    </row>
    <row r="170" spans="1:7" ht="15.75" customHeight="1">
      <c r="A170" t="s">
        <v>221</v>
      </c>
      <c r="B170" t="s">
        <v>222</v>
      </c>
      <c r="C170" t="s">
        <v>46</v>
      </c>
      <c r="D170" t="s">
        <v>159</v>
      </c>
      <c r="F170" s="10" t="str">
        <f t="shared" si="0"/>
        <v/>
      </c>
      <c r="G170" t="e">
        <f t="shared" ca="1" si="1"/>
        <v>#VALUE!</v>
      </c>
    </row>
    <row r="171" spans="1:7" ht="15.75" customHeight="1">
      <c r="A171" t="s">
        <v>223</v>
      </c>
      <c r="B171" t="s">
        <v>224</v>
      </c>
      <c r="C171" t="s">
        <v>46</v>
      </c>
      <c r="D171" t="s">
        <v>159</v>
      </c>
      <c r="F171" s="10" t="str">
        <f t="shared" si="0"/>
        <v/>
      </c>
      <c r="G171" t="e">
        <f t="shared" ca="1" si="1"/>
        <v>#VALUE!</v>
      </c>
    </row>
    <row r="172" spans="1:7" ht="15.75" customHeight="1">
      <c r="A172" t="s">
        <v>225</v>
      </c>
      <c r="B172" t="s">
        <v>226</v>
      </c>
      <c r="C172" t="s">
        <v>46</v>
      </c>
      <c r="D172" t="s">
        <v>159</v>
      </c>
      <c r="F172" s="10" t="str">
        <f t="shared" si="0"/>
        <v/>
      </c>
      <c r="G172" t="e">
        <f t="shared" ca="1" si="1"/>
        <v>#VALUE!</v>
      </c>
    </row>
    <row r="173" spans="1:7" ht="15.75" customHeight="1">
      <c r="A173" t="s">
        <v>227</v>
      </c>
      <c r="B173" t="s">
        <v>228</v>
      </c>
      <c r="C173" t="s">
        <v>46</v>
      </c>
      <c r="D173" t="s">
        <v>159</v>
      </c>
      <c r="F173" s="10" t="str">
        <f t="shared" si="0"/>
        <v/>
      </c>
      <c r="G173" t="e">
        <f t="shared" ca="1" si="1"/>
        <v>#VALUE!</v>
      </c>
    </row>
    <row r="174" spans="1:7" ht="15.75" customHeight="1">
      <c r="A174" t="s">
        <v>229</v>
      </c>
      <c r="B174" t="s">
        <v>230</v>
      </c>
      <c r="C174" t="s">
        <v>46</v>
      </c>
      <c r="D174" t="s">
        <v>159</v>
      </c>
      <c r="F174" s="10" t="str">
        <f t="shared" si="0"/>
        <v/>
      </c>
      <c r="G174" t="e">
        <f t="shared" ca="1" si="1"/>
        <v>#VALUE!</v>
      </c>
    </row>
    <row r="175" spans="1:7" ht="15.75" customHeight="1">
      <c r="A175" t="s">
        <v>231</v>
      </c>
      <c r="B175" t="s">
        <v>232</v>
      </c>
      <c r="C175" t="s">
        <v>46</v>
      </c>
      <c r="D175" t="s">
        <v>159</v>
      </c>
      <c r="F175" s="10" t="str">
        <f t="shared" si="0"/>
        <v/>
      </c>
      <c r="G175" t="e">
        <f t="shared" ca="1" si="1"/>
        <v>#VALUE!</v>
      </c>
    </row>
    <row r="176" spans="1:7" ht="15.75" customHeight="1">
      <c r="A176" t="s">
        <v>233</v>
      </c>
      <c r="B176" t="s">
        <v>234</v>
      </c>
      <c r="C176" t="s">
        <v>146</v>
      </c>
      <c r="D176" t="s">
        <v>159</v>
      </c>
      <c r="F176" s="10" t="str">
        <f t="shared" si="0"/>
        <v/>
      </c>
      <c r="G176" t="e">
        <f t="shared" ca="1" si="1"/>
        <v>#VALUE!</v>
      </c>
    </row>
    <row r="177" spans="1:7" ht="15.75" customHeight="1">
      <c r="A177" t="s">
        <v>235</v>
      </c>
      <c r="B177" t="s">
        <v>236</v>
      </c>
      <c r="C177" t="s">
        <v>146</v>
      </c>
      <c r="D177" t="s">
        <v>159</v>
      </c>
      <c r="F177" s="10" t="str">
        <f t="shared" si="0"/>
        <v/>
      </c>
      <c r="G177" t="e">
        <f t="shared" ca="1" si="1"/>
        <v>#VALUE!</v>
      </c>
    </row>
    <row r="178" spans="1:7" ht="15.75" customHeight="1">
      <c r="A178" t="s">
        <v>237</v>
      </c>
      <c r="B178" t="s">
        <v>238</v>
      </c>
      <c r="C178" t="s">
        <v>146</v>
      </c>
      <c r="D178" t="s">
        <v>159</v>
      </c>
      <c r="F178" s="10" t="str">
        <f t="shared" si="0"/>
        <v/>
      </c>
      <c r="G178" t="e">
        <f t="shared" ca="1" si="1"/>
        <v>#VALUE!</v>
      </c>
    </row>
    <row r="179" spans="1:7" ht="15.75" customHeight="1">
      <c r="A179" t="s">
        <v>239</v>
      </c>
      <c r="B179" t="s">
        <v>240</v>
      </c>
      <c r="C179" t="s">
        <v>146</v>
      </c>
      <c r="D179" t="s">
        <v>159</v>
      </c>
      <c r="F179" s="10" t="str">
        <f t="shared" si="0"/>
        <v/>
      </c>
      <c r="G179" t="e">
        <f t="shared" ca="1" si="1"/>
        <v>#VALUE!</v>
      </c>
    </row>
    <row r="180" spans="1:7" ht="15.75" customHeight="1">
      <c r="A180" t="s">
        <v>241</v>
      </c>
      <c r="B180" t="s">
        <v>242</v>
      </c>
      <c r="C180" t="s">
        <v>71</v>
      </c>
      <c r="D180" t="s">
        <v>159</v>
      </c>
      <c r="F180" s="10" t="str">
        <f t="shared" si="0"/>
        <v/>
      </c>
      <c r="G180" t="e">
        <f t="shared" ca="1" si="1"/>
        <v>#VALUE!</v>
      </c>
    </row>
    <row r="181" spans="1:7" ht="15.75" customHeight="1">
      <c r="A181" t="s">
        <v>243</v>
      </c>
      <c r="B181" t="s">
        <v>244</v>
      </c>
      <c r="C181" t="s">
        <v>71</v>
      </c>
      <c r="D181" t="s">
        <v>159</v>
      </c>
      <c r="F181" s="10" t="str">
        <f t="shared" si="0"/>
        <v/>
      </c>
      <c r="G181" t="e">
        <f t="shared" ca="1" si="1"/>
        <v>#VALUE!</v>
      </c>
    </row>
    <row r="182" spans="1:7" ht="15.75" customHeight="1">
      <c r="A182" t="s">
        <v>245</v>
      </c>
      <c r="B182" t="s">
        <v>246</v>
      </c>
      <c r="C182" t="s">
        <v>247</v>
      </c>
      <c r="D182" t="s">
        <v>159</v>
      </c>
      <c r="F182" s="10" t="str">
        <f t="shared" si="0"/>
        <v/>
      </c>
      <c r="G182" t="e">
        <f t="shared" ca="1" si="1"/>
        <v>#VALUE!</v>
      </c>
    </row>
    <row r="183" spans="1:7" ht="15.75" customHeight="1">
      <c r="A183" t="s">
        <v>248</v>
      </c>
      <c r="B183" t="s">
        <v>249</v>
      </c>
      <c r="C183" t="s">
        <v>18</v>
      </c>
      <c r="D183" t="s">
        <v>159</v>
      </c>
      <c r="F183" s="10" t="str">
        <f t="shared" si="0"/>
        <v/>
      </c>
      <c r="G183" t="e">
        <f t="shared" ca="1" si="1"/>
        <v>#VALUE!</v>
      </c>
    </row>
    <row r="184" spans="1:7" ht="15.75" customHeight="1">
      <c r="A184" t="s">
        <v>250</v>
      </c>
      <c r="B184" t="s">
        <v>251</v>
      </c>
      <c r="C184" t="s">
        <v>18</v>
      </c>
      <c r="D184" t="s">
        <v>159</v>
      </c>
      <c r="F184" s="10" t="str">
        <f t="shared" si="0"/>
        <v/>
      </c>
      <c r="G184" t="e">
        <f t="shared" ca="1" si="1"/>
        <v>#VALUE!</v>
      </c>
    </row>
    <row r="185" spans="1:7" ht="15.75" customHeight="1">
      <c r="A185" t="s">
        <v>252</v>
      </c>
      <c r="B185" t="s">
        <v>253</v>
      </c>
      <c r="C185" t="s">
        <v>18</v>
      </c>
      <c r="D185" t="s">
        <v>159</v>
      </c>
      <c r="F185" s="10" t="str">
        <f t="shared" si="0"/>
        <v/>
      </c>
      <c r="G185" t="e">
        <f t="shared" ca="1" si="1"/>
        <v>#VALUE!</v>
      </c>
    </row>
    <row r="186" spans="1:7" ht="15.75" customHeight="1">
      <c r="A186" t="s">
        <v>254</v>
      </c>
      <c r="B186" t="s">
        <v>255</v>
      </c>
      <c r="C186" t="s">
        <v>18</v>
      </c>
      <c r="D186" t="s">
        <v>159</v>
      </c>
      <c r="F186" s="10" t="str">
        <f t="shared" si="0"/>
        <v/>
      </c>
      <c r="G186" t="e">
        <f t="shared" ca="1" si="1"/>
        <v>#VALUE!</v>
      </c>
    </row>
    <row r="187" spans="1:7" ht="15.75" customHeight="1">
      <c r="A187" t="s">
        <v>256</v>
      </c>
      <c r="B187" t="s">
        <v>257</v>
      </c>
      <c r="C187" t="s">
        <v>18</v>
      </c>
      <c r="D187" t="s">
        <v>159</v>
      </c>
      <c r="F187" s="10" t="str">
        <f t="shared" si="0"/>
        <v/>
      </c>
      <c r="G187" t="e">
        <f t="shared" ca="1" si="1"/>
        <v>#VALUE!</v>
      </c>
    </row>
    <row r="188" spans="1:7" ht="15.75" customHeight="1">
      <c r="A188" t="s">
        <v>258</v>
      </c>
      <c r="B188" t="s">
        <v>259</v>
      </c>
      <c r="C188" t="s">
        <v>18</v>
      </c>
      <c r="D188" t="s">
        <v>159</v>
      </c>
      <c r="F188" s="10" t="str">
        <f t="shared" si="0"/>
        <v/>
      </c>
      <c r="G188" t="e">
        <f t="shared" ca="1" si="1"/>
        <v>#VALUE!</v>
      </c>
    </row>
    <row r="189" spans="1:7" ht="15.75" customHeight="1">
      <c r="A189" t="s">
        <v>260</v>
      </c>
      <c r="B189" t="s">
        <v>261</v>
      </c>
      <c r="C189" t="s">
        <v>89</v>
      </c>
      <c r="D189" t="s">
        <v>159</v>
      </c>
      <c r="F189" s="10" t="str">
        <f t="shared" si="0"/>
        <v/>
      </c>
      <c r="G189" t="e">
        <f t="shared" ca="1" si="1"/>
        <v>#VALUE!</v>
      </c>
    </row>
    <row r="190" spans="1:7" ht="15.75" customHeight="1">
      <c r="A190" t="s">
        <v>262</v>
      </c>
      <c r="B190" t="s">
        <v>263</v>
      </c>
      <c r="C190" t="s">
        <v>89</v>
      </c>
      <c r="D190" t="s">
        <v>159</v>
      </c>
      <c r="F190" s="10" t="str">
        <f t="shared" si="0"/>
        <v/>
      </c>
      <c r="G190" t="e">
        <f t="shared" ca="1" si="1"/>
        <v>#VALUE!</v>
      </c>
    </row>
    <row r="191" spans="1:7" ht="15.75" customHeight="1">
      <c r="A191" t="s">
        <v>264</v>
      </c>
      <c r="B191" t="s">
        <v>265</v>
      </c>
      <c r="C191" t="s">
        <v>178</v>
      </c>
      <c r="D191" t="s">
        <v>159</v>
      </c>
      <c r="F191" s="10" t="str">
        <f t="shared" si="0"/>
        <v/>
      </c>
      <c r="G191" t="e">
        <f t="shared" ca="1" si="1"/>
        <v>#VALUE!</v>
      </c>
    </row>
    <row r="192" spans="1:7" ht="15.75" customHeight="1">
      <c r="A192" t="s">
        <v>266</v>
      </c>
      <c r="B192" t="s">
        <v>267</v>
      </c>
      <c r="C192" t="s">
        <v>268</v>
      </c>
      <c r="D192" t="s">
        <v>159</v>
      </c>
      <c r="F192" s="10" t="str">
        <f t="shared" si="0"/>
        <v/>
      </c>
      <c r="G192" t="e">
        <f t="shared" ca="1" si="1"/>
        <v>#VALUE!</v>
      </c>
    </row>
    <row r="193" spans="1:7" ht="15.75" customHeight="1">
      <c r="A193" t="s">
        <v>269</v>
      </c>
      <c r="B193" t="s">
        <v>270</v>
      </c>
      <c r="C193" t="s">
        <v>74</v>
      </c>
      <c r="D193" t="s">
        <v>159</v>
      </c>
      <c r="F193" s="10" t="str">
        <f t="shared" si="0"/>
        <v/>
      </c>
      <c r="G193" t="e">
        <f t="shared" ca="1" si="1"/>
        <v>#VALUE!</v>
      </c>
    </row>
    <row r="194" spans="1:7" ht="15.75" customHeight="1">
      <c r="A194" t="s">
        <v>271</v>
      </c>
      <c r="B194" t="s">
        <v>272</v>
      </c>
      <c r="C194" t="s">
        <v>151</v>
      </c>
      <c r="D194" t="s">
        <v>159</v>
      </c>
      <c r="F194" s="10" t="str">
        <f t="shared" si="0"/>
        <v/>
      </c>
      <c r="G194" t="e">
        <f t="shared" ca="1" si="1"/>
        <v>#VALUE!</v>
      </c>
    </row>
    <row r="195" spans="1:7" ht="15.75" customHeight="1">
      <c r="A195" t="s">
        <v>273</v>
      </c>
      <c r="B195" t="s">
        <v>274</v>
      </c>
      <c r="C195" t="s">
        <v>275</v>
      </c>
      <c r="D195" t="s">
        <v>159</v>
      </c>
      <c r="F195" s="10" t="str">
        <f t="shared" si="0"/>
        <v/>
      </c>
      <c r="G195" t="e">
        <f t="shared" ca="1" si="1"/>
        <v>#VALUE!</v>
      </c>
    </row>
    <row r="196" spans="1:7" ht="15.75" customHeight="1">
      <c r="A196" t="s">
        <v>276</v>
      </c>
      <c r="B196" t="s">
        <v>277</v>
      </c>
      <c r="C196" t="s">
        <v>275</v>
      </c>
      <c r="D196" t="s">
        <v>159</v>
      </c>
      <c r="F196" s="10" t="str">
        <f t="shared" si="0"/>
        <v/>
      </c>
      <c r="G196" t="e">
        <f t="shared" ca="1" si="1"/>
        <v>#VALUE!</v>
      </c>
    </row>
    <row r="197" spans="1:7" ht="15.75" customHeight="1">
      <c r="A197" t="s">
        <v>278</v>
      </c>
      <c r="B197" t="s">
        <v>279</v>
      </c>
      <c r="C197" t="s">
        <v>275</v>
      </c>
      <c r="D197" t="s">
        <v>159</v>
      </c>
      <c r="F197" s="10" t="str">
        <f t="shared" si="0"/>
        <v/>
      </c>
      <c r="G197" t="e">
        <f t="shared" ca="1" si="1"/>
        <v>#VALUE!</v>
      </c>
    </row>
    <row r="198" spans="1:7" ht="15.75" customHeight="1">
      <c r="A198" t="s">
        <v>280</v>
      </c>
      <c r="B198" t="s">
        <v>281</v>
      </c>
      <c r="C198" t="s">
        <v>86</v>
      </c>
      <c r="D198" t="s">
        <v>159</v>
      </c>
      <c r="F198" s="10" t="str">
        <f t="shared" si="0"/>
        <v/>
      </c>
      <c r="G198" t="e">
        <f t="shared" ca="1" si="1"/>
        <v>#VALUE!</v>
      </c>
    </row>
    <row r="199" spans="1:7" ht="15.75" customHeight="1">
      <c r="A199" t="s">
        <v>282</v>
      </c>
      <c r="B199" t="s">
        <v>283</v>
      </c>
      <c r="C199" t="s">
        <v>86</v>
      </c>
      <c r="D199" t="s">
        <v>159</v>
      </c>
      <c r="F199" s="10" t="str">
        <f t="shared" si="0"/>
        <v/>
      </c>
      <c r="G199" t="e">
        <f t="shared" ca="1" si="1"/>
        <v>#VALUE!</v>
      </c>
    </row>
    <row r="200" spans="1:7" ht="15.75" customHeight="1">
      <c r="A200" t="s">
        <v>284</v>
      </c>
      <c r="B200" t="s">
        <v>285</v>
      </c>
      <c r="C200" t="s">
        <v>86</v>
      </c>
      <c r="D200" t="s">
        <v>159</v>
      </c>
      <c r="F200" s="10" t="str">
        <f t="shared" si="0"/>
        <v/>
      </c>
      <c r="G200" t="e">
        <f t="shared" ca="1" si="1"/>
        <v>#VALUE!</v>
      </c>
    </row>
    <row r="201" spans="1:7" ht="15.75" customHeight="1">
      <c r="A201" t="s">
        <v>286</v>
      </c>
      <c r="B201" t="s">
        <v>287</v>
      </c>
      <c r="C201" t="s">
        <v>86</v>
      </c>
      <c r="D201" t="s">
        <v>159</v>
      </c>
      <c r="F201" s="10" t="str">
        <f t="shared" si="0"/>
        <v/>
      </c>
      <c r="G201" t="e">
        <f t="shared" ca="1" si="1"/>
        <v>#VALUE!</v>
      </c>
    </row>
    <row r="202" spans="1:7" ht="15.75" customHeight="1">
      <c r="A202" t="s">
        <v>928</v>
      </c>
      <c r="B202" t="s">
        <v>929</v>
      </c>
      <c r="C202" t="s">
        <v>930</v>
      </c>
      <c r="D202" t="s">
        <v>159</v>
      </c>
      <c r="F202" s="10" t="str">
        <f t="shared" si="0"/>
        <v/>
      </c>
      <c r="G202" t="e">
        <f t="shared" ca="1" si="1"/>
        <v>#VALUE!</v>
      </c>
    </row>
    <row r="203" spans="1:7" ht="15.75" customHeight="1">
      <c r="A203" t="s">
        <v>931</v>
      </c>
      <c r="B203" t="s">
        <v>932</v>
      </c>
      <c r="C203" t="s">
        <v>897</v>
      </c>
      <c r="D203" t="s">
        <v>159</v>
      </c>
      <c r="F203" s="10" t="str">
        <f t="shared" si="0"/>
        <v/>
      </c>
      <c r="G203" t="e">
        <f t="shared" ca="1" si="1"/>
        <v>#VALUE!</v>
      </c>
    </row>
    <row r="204" spans="1:7" ht="15.75" customHeight="1">
      <c r="A204" t="s">
        <v>933</v>
      </c>
      <c r="B204" t="s">
        <v>934</v>
      </c>
      <c r="C204" t="s">
        <v>935</v>
      </c>
      <c r="D204" t="s">
        <v>159</v>
      </c>
      <c r="F204" s="10" t="str">
        <f t="shared" si="0"/>
        <v/>
      </c>
      <c r="G204" t="e">
        <f t="shared" ca="1" si="1"/>
        <v>#VALUE!</v>
      </c>
    </row>
    <row r="205" spans="1:7" ht="15.75" customHeight="1">
      <c r="A205" t="s">
        <v>288</v>
      </c>
      <c r="B205" t="s">
        <v>289</v>
      </c>
      <c r="C205" t="s">
        <v>290</v>
      </c>
      <c r="D205" t="s">
        <v>159</v>
      </c>
      <c r="F205" s="10" t="str">
        <f t="shared" si="0"/>
        <v/>
      </c>
      <c r="G205" t="e">
        <f t="shared" ca="1" si="1"/>
        <v>#VALUE!</v>
      </c>
    </row>
    <row r="206" spans="1:7" ht="15.75" customHeight="1">
      <c r="A206" t="s">
        <v>291</v>
      </c>
      <c r="B206" t="s">
        <v>292</v>
      </c>
      <c r="C206" t="s">
        <v>46</v>
      </c>
      <c r="D206" t="s">
        <v>159</v>
      </c>
      <c r="F206" s="10" t="str">
        <f t="shared" si="0"/>
        <v/>
      </c>
      <c r="G206" t="e">
        <f t="shared" ca="1" si="1"/>
        <v>#VALUE!</v>
      </c>
    </row>
    <row r="207" spans="1:7" ht="15.75" customHeight="1">
      <c r="A207" t="s">
        <v>293</v>
      </c>
      <c r="B207" t="s">
        <v>294</v>
      </c>
      <c r="C207" t="s">
        <v>46</v>
      </c>
      <c r="D207" t="s">
        <v>159</v>
      </c>
      <c r="F207" s="10" t="str">
        <f t="shared" si="0"/>
        <v/>
      </c>
      <c r="G207" t="e">
        <f t="shared" ca="1" si="1"/>
        <v>#VALUE!</v>
      </c>
    </row>
    <row r="208" spans="1:7" ht="15.75" customHeight="1">
      <c r="A208" t="s">
        <v>295</v>
      </c>
      <c r="B208" t="s">
        <v>296</v>
      </c>
      <c r="C208" t="s">
        <v>46</v>
      </c>
      <c r="D208" t="s">
        <v>159</v>
      </c>
      <c r="F208" s="10" t="str">
        <f t="shared" si="0"/>
        <v/>
      </c>
      <c r="G208" t="e">
        <f t="shared" ca="1" si="1"/>
        <v>#VALUE!</v>
      </c>
    </row>
    <row r="209" spans="1:7" ht="15.75" customHeight="1">
      <c r="A209" t="s">
        <v>297</v>
      </c>
      <c r="B209" t="s">
        <v>298</v>
      </c>
      <c r="C209" t="s">
        <v>46</v>
      </c>
      <c r="D209" t="s">
        <v>159</v>
      </c>
      <c r="F209" s="10" t="str">
        <f t="shared" si="0"/>
        <v/>
      </c>
      <c r="G209" t="e">
        <f t="shared" ca="1" si="1"/>
        <v>#VALUE!</v>
      </c>
    </row>
    <row r="210" spans="1:7" ht="15.75" customHeight="1">
      <c r="A210" t="s">
        <v>299</v>
      </c>
      <c r="B210" t="s">
        <v>300</v>
      </c>
      <c r="C210" t="s">
        <v>146</v>
      </c>
      <c r="D210" t="s">
        <v>159</v>
      </c>
      <c r="F210" s="10" t="str">
        <f t="shared" si="0"/>
        <v/>
      </c>
      <c r="G210" t="e">
        <f t="shared" ca="1" si="1"/>
        <v>#VALUE!</v>
      </c>
    </row>
    <row r="211" spans="1:7" ht="15.75" customHeight="1">
      <c r="A211" t="s">
        <v>301</v>
      </c>
      <c r="B211" t="s">
        <v>302</v>
      </c>
      <c r="C211" t="s">
        <v>146</v>
      </c>
      <c r="D211" t="s">
        <v>159</v>
      </c>
      <c r="F211" s="10" t="str">
        <f t="shared" si="0"/>
        <v/>
      </c>
      <c r="G211" t="e">
        <f t="shared" ca="1" si="1"/>
        <v>#VALUE!</v>
      </c>
    </row>
    <row r="212" spans="1:7" ht="15.75" customHeight="1">
      <c r="A212" t="s">
        <v>303</v>
      </c>
      <c r="B212" t="s">
        <v>304</v>
      </c>
      <c r="C212" t="s">
        <v>71</v>
      </c>
      <c r="D212" t="s">
        <v>159</v>
      </c>
      <c r="F212" s="10" t="str">
        <f t="shared" si="0"/>
        <v/>
      </c>
      <c r="G212" t="e">
        <f t="shared" ca="1" si="1"/>
        <v>#VALUE!</v>
      </c>
    </row>
    <row r="213" spans="1:7" ht="15.75" customHeight="1">
      <c r="A213" t="s">
        <v>305</v>
      </c>
      <c r="B213" t="s">
        <v>306</v>
      </c>
      <c r="C213" t="s">
        <v>307</v>
      </c>
      <c r="D213" t="s">
        <v>159</v>
      </c>
      <c r="F213" s="10" t="str">
        <f t="shared" si="0"/>
        <v/>
      </c>
      <c r="G213" t="e">
        <f t="shared" ca="1" si="1"/>
        <v>#VALUE!</v>
      </c>
    </row>
    <row r="214" spans="1:7" ht="15.75" customHeight="1">
      <c r="A214" t="s">
        <v>308</v>
      </c>
      <c r="B214" t="s">
        <v>309</v>
      </c>
      <c r="C214" t="s">
        <v>181</v>
      </c>
      <c r="D214" t="s">
        <v>159</v>
      </c>
      <c r="F214" s="10" t="str">
        <f t="shared" si="0"/>
        <v/>
      </c>
      <c r="G214" t="e">
        <f t="shared" ca="1" si="1"/>
        <v>#VALUE!</v>
      </c>
    </row>
    <row r="215" spans="1:7" ht="15.75" customHeight="1">
      <c r="A215" t="s">
        <v>310</v>
      </c>
      <c r="B215" t="s">
        <v>311</v>
      </c>
      <c r="C215" t="s">
        <v>181</v>
      </c>
      <c r="D215" t="s">
        <v>159</v>
      </c>
      <c r="F215" s="10" t="str">
        <f t="shared" si="0"/>
        <v/>
      </c>
      <c r="G215" t="e">
        <f t="shared" ca="1" si="1"/>
        <v>#VALUE!</v>
      </c>
    </row>
    <row r="216" spans="1:7" ht="15.75" customHeight="1">
      <c r="A216" t="s">
        <v>312</v>
      </c>
      <c r="B216" t="s">
        <v>313</v>
      </c>
      <c r="C216" t="s">
        <v>181</v>
      </c>
      <c r="D216" t="s">
        <v>159</v>
      </c>
      <c r="F216" s="10" t="str">
        <f t="shared" si="0"/>
        <v/>
      </c>
      <c r="G216" t="e">
        <f t="shared" ca="1" si="1"/>
        <v>#VALUE!</v>
      </c>
    </row>
    <row r="217" spans="1:7" ht="15.75" customHeight="1">
      <c r="A217" t="s">
        <v>314</v>
      </c>
      <c r="B217" t="s">
        <v>315</v>
      </c>
      <c r="C217" t="s">
        <v>181</v>
      </c>
      <c r="D217" t="s">
        <v>159</v>
      </c>
      <c r="F217" s="10" t="str">
        <f t="shared" si="0"/>
        <v/>
      </c>
      <c r="G217" t="e">
        <f t="shared" ca="1" si="1"/>
        <v>#VALUE!</v>
      </c>
    </row>
    <row r="218" spans="1:7" ht="15.75" customHeight="1">
      <c r="A218" t="s">
        <v>316</v>
      </c>
      <c r="B218" t="s">
        <v>317</v>
      </c>
      <c r="C218" t="s">
        <v>86</v>
      </c>
      <c r="D218" t="s">
        <v>159</v>
      </c>
      <c r="F218" s="10" t="str">
        <f t="shared" si="0"/>
        <v/>
      </c>
      <c r="G218" t="e">
        <f t="shared" ca="1" si="1"/>
        <v>#VALUE!</v>
      </c>
    </row>
    <row r="219" spans="1:7" ht="15.75" customHeight="1">
      <c r="A219" t="s">
        <v>936</v>
      </c>
      <c r="B219" t="s">
        <v>937</v>
      </c>
      <c r="C219" t="s">
        <v>890</v>
      </c>
      <c r="D219" t="s">
        <v>159</v>
      </c>
      <c r="F219" s="10" t="str">
        <f t="shared" si="0"/>
        <v/>
      </c>
      <c r="G219" t="e">
        <f t="shared" ca="1" si="1"/>
        <v>#VALUE!</v>
      </c>
    </row>
    <row r="220" spans="1:7" ht="15.75" customHeight="1">
      <c r="A220" t="s">
        <v>938</v>
      </c>
      <c r="B220" t="s">
        <v>939</v>
      </c>
      <c r="C220" t="s">
        <v>927</v>
      </c>
      <c r="D220" t="s">
        <v>159</v>
      </c>
      <c r="F220" s="10" t="str">
        <f t="shared" si="0"/>
        <v/>
      </c>
      <c r="G220" t="e">
        <f t="shared" ca="1" si="1"/>
        <v>#VALUE!</v>
      </c>
    </row>
    <row r="221" spans="1:7" ht="15.75" customHeight="1">
      <c r="A221" t="s">
        <v>318</v>
      </c>
      <c r="B221" t="s">
        <v>319</v>
      </c>
      <c r="C221" t="s">
        <v>130</v>
      </c>
      <c r="D221" t="s">
        <v>159</v>
      </c>
      <c r="F221" s="10" t="str">
        <f t="shared" si="0"/>
        <v/>
      </c>
      <c r="G221" t="e">
        <f t="shared" ca="1" si="1"/>
        <v>#VALUE!</v>
      </c>
    </row>
    <row r="222" spans="1:7" ht="15.75" customHeight="1">
      <c r="A222" t="s">
        <v>320</v>
      </c>
      <c r="B222" t="s">
        <v>321</v>
      </c>
      <c r="C222" t="s">
        <v>322</v>
      </c>
      <c r="D222" t="s">
        <v>159</v>
      </c>
      <c r="F222" s="10" t="str">
        <f t="shared" si="0"/>
        <v/>
      </c>
      <c r="G222" t="e">
        <f t="shared" ca="1" si="1"/>
        <v>#VALUE!</v>
      </c>
    </row>
    <row r="223" spans="1:7" ht="15.75" customHeight="1">
      <c r="A223" t="s">
        <v>323</v>
      </c>
      <c r="B223" t="s">
        <v>324</v>
      </c>
      <c r="C223" t="s">
        <v>146</v>
      </c>
      <c r="D223" t="s">
        <v>159</v>
      </c>
      <c r="F223" s="10" t="str">
        <f t="shared" si="0"/>
        <v/>
      </c>
      <c r="G223" t="e">
        <f t="shared" ca="1" si="1"/>
        <v>#VALUE!</v>
      </c>
    </row>
    <row r="224" spans="1:7" ht="15.75" customHeight="1">
      <c r="A224" t="s">
        <v>325</v>
      </c>
      <c r="B224" t="s">
        <v>326</v>
      </c>
      <c r="C224" t="s">
        <v>146</v>
      </c>
      <c r="D224" t="s">
        <v>159</v>
      </c>
      <c r="F224" s="10" t="str">
        <f t="shared" si="0"/>
        <v/>
      </c>
      <c r="G224" t="e">
        <f t="shared" ca="1" si="1"/>
        <v>#VALUE!</v>
      </c>
    </row>
    <row r="225" spans="1:7" ht="15.75" customHeight="1">
      <c r="A225" t="s">
        <v>327</v>
      </c>
      <c r="B225" t="s">
        <v>328</v>
      </c>
      <c r="C225" t="s">
        <v>146</v>
      </c>
      <c r="D225" t="s">
        <v>159</v>
      </c>
      <c r="F225" s="10" t="str">
        <f t="shared" si="0"/>
        <v/>
      </c>
      <c r="G225" t="e">
        <f t="shared" ca="1" si="1"/>
        <v>#VALUE!</v>
      </c>
    </row>
    <row r="226" spans="1:7" ht="15.75" customHeight="1">
      <c r="A226" t="s">
        <v>329</v>
      </c>
      <c r="B226" t="s">
        <v>330</v>
      </c>
      <c r="C226" t="s">
        <v>146</v>
      </c>
      <c r="D226" t="s">
        <v>159</v>
      </c>
      <c r="F226" s="10" t="str">
        <f t="shared" si="0"/>
        <v/>
      </c>
      <c r="G226" t="e">
        <f t="shared" ca="1" si="1"/>
        <v>#VALUE!</v>
      </c>
    </row>
    <row r="227" spans="1:7" ht="15.75" customHeight="1">
      <c r="A227" t="s">
        <v>331</v>
      </c>
      <c r="B227" t="s">
        <v>332</v>
      </c>
      <c r="C227" t="s">
        <v>71</v>
      </c>
      <c r="D227" t="s">
        <v>159</v>
      </c>
      <c r="F227" s="10" t="str">
        <f t="shared" si="0"/>
        <v/>
      </c>
      <c r="G227" t="e">
        <f t="shared" ca="1" si="1"/>
        <v>#VALUE!</v>
      </c>
    </row>
    <row r="228" spans="1:7" ht="15.75" customHeight="1">
      <c r="A228" t="s">
        <v>333</v>
      </c>
      <c r="B228" t="s">
        <v>334</v>
      </c>
      <c r="C228" t="s">
        <v>181</v>
      </c>
      <c r="D228" t="s">
        <v>159</v>
      </c>
      <c r="F228" s="10" t="str">
        <f t="shared" si="0"/>
        <v/>
      </c>
      <c r="G228" t="e">
        <f t="shared" ca="1" si="1"/>
        <v>#VALUE!</v>
      </c>
    </row>
    <row r="229" spans="1:7" ht="15.75" customHeight="1">
      <c r="A229" t="s">
        <v>335</v>
      </c>
      <c r="B229" t="s">
        <v>336</v>
      </c>
      <c r="C229" t="s">
        <v>181</v>
      </c>
      <c r="D229" t="s">
        <v>159</v>
      </c>
      <c r="F229" s="10" t="str">
        <f t="shared" si="0"/>
        <v/>
      </c>
      <c r="G229" t="e">
        <f t="shared" ca="1" si="1"/>
        <v>#VALUE!</v>
      </c>
    </row>
    <row r="230" spans="1:7" ht="15.75" customHeight="1">
      <c r="A230" t="s">
        <v>337</v>
      </c>
      <c r="B230" t="s">
        <v>338</v>
      </c>
      <c r="C230" t="s">
        <v>86</v>
      </c>
      <c r="D230" t="s">
        <v>159</v>
      </c>
      <c r="F230" s="10" t="str">
        <f t="shared" si="0"/>
        <v/>
      </c>
      <c r="G230" t="e">
        <f t="shared" ca="1" si="1"/>
        <v>#VALUE!</v>
      </c>
    </row>
    <row r="231" spans="1:7" ht="15.75" customHeight="1">
      <c r="A231" t="s">
        <v>940</v>
      </c>
      <c r="B231" t="s">
        <v>941</v>
      </c>
      <c r="C231" t="s">
        <v>870</v>
      </c>
      <c r="D231" t="s">
        <v>159</v>
      </c>
      <c r="F231" s="10" t="str">
        <f t="shared" si="0"/>
        <v/>
      </c>
      <c r="G231" t="e">
        <f t="shared" ca="1" si="1"/>
        <v>#VALUE!</v>
      </c>
    </row>
    <row r="232" spans="1:7" ht="15.75" customHeight="1">
      <c r="A232" t="s">
        <v>942</v>
      </c>
      <c r="B232" t="s">
        <v>943</v>
      </c>
      <c r="C232" t="s">
        <v>890</v>
      </c>
      <c r="D232" t="s">
        <v>159</v>
      </c>
      <c r="F232" s="10" t="str">
        <f t="shared" si="0"/>
        <v/>
      </c>
      <c r="G232" t="e">
        <f t="shared" ca="1" si="1"/>
        <v>#VALUE!</v>
      </c>
    </row>
    <row r="233" spans="1:7" ht="15.75" customHeight="1">
      <c r="A233" t="s">
        <v>944</v>
      </c>
      <c r="B233" t="s">
        <v>945</v>
      </c>
      <c r="C233" t="s">
        <v>856</v>
      </c>
      <c r="D233" t="s">
        <v>159</v>
      </c>
      <c r="F233" s="10" t="str">
        <f t="shared" si="0"/>
        <v/>
      </c>
      <c r="G233" t="e">
        <f t="shared" ca="1" si="1"/>
        <v>#VALUE!</v>
      </c>
    </row>
    <row r="234" spans="1:7" ht="15.75" customHeight="1">
      <c r="A234" t="s">
        <v>946</v>
      </c>
      <c r="B234" t="s">
        <v>947</v>
      </c>
      <c r="C234" t="s">
        <v>948</v>
      </c>
      <c r="D234" t="s">
        <v>159</v>
      </c>
      <c r="F234" s="10" t="str">
        <f t="shared" si="0"/>
        <v/>
      </c>
      <c r="G234" t="e">
        <f t="shared" ca="1" si="1"/>
        <v>#VALUE!</v>
      </c>
    </row>
    <row r="235" spans="1:7" ht="15.75" customHeight="1">
      <c r="A235" t="s">
        <v>949</v>
      </c>
      <c r="B235" t="s">
        <v>950</v>
      </c>
      <c r="C235" t="s">
        <v>927</v>
      </c>
      <c r="D235" t="s">
        <v>159</v>
      </c>
      <c r="F235" s="10" t="str">
        <f t="shared" si="0"/>
        <v/>
      </c>
      <c r="G235" t="e">
        <f t="shared" ca="1" si="1"/>
        <v>#VALUE!</v>
      </c>
    </row>
    <row r="236" spans="1:7" ht="15.75" customHeight="1">
      <c r="A236" t="s">
        <v>339</v>
      </c>
      <c r="B236" t="s">
        <v>340</v>
      </c>
      <c r="C236" t="s">
        <v>341</v>
      </c>
      <c r="D236" t="s">
        <v>159</v>
      </c>
      <c r="F236" s="10" t="str">
        <f t="shared" si="0"/>
        <v/>
      </c>
      <c r="G236" t="e">
        <f t="shared" ca="1" si="1"/>
        <v>#VALUE!</v>
      </c>
    </row>
    <row r="237" spans="1:7" ht="15.75" customHeight="1">
      <c r="A237" t="s">
        <v>342</v>
      </c>
      <c r="B237" t="s">
        <v>343</v>
      </c>
      <c r="C237" t="s">
        <v>344</v>
      </c>
      <c r="D237" t="s">
        <v>159</v>
      </c>
      <c r="F237" s="10" t="str">
        <f t="shared" si="0"/>
        <v/>
      </c>
      <c r="G237" t="e">
        <f t="shared" ca="1" si="1"/>
        <v>#VALUE!</v>
      </c>
    </row>
    <row r="238" spans="1:7" ht="15.75" customHeight="1">
      <c r="A238" t="s">
        <v>345</v>
      </c>
      <c r="B238" t="s">
        <v>346</v>
      </c>
      <c r="C238" t="s">
        <v>344</v>
      </c>
      <c r="D238" t="s">
        <v>159</v>
      </c>
      <c r="F238" s="10" t="str">
        <f t="shared" si="0"/>
        <v/>
      </c>
      <c r="G238" t="e">
        <f t="shared" ca="1" si="1"/>
        <v>#VALUE!</v>
      </c>
    </row>
    <row r="239" spans="1:7" ht="15.75" customHeight="1">
      <c r="A239" t="s">
        <v>347</v>
      </c>
      <c r="B239" t="s">
        <v>348</v>
      </c>
      <c r="C239" t="s">
        <v>322</v>
      </c>
      <c r="D239" t="s">
        <v>159</v>
      </c>
      <c r="F239" s="10" t="str">
        <f t="shared" si="0"/>
        <v/>
      </c>
      <c r="G239" t="e">
        <f t="shared" ca="1" si="1"/>
        <v>#VALUE!</v>
      </c>
    </row>
    <row r="240" spans="1:7" ht="15.75" customHeight="1">
      <c r="A240" t="s">
        <v>349</v>
      </c>
      <c r="B240" t="s">
        <v>350</v>
      </c>
      <c r="C240" t="s">
        <v>322</v>
      </c>
      <c r="D240" t="s">
        <v>159</v>
      </c>
      <c r="F240" s="10" t="str">
        <f t="shared" si="0"/>
        <v/>
      </c>
      <c r="G240" t="e">
        <f t="shared" ca="1" si="1"/>
        <v>#VALUE!</v>
      </c>
    </row>
    <row r="241" spans="1:7" ht="15.75" customHeight="1">
      <c r="A241" t="s">
        <v>351</v>
      </c>
      <c r="B241" t="s">
        <v>352</v>
      </c>
      <c r="C241" t="s">
        <v>353</v>
      </c>
      <c r="D241" t="s">
        <v>159</v>
      </c>
      <c r="F241" s="10" t="str">
        <f t="shared" si="0"/>
        <v/>
      </c>
      <c r="G241" t="e">
        <f t="shared" ca="1" si="1"/>
        <v>#VALUE!</v>
      </c>
    </row>
    <row r="242" spans="1:7" ht="15.75" customHeight="1">
      <c r="A242" t="s">
        <v>354</v>
      </c>
      <c r="B242" t="s">
        <v>355</v>
      </c>
      <c r="C242" t="s">
        <v>46</v>
      </c>
      <c r="D242" t="s">
        <v>159</v>
      </c>
      <c r="F242" s="10" t="str">
        <f t="shared" si="0"/>
        <v/>
      </c>
      <c r="G242" t="e">
        <f t="shared" ca="1" si="1"/>
        <v>#VALUE!</v>
      </c>
    </row>
    <row r="243" spans="1:7" ht="15.75" customHeight="1">
      <c r="A243" t="s">
        <v>356</v>
      </c>
      <c r="B243" t="s">
        <v>357</v>
      </c>
      <c r="C243" t="s">
        <v>46</v>
      </c>
      <c r="D243" t="s">
        <v>159</v>
      </c>
      <c r="F243" s="10" t="str">
        <f t="shared" si="0"/>
        <v/>
      </c>
      <c r="G243" t="e">
        <f t="shared" ca="1" si="1"/>
        <v>#VALUE!</v>
      </c>
    </row>
    <row r="244" spans="1:7" ht="15.75" customHeight="1">
      <c r="A244" t="s">
        <v>358</v>
      </c>
      <c r="B244" t="s">
        <v>359</v>
      </c>
      <c r="C244" t="s">
        <v>46</v>
      </c>
      <c r="D244" t="s">
        <v>159</v>
      </c>
      <c r="F244" s="10" t="str">
        <f t="shared" si="0"/>
        <v/>
      </c>
      <c r="G244" t="e">
        <f t="shared" ca="1" si="1"/>
        <v>#VALUE!</v>
      </c>
    </row>
    <row r="245" spans="1:7" ht="15.75" customHeight="1">
      <c r="A245" t="s">
        <v>360</v>
      </c>
      <c r="B245" t="s">
        <v>361</v>
      </c>
      <c r="C245" t="s">
        <v>46</v>
      </c>
      <c r="D245" t="s">
        <v>159</v>
      </c>
      <c r="F245" s="10" t="str">
        <f t="shared" si="0"/>
        <v/>
      </c>
      <c r="G245" t="e">
        <f t="shared" ca="1" si="1"/>
        <v>#VALUE!</v>
      </c>
    </row>
    <row r="246" spans="1:7" ht="15.75" customHeight="1">
      <c r="A246" t="s">
        <v>362</v>
      </c>
      <c r="B246" t="s">
        <v>363</v>
      </c>
      <c r="C246" t="s">
        <v>46</v>
      </c>
      <c r="D246" t="s">
        <v>159</v>
      </c>
      <c r="F246" s="10" t="str">
        <f t="shared" si="0"/>
        <v/>
      </c>
      <c r="G246" t="e">
        <f t="shared" ca="1" si="1"/>
        <v>#VALUE!</v>
      </c>
    </row>
    <row r="247" spans="1:7" ht="15.75" customHeight="1">
      <c r="A247" t="s">
        <v>364</v>
      </c>
      <c r="B247" t="s">
        <v>365</v>
      </c>
      <c r="C247" t="s">
        <v>46</v>
      </c>
      <c r="D247" t="s">
        <v>159</v>
      </c>
      <c r="F247" s="10" t="str">
        <f t="shared" si="0"/>
        <v/>
      </c>
      <c r="G247" t="e">
        <f t="shared" ca="1" si="1"/>
        <v>#VALUE!</v>
      </c>
    </row>
    <row r="248" spans="1:7" ht="15.75" customHeight="1">
      <c r="A248" t="s">
        <v>366</v>
      </c>
      <c r="B248" t="s">
        <v>367</v>
      </c>
      <c r="C248" t="s">
        <v>146</v>
      </c>
      <c r="D248" t="s">
        <v>159</v>
      </c>
      <c r="F248" s="10" t="str">
        <f t="shared" si="0"/>
        <v/>
      </c>
      <c r="G248" t="e">
        <f t="shared" ca="1" si="1"/>
        <v>#VALUE!</v>
      </c>
    </row>
    <row r="249" spans="1:7" ht="15.75" customHeight="1">
      <c r="A249" t="s">
        <v>368</v>
      </c>
      <c r="B249" t="s">
        <v>369</v>
      </c>
      <c r="C249" t="s">
        <v>146</v>
      </c>
      <c r="D249" t="s">
        <v>159</v>
      </c>
      <c r="F249" s="10" t="str">
        <f t="shared" si="0"/>
        <v/>
      </c>
      <c r="G249" t="e">
        <f t="shared" ca="1" si="1"/>
        <v>#VALUE!</v>
      </c>
    </row>
    <row r="250" spans="1:7" ht="15.75" customHeight="1">
      <c r="A250" t="s">
        <v>370</v>
      </c>
      <c r="B250" t="s">
        <v>371</v>
      </c>
      <c r="C250" t="s">
        <v>146</v>
      </c>
      <c r="D250" t="s">
        <v>159</v>
      </c>
      <c r="F250" s="10" t="str">
        <f t="shared" si="0"/>
        <v/>
      </c>
      <c r="G250" t="e">
        <f t="shared" ca="1" si="1"/>
        <v>#VALUE!</v>
      </c>
    </row>
    <row r="251" spans="1:7" ht="15.75" customHeight="1">
      <c r="A251" t="s">
        <v>372</v>
      </c>
      <c r="B251" t="s">
        <v>373</v>
      </c>
      <c r="C251" t="s">
        <v>146</v>
      </c>
      <c r="D251" t="s">
        <v>159</v>
      </c>
      <c r="F251" s="10" t="str">
        <f t="shared" si="0"/>
        <v/>
      </c>
      <c r="G251" t="e">
        <f t="shared" ca="1" si="1"/>
        <v>#VALUE!</v>
      </c>
    </row>
    <row r="252" spans="1:7" ht="15.75" customHeight="1">
      <c r="A252" t="s">
        <v>374</v>
      </c>
      <c r="B252" t="s">
        <v>375</v>
      </c>
      <c r="C252" t="s">
        <v>146</v>
      </c>
      <c r="D252" t="s">
        <v>159</v>
      </c>
      <c r="F252" s="10" t="str">
        <f t="shared" si="0"/>
        <v/>
      </c>
      <c r="G252" t="e">
        <f t="shared" ca="1" si="1"/>
        <v>#VALUE!</v>
      </c>
    </row>
    <row r="253" spans="1:7" ht="15.75" customHeight="1">
      <c r="A253" t="s">
        <v>376</v>
      </c>
      <c r="B253" t="s">
        <v>377</v>
      </c>
      <c r="C253" t="s">
        <v>146</v>
      </c>
      <c r="D253" t="s">
        <v>159</v>
      </c>
      <c r="F253" s="10" t="str">
        <f t="shared" si="0"/>
        <v/>
      </c>
      <c r="G253" t="e">
        <f t="shared" ca="1" si="1"/>
        <v>#VALUE!</v>
      </c>
    </row>
    <row r="254" spans="1:7" ht="15.75" customHeight="1">
      <c r="A254" t="s">
        <v>378</v>
      </c>
      <c r="B254" t="s">
        <v>379</v>
      </c>
      <c r="C254" t="s">
        <v>71</v>
      </c>
      <c r="D254" t="s">
        <v>159</v>
      </c>
      <c r="F254" s="10" t="str">
        <f t="shared" si="0"/>
        <v/>
      </c>
      <c r="G254" t="e">
        <f t="shared" ca="1" si="1"/>
        <v>#VALUE!</v>
      </c>
    </row>
    <row r="255" spans="1:7" ht="15.75" customHeight="1">
      <c r="A255" t="s">
        <v>380</v>
      </c>
      <c r="B255" t="s">
        <v>381</v>
      </c>
      <c r="C255" t="s">
        <v>18</v>
      </c>
      <c r="D255" t="s">
        <v>159</v>
      </c>
      <c r="F255" s="10" t="str">
        <f t="shared" si="0"/>
        <v/>
      </c>
      <c r="G255" t="e">
        <f t="shared" ca="1" si="1"/>
        <v>#VALUE!</v>
      </c>
    </row>
    <row r="256" spans="1:7" ht="15.75" customHeight="1">
      <c r="A256" t="s">
        <v>382</v>
      </c>
      <c r="B256" t="s">
        <v>383</v>
      </c>
      <c r="C256" t="s">
        <v>89</v>
      </c>
      <c r="D256" t="s">
        <v>159</v>
      </c>
      <c r="F256" s="10" t="str">
        <f t="shared" si="0"/>
        <v/>
      </c>
      <c r="G256" t="e">
        <f t="shared" ca="1" si="1"/>
        <v>#VALUE!</v>
      </c>
    </row>
    <row r="257" spans="1:7" ht="15.75" customHeight="1">
      <c r="A257" t="s">
        <v>384</v>
      </c>
      <c r="B257" t="s">
        <v>385</v>
      </c>
      <c r="C257" t="s">
        <v>386</v>
      </c>
      <c r="D257" t="s">
        <v>159</v>
      </c>
      <c r="F257" s="10" t="str">
        <f t="shared" si="0"/>
        <v/>
      </c>
      <c r="G257" t="e">
        <f t="shared" ca="1" si="1"/>
        <v>#VALUE!</v>
      </c>
    </row>
    <row r="258" spans="1:7" ht="15.75" customHeight="1">
      <c r="A258" t="s">
        <v>387</v>
      </c>
      <c r="B258" t="s">
        <v>388</v>
      </c>
      <c r="C258" t="s">
        <v>389</v>
      </c>
      <c r="D258" t="s">
        <v>159</v>
      </c>
      <c r="F258" s="10" t="str">
        <f t="shared" si="0"/>
        <v/>
      </c>
      <c r="G258" t="e">
        <f t="shared" ca="1" si="1"/>
        <v>#VALUE!</v>
      </c>
    </row>
    <row r="259" spans="1:7" ht="15.75" customHeight="1">
      <c r="A259" t="s">
        <v>951</v>
      </c>
      <c r="B259" t="s">
        <v>952</v>
      </c>
      <c r="C259" t="s">
        <v>890</v>
      </c>
      <c r="D259" t="s">
        <v>159</v>
      </c>
      <c r="F259" s="10" t="str">
        <f t="shared" si="0"/>
        <v/>
      </c>
      <c r="G259" t="e">
        <f t="shared" ca="1" si="1"/>
        <v>#VALUE!</v>
      </c>
    </row>
    <row r="260" spans="1:7" ht="15.75" customHeight="1">
      <c r="A260" t="s">
        <v>953</v>
      </c>
      <c r="B260" t="s">
        <v>954</v>
      </c>
      <c r="C260" t="s">
        <v>955</v>
      </c>
      <c r="D260" t="s">
        <v>159</v>
      </c>
      <c r="F260" s="10" t="str">
        <f t="shared" si="0"/>
        <v/>
      </c>
      <c r="G260" t="e">
        <f t="shared" ca="1" si="1"/>
        <v>#VALUE!</v>
      </c>
    </row>
    <row r="261" spans="1:7" ht="15.75" customHeight="1">
      <c r="A261" t="s">
        <v>956</v>
      </c>
      <c r="B261" t="s">
        <v>957</v>
      </c>
      <c r="C261" t="s">
        <v>856</v>
      </c>
      <c r="D261" t="s">
        <v>159</v>
      </c>
      <c r="F261" s="10" t="str">
        <f t="shared" si="0"/>
        <v/>
      </c>
      <c r="G261" t="e">
        <f t="shared" ca="1" si="1"/>
        <v>#VALUE!</v>
      </c>
    </row>
    <row r="262" spans="1:7" ht="15.75" customHeight="1">
      <c r="A262" t="s">
        <v>958</v>
      </c>
      <c r="B262" t="s">
        <v>959</v>
      </c>
      <c r="C262" t="s">
        <v>960</v>
      </c>
      <c r="D262" t="s">
        <v>159</v>
      </c>
      <c r="F262" s="10" t="str">
        <f t="shared" si="0"/>
        <v/>
      </c>
      <c r="G262" t="e">
        <f t="shared" ca="1" si="1"/>
        <v>#VALUE!</v>
      </c>
    </row>
    <row r="263" spans="1:7" ht="15.75" customHeight="1">
      <c r="A263" t="s">
        <v>390</v>
      </c>
      <c r="B263" t="s">
        <v>391</v>
      </c>
      <c r="C263" t="s">
        <v>130</v>
      </c>
      <c r="D263" t="s">
        <v>159</v>
      </c>
      <c r="F263" s="10" t="str">
        <f t="shared" si="0"/>
        <v/>
      </c>
      <c r="G263" t="e">
        <f t="shared" ca="1" si="1"/>
        <v>#VALUE!</v>
      </c>
    </row>
    <row r="264" spans="1:7" ht="15.75" customHeight="1">
      <c r="A264" t="s">
        <v>392</v>
      </c>
      <c r="B264" t="s">
        <v>300</v>
      </c>
      <c r="C264" t="s">
        <v>322</v>
      </c>
      <c r="D264" t="s">
        <v>159</v>
      </c>
      <c r="F264" s="10" t="str">
        <f t="shared" si="0"/>
        <v/>
      </c>
      <c r="G264" t="e">
        <f t="shared" ca="1" si="1"/>
        <v>#VALUE!</v>
      </c>
    </row>
    <row r="265" spans="1:7" ht="15.75" customHeight="1">
      <c r="A265" t="s">
        <v>393</v>
      </c>
      <c r="B265" t="s">
        <v>394</v>
      </c>
      <c r="C265" t="s">
        <v>395</v>
      </c>
      <c r="D265" t="s">
        <v>159</v>
      </c>
      <c r="F265" s="10" t="str">
        <f t="shared" si="0"/>
        <v/>
      </c>
      <c r="G265" t="e">
        <f t="shared" ca="1" si="1"/>
        <v>#VALUE!</v>
      </c>
    </row>
    <row r="266" spans="1:7" ht="15.75" customHeight="1">
      <c r="A266" t="s">
        <v>396</v>
      </c>
      <c r="B266" t="s">
        <v>397</v>
      </c>
      <c r="C266" t="s">
        <v>46</v>
      </c>
      <c r="D266" t="s">
        <v>159</v>
      </c>
      <c r="F266" s="10" t="str">
        <f t="shared" si="0"/>
        <v/>
      </c>
      <c r="G266" t="e">
        <f t="shared" ca="1" si="1"/>
        <v>#VALUE!</v>
      </c>
    </row>
    <row r="267" spans="1:7" ht="15.75" customHeight="1">
      <c r="A267" t="s">
        <v>398</v>
      </c>
      <c r="B267" t="s">
        <v>399</v>
      </c>
      <c r="C267" t="s">
        <v>18</v>
      </c>
      <c r="D267" t="s">
        <v>159</v>
      </c>
      <c r="F267" s="10" t="str">
        <f t="shared" si="0"/>
        <v/>
      </c>
      <c r="G267" t="e">
        <f t="shared" ca="1" si="1"/>
        <v>#VALUE!</v>
      </c>
    </row>
    <row r="268" spans="1:7" ht="15.75" customHeight="1">
      <c r="A268" t="s">
        <v>400</v>
      </c>
      <c r="B268" t="s">
        <v>401</v>
      </c>
      <c r="C268" t="s">
        <v>18</v>
      </c>
      <c r="D268" t="s">
        <v>159</v>
      </c>
      <c r="F268" s="10" t="str">
        <f t="shared" si="0"/>
        <v/>
      </c>
      <c r="G268" t="e">
        <f t="shared" ca="1" si="1"/>
        <v>#VALUE!</v>
      </c>
    </row>
    <row r="269" spans="1:7" ht="15.75" customHeight="1">
      <c r="A269" t="s">
        <v>402</v>
      </c>
      <c r="B269" t="s">
        <v>403</v>
      </c>
      <c r="C269" t="s">
        <v>181</v>
      </c>
      <c r="D269" t="s">
        <v>159</v>
      </c>
      <c r="F269" s="10" t="str">
        <f t="shared" si="0"/>
        <v/>
      </c>
      <c r="G269" t="e">
        <f t="shared" ca="1" si="1"/>
        <v>#VALUE!</v>
      </c>
    </row>
    <row r="270" spans="1:7" ht="15.75" customHeight="1">
      <c r="A270" t="s">
        <v>404</v>
      </c>
      <c r="B270" t="s">
        <v>405</v>
      </c>
      <c r="C270" t="s">
        <v>86</v>
      </c>
      <c r="D270" t="s">
        <v>159</v>
      </c>
      <c r="F270" s="10" t="str">
        <f t="shared" si="0"/>
        <v/>
      </c>
      <c r="G270" t="e">
        <f t="shared" ca="1" si="1"/>
        <v>#VALUE!</v>
      </c>
    </row>
    <row r="271" spans="1:7" ht="15.75" customHeight="1">
      <c r="A271" t="s">
        <v>961</v>
      </c>
      <c r="B271" t="s">
        <v>962</v>
      </c>
      <c r="C271" t="s">
        <v>890</v>
      </c>
      <c r="D271" t="s">
        <v>159</v>
      </c>
      <c r="F271" s="10" t="str">
        <f t="shared" si="0"/>
        <v/>
      </c>
      <c r="G271" t="e">
        <f t="shared" ca="1" si="1"/>
        <v>#VALUE!</v>
      </c>
    </row>
    <row r="272" spans="1:7" ht="15.75" customHeight="1">
      <c r="A272" t="s">
        <v>963</v>
      </c>
      <c r="B272" t="s">
        <v>964</v>
      </c>
      <c r="C272" t="s">
        <v>924</v>
      </c>
      <c r="D272" t="s">
        <v>159</v>
      </c>
      <c r="F272" s="10" t="str">
        <f t="shared" si="0"/>
        <v/>
      </c>
      <c r="G272" t="e">
        <f t="shared" ca="1" si="1"/>
        <v>#VALUE!</v>
      </c>
    </row>
    <row r="273" spans="1:7" ht="15.75" customHeight="1">
      <c r="A273" t="s">
        <v>406</v>
      </c>
      <c r="B273" t="s">
        <v>407</v>
      </c>
      <c r="C273" t="s">
        <v>408</v>
      </c>
      <c r="D273" t="s">
        <v>159</v>
      </c>
      <c r="F273" s="10" t="str">
        <f t="shared" si="0"/>
        <v/>
      </c>
      <c r="G273" t="e">
        <f t="shared" ca="1" si="1"/>
        <v>#VALUE!</v>
      </c>
    </row>
    <row r="274" spans="1:7" ht="15.75" customHeight="1">
      <c r="A274" t="s">
        <v>409</v>
      </c>
      <c r="B274" t="s">
        <v>410</v>
      </c>
      <c r="C274" t="s">
        <v>322</v>
      </c>
      <c r="D274" t="s">
        <v>159</v>
      </c>
      <c r="F274" s="10" t="str">
        <f t="shared" si="0"/>
        <v/>
      </c>
      <c r="G274" t="e">
        <f t="shared" ca="1" si="1"/>
        <v>#VALUE!</v>
      </c>
    </row>
    <row r="275" spans="1:7" ht="15.75" customHeight="1">
      <c r="A275" t="s">
        <v>411</v>
      </c>
      <c r="B275" t="s">
        <v>412</v>
      </c>
      <c r="C275" t="s">
        <v>395</v>
      </c>
      <c r="D275" t="s">
        <v>159</v>
      </c>
      <c r="F275" s="10" t="str">
        <f t="shared" si="0"/>
        <v/>
      </c>
      <c r="G275" t="e">
        <f t="shared" ca="1" si="1"/>
        <v>#VALUE!</v>
      </c>
    </row>
    <row r="276" spans="1:7" ht="15.75" customHeight="1">
      <c r="A276" t="s">
        <v>413</v>
      </c>
      <c r="B276" t="s">
        <v>414</v>
      </c>
      <c r="C276" t="s">
        <v>46</v>
      </c>
      <c r="D276" t="s">
        <v>159</v>
      </c>
      <c r="F276" s="10" t="str">
        <f t="shared" si="0"/>
        <v/>
      </c>
      <c r="G276" t="e">
        <f t="shared" ca="1" si="1"/>
        <v>#VALUE!</v>
      </c>
    </row>
    <row r="277" spans="1:7" ht="15.75" customHeight="1">
      <c r="A277" t="s">
        <v>415</v>
      </c>
      <c r="B277" t="s">
        <v>416</v>
      </c>
      <c r="C277" t="s">
        <v>408</v>
      </c>
      <c r="D277" t="s">
        <v>159</v>
      </c>
      <c r="F277" s="10" t="str">
        <f t="shared" si="0"/>
        <v/>
      </c>
      <c r="G277" t="e">
        <f t="shared" ca="1" si="1"/>
        <v>#VALUE!</v>
      </c>
    </row>
    <row r="278" spans="1:7" ht="15.75" customHeight="1">
      <c r="A278" t="s">
        <v>417</v>
      </c>
      <c r="B278" t="s">
        <v>418</v>
      </c>
      <c r="C278" t="s">
        <v>46</v>
      </c>
      <c r="D278" t="s">
        <v>159</v>
      </c>
      <c r="F278" s="10" t="str">
        <f t="shared" si="0"/>
        <v/>
      </c>
      <c r="G278" t="e">
        <f t="shared" ca="1" si="1"/>
        <v>#VALUE!</v>
      </c>
    </row>
    <row r="279" spans="1:7" ht="15.75" customHeight="1">
      <c r="A279" t="s">
        <v>419</v>
      </c>
      <c r="B279" t="s">
        <v>420</v>
      </c>
      <c r="C279" t="s">
        <v>146</v>
      </c>
      <c r="D279" t="s">
        <v>159</v>
      </c>
      <c r="F279" s="10" t="str">
        <f t="shared" si="0"/>
        <v/>
      </c>
      <c r="G279" t="e">
        <f t="shared" ca="1" si="1"/>
        <v>#VALUE!</v>
      </c>
    </row>
    <row r="280" spans="1:7" ht="15.75" customHeight="1">
      <c r="A280" t="s">
        <v>421</v>
      </c>
      <c r="B280" t="s">
        <v>422</v>
      </c>
      <c r="C280" t="s">
        <v>423</v>
      </c>
      <c r="D280" t="s">
        <v>159</v>
      </c>
      <c r="F280" s="10" t="str">
        <f t="shared" si="0"/>
        <v/>
      </c>
      <c r="G280" t="e">
        <f t="shared" ca="1" si="1"/>
        <v>#VALUE!</v>
      </c>
    </row>
    <row r="281" spans="1:7" ht="15.75" customHeight="1">
      <c r="A281" t="s">
        <v>424</v>
      </c>
      <c r="B281" t="s">
        <v>425</v>
      </c>
      <c r="C281" t="s">
        <v>423</v>
      </c>
      <c r="D281" t="s">
        <v>159</v>
      </c>
      <c r="F281" s="10" t="str">
        <f t="shared" si="0"/>
        <v/>
      </c>
      <c r="G281" t="e">
        <f t="shared" ca="1" si="1"/>
        <v>#VALUE!</v>
      </c>
    </row>
    <row r="282" spans="1:7" ht="15.75" customHeight="1">
      <c r="A282" t="s">
        <v>426</v>
      </c>
      <c r="B282" t="s">
        <v>427</v>
      </c>
      <c r="C282" t="s">
        <v>428</v>
      </c>
      <c r="D282" t="s">
        <v>159</v>
      </c>
      <c r="F282" s="10" t="str">
        <f t="shared" si="0"/>
        <v/>
      </c>
      <c r="G282" t="e">
        <f t="shared" ca="1" si="1"/>
        <v>#VALUE!</v>
      </c>
    </row>
    <row r="283" spans="1:7" ht="15.75" customHeight="1">
      <c r="A283" t="s">
        <v>965</v>
      </c>
      <c r="B283" t="s">
        <v>966</v>
      </c>
      <c r="C283" t="s">
        <v>967</v>
      </c>
      <c r="D283" t="s">
        <v>432</v>
      </c>
      <c r="F283" s="10" t="str">
        <f t="shared" si="0"/>
        <v/>
      </c>
      <c r="G283" t="e">
        <f t="shared" ca="1" si="1"/>
        <v>#VALUE!</v>
      </c>
    </row>
    <row r="284" spans="1:7" ht="15.75" customHeight="1">
      <c r="A284" t="s">
        <v>969</v>
      </c>
      <c r="B284" t="s">
        <v>970</v>
      </c>
      <c r="C284" t="s">
        <v>971</v>
      </c>
      <c r="D284" t="s">
        <v>432</v>
      </c>
      <c r="F284" s="10" t="str">
        <f t="shared" si="0"/>
        <v/>
      </c>
      <c r="G284" t="e">
        <f t="shared" ca="1" si="1"/>
        <v>#VALUE!</v>
      </c>
    </row>
    <row r="285" spans="1:7" ht="15.75" customHeight="1">
      <c r="A285" t="s">
        <v>972</v>
      </c>
      <c r="B285" t="s">
        <v>973</v>
      </c>
      <c r="C285" t="s">
        <v>974</v>
      </c>
      <c r="D285" t="s">
        <v>432</v>
      </c>
      <c r="F285" s="10" t="str">
        <f t="shared" si="0"/>
        <v/>
      </c>
      <c r="G285" t="e">
        <f t="shared" ca="1" si="1"/>
        <v>#VALUE!</v>
      </c>
    </row>
    <row r="286" spans="1:7" ht="15.75" customHeight="1">
      <c r="A286" t="s">
        <v>975</v>
      </c>
      <c r="B286" t="s">
        <v>976</v>
      </c>
      <c r="C286" t="s">
        <v>974</v>
      </c>
      <c r="D286" t="s">
        <v>432</v>
      </c>
      <c r="F286" s="10" t="str">
        <f t="shared" si="0"/>
        <v/>
      </c>
      <c r="G286" t="e">
        <f t="shared" ca="1" si="1"/>
        <v>#VALUE!</v>
      </c>
    </row>
    <row r="287" spans="1:7" ht="15.75" customHeight="1">
      <c r="A287" t="s">
        <v>977</v>
      </c>
      <c r="B287" t="s">
        <v>978</v>
      </c>
      <c r="C287" t="s">
        <v>979</v>
      </c>
      <c r="D287" t="s">
        <v>432</v>
      </c>
      <c r="F287" s="10" t="str">
        <f t="shared" si="0"/>
        <v/>
      </c>
      <c r="G287" t="e">
        <f t="shared" ca="1" si="1"/>
        <v>#VALUE!</v>
      </c>
    </row>
    <row r="288" spans="1:7" ht="15.75" customHeight="1">
      <c r="A288" t="s">
        <v>980</v>
      </c>
      <c r="B288" t="s">
        <v>981</v>
      </c>
      <c r="C288" t="s">
        <v>979</v>
      </c>
      <c r="D288" t="s">
        <v>432</v>
      </c>
      <c r="F288" s="10" t="str">
        <f t="shared" si="0"/>
        <v/>
      </c>
      <c r="G288" t="e">
        <f t="shared" ca="1" si="1"/>
        <v>#VALUE!</v>
      </c>
    </row>
    <row r="289" spans="1:7" ht="15.75" customHeight="1">
      <c r="A289" t="s">
        <v>982</v>
      </c>
      <c r="B289" t="s">
        <v>983</v>
      </c>
      <c r="C289" t="s">
        <v>979</v>
      </c>
      <c r="D289" t="s">
        <v>432</v>
      </c>
      <c r="F289" s="10" t="str">
        <f t="shared" si="0"/>
        <v/>
      </c>
      <c r="G289" t="e">
        <f t="shared" ca="1" si="1"/>
        <v>#VALUE!</v>
      </c>
    </row>
    <row r="290" spans="1:7" ht="15.75" customHeight="1">
      <c r="A290" t="s">
        <v>984</v>
      </c>
      <c r="B290" t="s">
        <v>985</v>
      </c>
      <c r="C290" t="s">
        <v>979</v>
      </c>
      <c r="D290" t="s">
        <v>432</v>
      </c>
      <c r="F290" s="10" t="str">
        <f t="shared" si="0"/>
        <v/>
      </c>
      <c r="G290" t="e">
        <f t="shared" ca="1" si="1"/>
        <v>#VALUE!</v>
      </c>
    </row>
    <row r="291" spans="1:7" ht="15.75" customHeight="1">
      <c r="A291" t="s">
        <v>986</v>
      </c>
      <c r="B291" t="s">
        <v>987</v>
      </c>
      <c r="C291" t="s">
        <v>979</v>
      </c>
      <c r="D291" t="s">
        <v>432</v>
      </c>
      <c r="F291" s="10" t="str">
        <f t="shared" si="0"/>
        <v/>
      </c>
      <c r="G291" t="e">
        <f t="shared" ca="1" si="1"/>
        <v>#VALUE!</v>
      </c>
    </row>
    <row r="292" spans="1:7" ht="15.75" customHeight="1">
      <c r="A292" t="s">
        <v>988</v>
      </c>
      <c r="B292" t="s">
        <v>989</v>
      </c>
      <c r="C292" t="s">
        <v>990</v>
      </c>
      <c r="D292" t="s">
        <v>432</v>
      </c>
      <c r="F292" s="10" t="str">
        <f t="shared" si="0"/>
        <v/>
      </c>
      <c r="G292" t="e">
        <f t="shared" ca="1" si="1"/>
        <v>#VALUE!</v>
      </c>
    </row>
    <row r="293" spans="1:7" ht="15.75" customHeight="1">
      <c r="A293" t="s">
        <v>991</v>
      </c>
      <c r="B293" t="s">
        <v>992</v>
      </c>
      <c r="C293" t="s">
        <v>990</v>
      </c>
      <c r="D293" t="s">
        <v>432</v>
      </c>
      <c r="F293" s="10" t="str">
        <f t="shared" si="0"/>
        <v/>
      </c>
      <c r="G293" t="e">
        <f t="shared" ca="1" si="1"/>
        <v>#VALUE!</v>
      </c>
    </row>
    <row r="294" spans="1:7" ht="15.75" customHeight="1">
      <c r="A294" t="s">
        <v>993</v>
      </c>
      <c r="B294" t="s">
        <v>994</v>
      </c>
      <c r="C294" t="s">
        <v>990</v>
      </c>
      <c r="D294" t="s">
        <v>432</v>
      </c>
      <c r="F294" s="10" t="str">
        <f t="shared" si="0"/>
        <v/>
      </c>
      <c r="G294" t="e">
        <f t="shared" ca="1" si="1"/>
        <v>#VALUE!</v>
      </c>
    </row>
    <row r="295" spans="1:7" ht="15.75" customHeight="1">
      <c r="A295" t="s">
        <v>995</v>
      </c>
      <c r="B295" t="s">
        <v>996</v>
      </c>
      <c r="C295" t="s">
        <v>990</v>
      </c>
      <c r="D295" t="s">
        <v>432</v>
      </c>
      <c r="F295" s="10" t="str">
        <f t="shared" si="0"/>
        <v/>
      </c>
      <c r="G295" t="e">
        <f t="shared" ca="1" si="1"/>
        <v>#VALUE!</v>
      </c>
    </row>
    <row r="296" spans="1:7" ht="15.75" customHeight="1">
      <c r="A296" t="s">
        <v>997</v>
      </c>
      <c r="B296" t="s">
        <v>998</v>
      </c>
      <c r="C296" t="s">
        <v>999</v>
      </c>
      <c r="D296" t="s">
        <v>432</v>
      </c>
      <c r="F296" s="10" t="str">
        <f t="shared" si="0"/>
        <v/>
      </c>
      <c r="G296" t="e">
        <f t="shared" ca="1" si="1"/>
        <v>#VALUE!</v>
      </c>
    </row>
    <row r="297" spans="1:7" ht="15.75" customHeight="1">
      <c r="A297" t="s">
        <v>1000</v>
      </c>
      <c r="B297" t="s">
        <v>1001</v>
      </c>
      <c r="C297" t="s">
        <v>999</v>
      </c>
      <c r="D297" t="s">
        <v>432</v>
      </c>
      <c r="F297" s="10" t="str">
        <f t="shared" si="0"/>
        <v/>
      </c>
      <c r="G297" t="e">
        <f t="shared" ca="1" si="1"/>
        <v>#VALUE!</v>
      </c>
    </row>
    <row r="298" spans="1:7" ht="15.75" customHeight="1">
      <c r="A298" t="s">
        <v>1002</v>
      </c>
      <c r="B298" t="s">
        <v>1003</v>
      </c>
      <c r="C298" t="s">
        <v>999</v>
      </c>
      <c r="D298" t="s">
        <v>432</v>
      </c>
      <c r="F298" s="10" t="str">
        <f t="shared" si="0"/>
        <v/>
      </c>
      <c r="G298" t="e">
        <f t="shared" ca="1" si="1"/>
        <v>#VALUE!</v>
      </c>
    </row>
    <row r="299" spans="1:7" ht="15.75" customHeight="1">
      <c r="A299" t="s">
        <v>1004</v>
      </c>
      <c r="B299" t="s">
        <v>1005</v>
      </c>
      <c r="C299" t="s">
        <v>1006</v>
      </c>
      <c r="D299" t="s">
        <v>432</v>
      </c>
      <c r="F299" s="10" t="str">
        <f t="shared" si="0"/>
        <v/>
      </c>
      <c r="G299" t="e">
        <f t="shared" ca="1" si="1"/>
        <v>#VALUE!</v>
      </c>
    </row>
    <row r="300" spans="1:7" ht="15.75" customHeight="1">
      <c r="A300" t="s">
        <v>1007</v>
      </c>
      <c r="B300" t="s">
        <v>1008</v>
      </c>
      <c r="C300" t="s">
        <v>1009</v>
      </c>
      <c r="D300" t="s">
        <v>432</v>
      </c>
      <c r="F300" s="10" t="str">
        <f t="shared" si="0"/>
        <v/>
      </c>
      <c r="G300" t="e">
        <f t="shared" ca="1" si="1"/>
        <v>#VALUE!</v>
      </c>
    </row>
    <row r="301" spans="1:7" ht="15.75" customHeight="1">
      <c r="A301" t="s">
        <v>1010</v>
      </c>
      <c r="B301" t="s">
        <v>1011</v>
      </c>
      <c r="C301" t="s">
        <v>1012</v>
      </c>
      <c r="D301" t="s">
        <v>432</v>
      </c>
      <c r="F301" s="10" t="str">
        <f t="shared" si="0"/>
        <v/>
      </c>
      <c r="G301" t="e">
        <f t="shared" ca="1" si="1"/>
        <v>#VALUE!</v>
      </c>
    </row>
    <row r="302" spans="1:7" ht="15.75" customHeight="1">
      <c r="A302" t="s">
        <v>1013</v>
      </c>
      <c r="B302" t="s">
        <v>1014</v>
      </c>
      <c r="C302" t="s">
        <v>1015</v>
      </c>
      <c r="D302" t="s">
        <v>432</v>
      </c>
      <c r="F302" s="10" t="str">
        <f t="shared" si="0"/>
        <v/>
      </c>
      <c r="G302" t="e">
        <f t="shared" ca="1" si="1"/>
        <v>#VALUE!</v>
      </c>
    </row>
    <row r="303" spans="1:7" ht="15.75" customHeight="1">
      <c r="A303" t="s">
        <v>1016</v>
      </c>
      <c r="B303" t="s">
        <v>1017</v>
      </c>
      <c r="C303" t="s">
        <v>1018</v>
      </c>
      <c r="D303" t="s">
        <v>432</v>
      </c>
      <c r="F303" s="10" t="str">
        <f t="shared" si="0"/>
        <v/>
      </c>
      <c r="G303" t="e">
        <f t="shared" ca="1" si="1"/>
        <v>#VALUE!</v>
      </c>
    </row>
    <row r="304" spans="1:7" ht="15.75" customHeight="1">
      <c r="A304" t="s">
        <v>1019</v>
      </c>
      <c r="B304" t="s">
        <v>1020</v>
      </c>
      <c r="C304" t="s">
        <v>1021</v>
      </c>
      <c r="D304" t="s">
        <v>1022</v>
      </c>
      <c r="F304" s="10" t="str">
        <f t="shared" si="0"/>
        <v/>
      </c>
      <c r="G304" t="e">
        <f t="shared" ca="1" si="1"/>
        <v>#VALUE!</v>
      </c>
    </row>
    <row r="305" spans="1:7" ht="15.75" customHeight="1">
      <c r="A305" t="s">
        <v>429</v>
      </c>
      <c r="B305" t="s">
        <v>430</v>
      </c>
      <c r="C305" t="s">
        <v>431</v>
      </c>
      <c r="D305" t="s">
        <v>432</v>
      </c>
      <c r="F305" s="10" t="str">
        <f t="shared" si="0"/>
        <v/>
      </c>
      <c r="G305" t="e">
        <f t="shared" ca="1" si="1"/>
        <v>#VALUE!</v>
      </c>
    </row>
    <row r="306" spans="1:7" ht="15.75" customHeight="1">
      <c r="A306" t="s">
        <v>433</v>
      </c>
      <c r="B306" t="s">
        <v>434</v>
      </c>
      <c r="C306" t="s">
        <v>435</v>
      </c>
      <c r="D306" t="s">
        <v>432</v>
      </c>
      <c r="F306" s="10" t="str">
        <f t="shared" si="0"/>
        <v/>
      </c>
      <c r="G306" t="e">
        <f t="shared" ca="1" si="1"/>
        <v>#VALUE!</v>
      </c>
    </row>
    <row r="307" spans="1:7" ht="15.75" customHeight="1">
      <c r="A307" t="s">
        <v>436</v>
      </c>
      <c r="B307" t="s">
        <v>437</v>
      </c>
      <c r="C307" t="s">
        <v>435</v>
      </c>
      <c r="D307" t="s">
        <v>432</v>
      </c>
      <c r="F307" s="10" t="str">
        <f t="shared" si="0"/>
        <v/>
      </c>
      <c r="G307" t="e">
        <f t="shared" ca="1" si="1"/>
        <v>#VALUE!</v>
      </c>
    </row>
    <row r="308" spans="1:7" ht="15.75" customHeight="1">
      <c r="A308" t="s">
        <v>438</v>
      </c>
      <c r="B308" t="s">
        <v>439</v>
      </c>
      <c r="C308" t="s">
        <v>146</v>
      </c>
      <c r="D308" t="s">
        <v>432</v>
      </c>
      <c r="F308" s="10" t="str">
        <f t="shared" si="0"/>
        <v/>
      </c>
      <c r="G308" t="e">
        <f t="shared" ca="1" si="1"/>
        <v>#VALUE!</v>
      </c>
    </row>
    <row r="309" spans="1:7" ht="15.75" customHeight="1">
      <c r="A309" t="s">
        <v>440</v>
      </c>
      <c r="B309" t="s">
        <v>441</v>
      </c>
      <c r="C309" t="s">
        <v>146</v>
      </c>
      <c r="D309" t="s">
        <v>432</v>
      </c>
      <c r="F309" s="10" t="str">
        <f t="shared" si="0"/>
        <v/>
      </c>
      <c r="G309" t="e">
        <f t="shared" ca="1" si="1"/>
        <v>#VALUE!</v>
      </c>
    </row>
    <row r="310" spans="1:7" ht="15.75" customHeight="1">
      <c r="A310" t="s">
        <v>442</v>
      </c>
      <c r="B310" t="s">
        <v>170</v>
      </c>
      <c r="C310" t="s">
        <v>71</v>
      </c>
      <c r="D310" t="s">
        <v>432</v>
      </c>
      <c r="F310" s="10" t="str">
        <f t="shared" si="0"/>
        <v/>
      </c>
      <c r="G310" t="e">
        <f t="shared" ca="1" si="1"/>
        <v>#VALUE!</v>
      </c>
    </row>
    <row r="311" spans="1:7" ht="15.75" customHeight="1">
      <c r="A311" t="s">
        <v>443</v>
      </c>
      <c r="B311" t="s">
        <v>444</v>
      </c>
      <c r="C311" t="s">
        <v>445</v>
      </c>
      <c r="D311" t="s">
        <v>432</v>
      </c>
      <c r="F311" s="10" t="str">
        <f t="shared" si="0"/>
        <v/>
      </c>
      <c r="G311" t="e">
        <f t="shared" ca="1" si="1"/>
        <v>#VALUE!</v>
      </c>
    </row>
    <row r="312" spans="1:7" ht="15.75" customHeight="1">
      <c r="A312" t="s">
        <v>1023</v>
      </c>
      <c r="B312" t="s">
        <v>1024</v>
      </c>
      <c r="C312" t="s">
        <v>1025</v>
      </c>
      <c r="D312" t="s">
        <v>432</v>
      </c>
      <c r="F312" s="10" t="str">
        <f t="shared" si="0"/>
        <v/>
      </c>
      <c r="G312" t="e">
        <f t="shared" ca="1" si="1"/>
        <v>#VALUE!</v>
      </c>
    </row>
    <row r="313" spans="1:7" ht="15.75" customHeight="1">
      <c r="A313" t="s">
        <v>1026</v>
      </c>
      <c r="B313" t="s">
        <v>1027</v>
      </c>
      <c r="C313" t="s">
        <v>1025</v>
      </c>
      <c r="D313" t="s">
        <v>432</v>
      </c>
      <c r="F313" s="10" t="str">
        <f t="shared" si="0"/>
        <v/>
      </c>
      <c r="G313" t="e">
        <f t="shared" ca="1" si="1"/>
        <v>#VALUE!</v>
      </c>
    </row>
    <row r="314" spans="1:7" ht="15.75" customHeight="1">
      <c r="A314" t="s">
        <v>1028</v>
      </c>
      <c r="B314" t="s">
        <v>1029</v>
      </c>
      <c r="C314" t="s">
        <v>1030</v>
      </c>
      <c r="D314" t="s">
        <v>432</v>
      </c>
      <c r="F314" s="10" t="str">
        <f t="shared" si="0"/>
        <v/>
      </c>
      <c r="G314" t="e">
        <f t="shared" ca="1" si="1"/>
        <v>#VALUE!</v>
      </c>
    </row>
    <row r="315" spans="1:7" ht="15.75" customHeight="1">
      <c r="A315" t="s">
        <v>1031</v>
      </c>
      <c r="B315" t="s">
        <v>1032</v>
      </c>
      <c r="C315" t="s">
        <v>1030</v>
      </c>
      <c r="D315" t="s">
        <v>432</v>
      </c>
      <c r="F315" s="10" t="str">
        <f t="shared" si="0"/>
        <v/>
      </c>
      <c r="G315" t="e">
        <f t="shared" ca="1" si="1"/>
        <v>#VALUE!</v>
      </c>
    </row>
    <row r="316" spans="1:7" ht="15.75" customHeight="1">
      <c r="A316" t="s">
        <v>1033</v>
      </c>
      <c r="B316" t="s">
        <v>1034</v>
      </c>
      <c r="C316" t="s">
        <v>921</v>
      </c>
      <c r="D316" t="s">
        <v>432</v>
      </c>
      <c r="F316" s="10" t="str">
        <f t="shared" si="0"/>
        <v/>
      </c>
      <c r="G316" t="e">
        <f t="shared" ca="1" si="1"/>
        <v>#VALUE!</v>
      </c>
    </row>
    <row r="317" spans="1:7" ht="15.75" customHeight="1">
      <c r="A317" t="s">
        <v>1035</v>
      </c>
      <c r="B317" t="s">
        <v>1036</v>
      </c>
      <c r="C317" t="s">
        <v>1037</v>
      </c>
      <c r="D317" t="s">
        <v>432</v>
      </c>
      <c r="F317" s="10" t="str">
        <f t="shared" si="0"/>
        <v/>
      </c>
      <c r="G317" t="e">
        <f t="shared" ca="1" si="1"/>
        <v>#VALUE!</v>
      </c>
    </row>
    <row r="318" spans="1:7" ht="15.75" customHeight="1">
      <c r="A318" t="s">
        <v>446</v>
      </c>
      <c r="B318" t="s">
        <v>447</v>
      </c>
      <c r="C318" t="s">
        <v>448</v>
      </c>
      <c r="D318" t="s">
        <v>432</v>
      </c>
      <c r="F318" s="10" t="str">
        <f t="shared" si="0"/>
        <v/>
      </c>
      <c r="G318" t="e">
        <f t="shared" ca="1" si="1"/>
        <v>#VALUE!</v>
      </c>
    </row>
    <row r="319" spans="1:7" ht="15.75" customHeight="1">
      <c r="A319" t="s">
        <v>449</v>
      </c>
      <c r="B319" t="s">
        <v>450</v>
      </c>
      <c r="C319" t="s">
        <v>451</v>
      </c>
      <c r="D319" t="s">
        <v>432</v>
      </c>
      <c r="F319" s="10" t="str">
        <f t="shared" si="0"/>
        <v/>
      </c>
      <c r="G319" t="e">
        <f t="shared" ca="1" si="1"/>
        <v>#VALUE!</v>
      </c>
    </row>
    <row r="320" spans="1:7" ht="15.75" customHeight="1">
      <c r="A320" t="s">
        <v>452</v>
      </c>
      <c r="B320" t="s">
        <v>453</v>
      </c>
      <c r="C320" t="s">
        <v>451</v>
      </c>
      <c r="D320" t="s">
        <v>432</v>
      </c>
      <c r="F320" s="10" t="str">
        <f t="shared" si="0"/>
        <v/>
      </c>
      <c r="G320" t="e">
        <f t="shared" ca="1" si="1"/>
        <v>#VALUE!</v>
      </c>
    </row>
    <row r="321" spans="1:7" ht="15.75" customHeight="1">
      <c r="A321" t="s">
        <v>454</v>
      </c>
      <c r="B321" t="s">
        <v>455</v>
      </c>
      <c r="C321" t="s">
        <v>451</v>
      </c>
      <c r="D321" t="s">
        <v>432</v>
      </c>
      <c r="F321" s="10" t="str">
        <f t="shared" si="0"/>
        <v/>
      </c>
      <c r="G321" t="e">
        <f t="shared" ca="1" si="1"/>
        <v>#VALUE!</v>
      </c>
    </row>
    <row r="322" spans="1:7" ht="15.75" customHeight="1">
      <c r="A322" t="s">
        <v>456</v>
      </c>
      <c r="B322" t="s">
        <v>457</v>
      </c>
      <c r="C322" t="s">
        <v>451</v>
      </c>
      <c r="D322" t="s">
        <v>432</v>
      </c>
      <c r="F322" s="10" t="str">
        <f t="shared" si="0"/>
        <v/>
      </c>
      <c r="G322" t="e">
        <f t="shared" ca="1" si="1"/>
        <v>#VALUE!</v>
      </c>
    </row>
    <row r="323" spans="1:7" ht="15.75" customHeight="1">
      <c r="A323" t="s">
        <v>458</v>
      </c>
      <c r="B323" t="s">
        <v>459</v>
      </c>
      <c r="C323" t="s">
        <v>451</v>
      </c>
      <c r="D323" t="s">
        <v>432</v>
      </c>
      <c r="F323" s="10" t="str">
        <f t="shared" si="0"/>
        <v/>
      </c>
      <c r="G323" t="e">
        <f t="shared" ca="1" si="1"/>
        <v>#VALUE!</v>
      </c>
    </row>
    <row r="324" spans="1:7" ht="15.75" customHeight="1">
      <c r="A324" t="s">
        <v>460</v>
      </c>
      <c r="B324" t="s">
        <v>461</v>
      </c>
      <c r="C324" t="s">
        <v>100</v>
      </c>
      <c r="D324" t="s">
        <v>432</v>
      </c>
      <c r="F324" s="10" t="str">
        <f t="shared" si="0"/>
        <v/>
      </c>
      <c r="G324" t="e">
        <f t="shared" ca="1" si="1"/>
        <v>#VALUE!</v>
      </c>
    </row>
    <row r="325" spans="1:7" ht="15.75" customHeight="1">
      <c r="A325" t="s">
        <v>462</v>
      </c>
      <c r="B325" t="s">
        <v>463</v>
      </c>
      <c r="C325" t="s">
        <v>100</v>
      </c>
      <c r="D325" t="s">
        <v>432</v>
      </c>
      <c r="F325" s="10" t="str">
        <f t="shared" si="0"/>
        <v/>
      </c>
      <c r="G325" t="e">
        <f t="shared" ca="1" si="1"/>
        <v>#VALUE!</v>
      </c>
    </row>
    <row r="326" spans="1:7" ht="15.75" customHeight="1">
      <c r="A326" t="s">
        <v>1038</v>
      </c>
      <c r="B326" t="s">
        <v>1039</v>
      </c>
      <c r="C326" t="s">
        <v>1040</v>
      </c>
      <c r="D326" t="s">
        <v>432</v>
      </c>
      <c r="F326" s="10" t="str">
        <f t="shared" si="0"/>
        <v/>
      </c>
      <c r="G326" t="e">
        <f t="shared" ca="1" si="1"/>
        <v>#VALUE!</v>
      </c>
    </row>
    <row r="327" spans="1:7" ht="15.75" customHeight="1">
      <c r="A327" t="s">
        <v>464</v>
      </c>
      <c r="B327" t="s">
        <v>465</v>
      </c>
      <c r="C327" t="s">
        <v>100</v>
      </c>
      <c r="D327" t="s">
        <v>432</v>
      </c>
      <c r="F327" s="10" t="str">
        <f t="shared" si="0"/>
        <v/>
      </c>
      <c r="G327" t="e">
        <f t="shared" ca="1" si="1"/>
        <v>#VALUE!</v>
      </c>
    </row>
    <row r="328" spans="1:7" ht="15.75" customHeight="1">
      <c r="A328" t="s">
        <v>466</v>
      </c>
      <c r="B328" t="s">
        <v>467</v>
      </c>
      <c r="C328" t="s">
        <v>468</v>
      </c>
      <c r="D328" t="s">
        <v>432</v>
      </c>
      <c r="F328" s="10" t="str">
        <f t="shared" si="0"/>
        <v/>
      </c>
      <c r="G328" t="e">
        <f t="shared" ca="1" si="1"/>
        <v>#VALUE!</v>
      </c>
    </row>
    <row r="329" spans="1:7" ht="15.75" customHeight="1">
      <c r="A329" t="s">
        <v>469</v>
      </c>
      <c r="B329" t="s">
        <v>470</v>
      </c>
      <c r="C329" t="s">
        <v>468</v>
      </c>
      <c r="D329" t="s">
        <v>432</v>
      </c>
      <c r="F329" s="10" t="str">
        <f t="shared" si="0"/>
        <v/>
      </c>
      <c r="G329" t="e">
        <f t="shared" ca="1" si="1"/>
        <v>#VALUE!</v>
      </c>
    </row>
    <row r="330" spans="1:7" ht="15.75" customHeight="1">
      <c r="A330" t="s">
        <v>471</v>
      </c>
      <c r="B330" t="s">
        <v>472</v>
      </c>
      <c r="C330" t="s">
        <v>468</v>
      </c>
      <c r="D330" t="s">
        <v>432</v>
      </c>
      <c r="F330" s="10" t="str">
        <f t="shared" si="0"/>
        <v/>
      </c>
      <c r="G330" t="e">
        <f t="shared" ca="1" si="1"/>
        <v>#VALUE!</v>
      </c>
    </row>
    <row r="331" spans="1:7" ht="15.75" customHeight="1">
      <c r="A331" t="s">
        <v>473</v>
      </c>
      <c r="B331" t="s">
        <v>474</v>
      </c>
      <c r="C331" t="s">
        <v>468</v>
      </c>
      <c r="D331" t="s">
        <v>432</v>
      </c>
      <c r="F331" s="10" t="str">
        <f t="shared" si="0"/>
        <v/>
      </c>
      <c r="G331" t="e">
        <f t="shared" ca="1" si="1"/>
        <v>#VALUE!</v>
      </c>
    </row>
    <row r="332" spans="1:7" ht="15.75" customHeight="1">
      <c r="A332" t="s">
        <v>475</v>
      </c>
      <c r="B332" t="s">
        <v>476</v>
      </c>
      <c r="C332" t="s">
        <v>468</v>
      </c>
      <c r="D332" t="s">
        <v>432</v>
      </c>
      <c r="F332" s="10" t="str">
        <f t="shared" si="0"/>
        <v/>
      </c>
      <c r="G332" t="e">
        <f t="shared" ca="1" si="1"/>
        <v>#VALUE!</v>
      </c>
    </row>
    <row r="333" spans="1:7" ht="15.75" customHeight="1">
      <c r="A333" t="s">
        <v>477</v>
      </c>
      <c r="B333" t="s">
        <v>478</v>
      </c>
      <c r="C333" t="s">
        <v>468</v>
      </c>
      <c r="D333" t="s">
        <v>432</v>
      </c>
      <c r="F333" s="10" t="str">
        <f t="shared" si="0"/>
        <v/>
      </c>
      <c r="G333" t="e">
        <f t="shared" ca="1" si="1"/>
        <v>#VALUE!</v>
      </c>
    </row>
    <row r="334" spans="1:7" ht="15.75" customHeight="1">
      <c r="A334" t="s">
        <v>479</v>
      </c>
      <c r="B334" t="s">
        <v>480</v>
      </c>
      <c r="C334" t="s">
        <v>468</v>
      </c>
      <c r="D334" t="s">
        <v>432</v>
      </c>
      <c r="F334" s="10" t="str">
        <f t="shared" si="0"/>
        <v/>
      </c>
      <c r="G334" t="e">
        <f t="shared" ca="1" si="1"/>
        <v>#VALUE!</v>
      </c>
    </row>
    <row r="335" spans="1:7" ht="15.75" customHeight="1">
      <c r="A335" t="s">
        <v>481</v>
      </c>
      <c r="B335" t="s">
        <v>482</v>
      </c>
      <c r="C335" t="s">
        <v>468</v>
      </c>
      <c r="D335" t="s">
        <v>432</v>
      </c>
      <c r="F335" s="10" t="str">
        <f t="shared" si="0"/>
        <v/>
      </c>
      <c r="G335" t="e">
        <f t="shared" ca="1" si="1"/>
        <v>#VALUE!</v>
      </c>
    </row>
    <row r="336" spans="1:7" ht="15.75" customHeight="1">
      <c r="A336" t="s">
        <v>483</v>
      </c>
      <c r="B336" t="s">
        <v>484</v>
      </c>
      <c r="C336" t="s">
        <v>468</v>
      </c>
      <c r="D336" t="s">
        <v>432</v>
      </c>
      <c r="F336" s="10" t="str">
        <f t="shared" si="0"/>
        <v/>
      </c>
      <c r="G336" t="e">
        <f t="shared" ca="1" si="1"/>
        <v>#VALUE!</v>
      </c>
    </row>
    <row r="337" spans="1:7" ht="15.75" customHeight="1">
      <c r="A337" t="s">
        <v>485</v>
      </c>
      <c r="B337" t="s">
        <v>486</v>
      </c>
      <c r="C337" t="s">
        <v>468</v>
      </c>
      <c r="D337" t="s">
        <v>432</v>
      </c>
      <c r="F337" s="10" t="str">
        <f t="shared" si="0"/>
        <v/>
      </c>
      <c r="G337" t="e">
        <f t="shared" ca="1" si="1"/>
        <v>#VALUE!</v>
      </c>
    </row>
    <row r="338" spans="1:7" ht="15.75" customHeight="1">
      <c r="A338" t="s">
        <v>487</v>
      </c>
      <c r="B338" t="s">
        <v>488</v>
      </c>
      <c r="C338" t="s">
        <v>468</v>
      </c>
      <c r="D338" t="s">
        <v>432</v>
      </c>
      <c r="F338" s="10" t="str">
        <f t="shared" si="0"/>
        <v/>
      </c>
      <c r="G338" t="e">
        <f t="shared" ca="1" si="1"/>
        <v>#VALUE!</v>
      </c>
    </row>
    <row r="339" spans="1:7" ht="15.75" customHeight="1">
      <c r="A339" t="s">
        <v>489</v>
      </c>
      <c r="B339" t="s">
        <v>490</v>
      </c>
      <c r="C339" t="s">
        <v>468</v>
      </c>
      <c r="D339" t="s">
        <v>432</v>
      </c>
      <c r="F339" s="10" t="str">
        <f t="shared" si="0"/>
        <v/>
      </c>
      <c r="G339" t="e">
        <f t="shared" ca="1" si="1"/>
        <v>#VALUE!</v>
      </c>
    </row>
    <row r="340" spans="1:7" ht="15.75" customHeight="1">
      <c r="A340" t="s">
        <v>491</v>
      </c>
      <c r="B340" t="s">
        <v>492</v>
      </c>
      <c r="C340" t="s">
        <v>468</v>
      </c>
      <c r="D340" t="s">
        <v>432</v>
      </c>
      <c r="F340" s="10" t="str">
        <f t="shared" si="0"/>
        <v/>
      </c>
      <c r="G340" t="e">
        <f t="shared" ca="1" si="1"/>
        <v>#VALUE!</v>
      </c>
    </row>
    <row r="341" spans="1:7" ht="15.75" customHeight="1">
      <c r="A341" t="s">
        <v>493</v>
      </c>
      <c r="B341" t="s">
        <v>494</v>
      </c>
      <c r="C341" t="s">
        <v>468</v>
      </c>
      <c r="D341" t="s">
        <v>432</v>
      </c>
      <c r="F341" s="10" t="str">
        <f t="shared" si="0"/>
        <v/>
      </c>
      <c r="G341" t="e">
        <f t="shared" ca="1" si="1"/>
        <v>#VALUE!</v>
      </c>
    </row>
    <row r="342" spans="1:7" ht="15.75" customHeight="1">
      <c r="A342" t="s">
        <v>495</v>
      </c>
      <c r="B342" t="s">
        <v>496</v>
      </c>
      <c r="C342" t="s">
        <v>468</v>
      </c>
      <c r="D342" t="s">
        <v>432</v>
      </c>
      <c r="F342" s="10" t="str">
        <f t="shared" si="0"/>
        <v/>
      </c>
      <c r="G342" t="e">
        <f t="shared" ca="1" si="1"/>
        <v>#VALUE!</v>
      </c>
    </row>
    <row r="343" spans="1:7" ht="15.75" customHeight="1">
      <c r="A343" t="s">
        <v>497</v>
      </c>
      <c r="B343" t="s">
        <v>498</v>
      </c>
      <c r="C343" t="s">
        <v>468</v>
      </c>
      <c r="D343" t="s">
        <v>432</v>
      </c>
      <c r="F343" s="10" t="str">
        <f t="shared" si="0"/>
        <v/>
      </c>
      <c r="G343" t="e">
        <f t="shared" ca="1" si="1"/>
        <v>#VALUE!</v>
      </c>
    </row>
    <row r="344" spans="1:7" ht="15.75" customHeight="1">
      <c r="A344" t="s">
        <v>499</v>
      </c>
      <c r="B344" t="s">
        <v>500</v>
      </c>
      <c r="C344" t="s">
        <v>468</v>
      </c>
      <c r="D344" t="s">
        <v>432</v>
      </c>
      <c r="F344" s="10" t="str">
        <f t="shared" si="0"/>
        <v/>
      </c>
      <c r="G344" t="e">
        <f t="shared" ca="1" si="1"/>
        <v>#VALUE!</v>
      </c>
    </row>
    <row r="345" spans="1:7" ht="15.75" customHeight="1">
      <c r="A345" t="s">
        <v>501</v>
      </c>
      <c r="B345" t="s">
        <v>502</v>
      </c>
      <c r="C345" t="s">
        <v>468</v>
      </c>
      <c r="D345" t="s">
        <v>432</v>
      </c>
      <c r="F345" s="10" t="str">
        <f t="shared" si="0"/>
        <v/>
      </c>
      <c r="G345" t="e">
        <f t="shared" ca="1" si="1"/>
        <v>#VALUE!</v>
      </c>
    </row>
    <row r="346" spans="1:7" ht="15.75" customHeight="1">
      <c r="A346" t="s">
        <v>503</v>
      </c>
      <c r="B346" t="s">
        <v>504</v>
      </c>
      <c r="C346" t="s">
        <v>468</v>
      </c>
      <c r="D346" t="s">
        <v>432</v>
      </c>
      <c r="F346" s="10" t="str">
        <f t="shared" si="0"/>
        <v/>
      </c>
      <c r="G346" t="e">
        <f t="shared" ca="1" si="1"/>
        <v>#VALUE!</v>
      </c>
    </row>
    <row r="347" spans="1:7" ht="15.75" customHeight="1">
      <c r="A347" t="s">
        <v>505</v>
      </c>
      <c r="B347" t="s">
        <v>506</v>
      </c>
      <c r="C347" t="s">
        <v>468</v>
      </c>
      <c r="D347" t="s">
        <v>432</v>
      </c>
      <c r="F347" s="10" t="str">
        <f t="shared" si="0"/>
        <v/>
      </c>
      <c r="G347" t="e">
        <f t="shared" ca="1" si="1"/>
        <v>#VALUE!</v>
      </c>
    </row>
    <row r="348" spans="1:7" ht="15.75" customHeight="1">
      <c r="A348" t="s">
        <v>507</v>
      </c>
      <c r="B348" t="s">
        <v>508</v>
      </c>
      <c r="C348" t="s">
        <v>468</v>
      </c>
      <c r="D348" t="s">
        <v>432</v>
      </c>
      <c r="F348" s="10" t="str">
        <f t="shared" si="0"/>
        <v/>
      </c>
      <c r="G348" t="e">
        <f t="shared" ca="1" si="1"/>
        <v>#VALUE!</v>
      </c>
    </row>
    <row r="349" spans="1:7" ht="15.75" customHeight="1">
      <c r="A349" t="s">
        <v>509</v>
      </c>
      <c r="B349" t="s">
        <v>510</v>
      </c>
      <c r="C349" t="s">
        <v>468</v>
      </c>
      <c r="D349" t="s">
        <v>432</v>
      </c>
      <c r="F349" s="10" t="str">
        <f t="shared" si="0"/>
        <v/>
      </c>
      <c r="G349" t="e">
        <f t="shared" ca="1" si="1"/>
        <v>#VALUE!</v>
      </c>
    </row>
    <row r="350" spans="1:7" ht="15.75" customHeight="1">
      <c r="A350" t="s">
        <v>511</v>
      </c>
      <c r="B350" t="s">
        <v>512</v>
      </c>
      <c r="C350" t="s">
        <v>468</v>
      </c>
      <c r="D350" t="s">
        <v>432</v>
      </c>
      <c r="F350" s="10" t="str">
        <f t="shared" si="0"/>
        <v/>
      </c>
      <c r="G350" t="e">
        <f t="shared" ca="1" si="1"/>
        <v>#VALUE!</v>
      </c>
    </row>
    <row r="351" spans="1:7" ht="15.75" customHeight="1">
      <c r="A351" t="s">
        <v>513</v>
      </c>
      <c r="B351" t="s">
        <v>514</v>
      </c>
      <c r="C351" t="s">
        <v>468</v>
      </c>
      <c r="D351" t="s">
        <v>432</v>
      </c>
      <c r="F351" s="10" t="str">
        <f t="shared" si="0"/>
        <v/>
      </c>
      <c r="G351" t="e">
        <f t="shared" ca="1" si="1"/>
        <v>#VALUE!</v>
      </c>
    </row>
    <row r="352" spans="1:7" ht="15.75" customHeight="1">
      <c r="A352" t="s">
        <v>515</v>
      </c>
      <c r="B352" t="s">
        <v>516</v>
      </c>
      <c r="C352" t="s">
        <v>468</v>
      </c>
      <c r="D352" t="s">
        <v>432</v>
      </c>
      <c r="F352" s="10" t="str">
        <f t="shared" si="0"/>
        <v/>
      </c>
      <c r="G352" t="e">
        <f t="shared" ca="1" si="1"/>
        <v>#VALUE!</v>
      </c>
    </row>
    <row r="353" spans="1:7" ht="15.75" customHeight="1">
      <c r="A353" t="s">
        <v>517</v>
      </c>
      <c r="B353" t="s">
        <v>518</v>
      </c>
      <c r="C353" t="s">
        <v>468</v>
      </c>
      <c r="D353" t="s">
        <v>432</v>
      </c>
      <c r="F353" s="10" t="str">
        <f t="shared" si="0"/>
        <v/>
      </c>
      <c r="G353" t="e">
        <f t="shared" ca="1" si="1"/>
        <v>#VALUE!</v>
      </c>
    </row>
    <row r="354" spans="1:7" ht="15.75" customHeight="1">
      <c r="A354" t="s">
        <v>519</v>
      </c>
      <c r="B354" t="s">
        <v>520</v>
      </c>
      <c r="C354" t="s">
        <v>468</v>
      </c>
      <c r="D354" t="s">
        <v>432</v>
      </c>
      <c r="F354" s="10" t="str">
        <f t="shared" si="0"/>
        <v/>
      </c>
      <c r="G354" t="e">
        <f t="shared" ca="1" si="1"/>
        <v>#VALUE!</v>
      </c>
    </row>
    <row r="355" spans="1:7" ht="15.75" customHeight="1">
      <c r="A355" t="s">
        <v>521</v>
      </c>
      <c r="B355" t="s">
        <v>522</v>
      </c>
      <c r="C355" t="s">
        <v>100</v>
      </c>
      <c r="D355" t="s">
        <v>432</v>
      </c>
      <c r="F355" s="10" t="str">
        <f t="shared" si="0"/>
        <v/>
      </c>
      <c r="G355" t="e">
        <f t="shared" ca="1" si="1"/>
        <v>#VALUE!</v>
      </c>
    </row>
    <row r="356" spans="1:7" ht="15.75" customHeight="1">
      <c r="A356" t="s">
        <v>523</v>
      </c>
      <c r="B356" t="s">
        <v>524</v>
      </c>
      <c r="C356" t="s">
        <v>468</v>
      </c>
      <c r="D356" t="s">
        <v>432</v>
      </c>
      <c r="F356" s="10" t="str">
        <f t="shared" si="0"/>
        <v/>
      </c>
      <c r="G356" t="e">
        <f t="shared" ca="1" si="1"/>
        <v>#VALUE!</v>
      </c>
    </row>
    <row r="357" spans="1:7" ht="15.75" customHeight="1">
      <c r="A357" t="s">
        <v>525</v>
      </c>
      <c r="B357" t="s">
        <v>526</v>
      </c>
      <c r="C357" t="s">
        <v>468</v>
      </c>
      <c r="D357" t="s">
        <v>432</v>
      </c>
      <c r="F357" s="10" t="str">
        <f t="shared" si="0"/>
        <v/>
      </c>
      <c r="G357" t="e">
        <f t="shared" ca="1" si="1"/>
        <v>#VALUE!</v>
      </c>
    </row>
    <row r="358" spans="1:7" ht="15.75" customHeight="1">
      <c r="A358" t="s">
        <v>527</v>
      </c>
      <c r="B358" t="s">
        <v>528</v>
      </c>
      <c r="C358" t="s">
        <v>468</v>
      </c>
      <c r="D358" t="s">
        <v>432</v>
      </c>
      <c r="F358" s="10" t="str">
        <f t="shared" si="0"/>
        <v/>
      </c>
      <c r="G358" t="e">
        <f t="shared" ca="1" si="1"/>
        <v>#VALUE!</v>
      </c>
    </row>
    <row r="359" spans="1:7" ht="15.75" customHeight="1">
      <c r="A359" t="s">
        <v>529</v>
      </c>
      <c r="B359" t="s">
        <v>530</v>
      </c>
      <c r="C359" t="s">
        <v>468</v>
      </c>
      <c r="D359" t="s">
        <v>432</v>
      </c>
      <c r="F359" s="10" t="str">
        <f t="shared" si="0"/>
        <v/>
      </c>
      <c r="G359" t="e">
        <f t="shared" ca="1" si="1"/>
        <v>#VALUE!</v>
      </c>
    </row>
    <row r="360" spans="1:7" ht="15.75" customHeight="1">
      <c r="A360" t="s">
        <v>531</v>
      </c>
      <c r="B360" t="s">
        <v>532</v>
      </c>
      <c r="C360" t="s">
        <v>468</v>
      </c>
      <c r="D360" t="s">
        <v>432</v>
      </c>
      <c r="F360" s="10" t="str">
        <f t="shared" si="0"/>
        <v/>
      </c>
      <c r="G360" t="e">
        <f t="shared" ca="1" si="1"/>
        <v>#VALUE!</v>
      </c>
    </row>
    <row r="361" spans="1:7" ht="15.75" customHeight="1">
      <c r="A361" t="s">
        <v>533</v>
      </c>
      <c r="B361" t="s">
        <v>534</v>
      </c>
      <c r="C361" t="s">
        <v>468</v>
      </c>
      <c r="D361" t="s">
        <v>432</v>
      </c>
      <c r="F361" s="10" t="str">
        <f t="shared" si="0"/>
        <v/>
      </c>
      <c r="G361" t="e">
        <f t="shared" ca="1" si="1"/>
        <v>#VALUE!</v>
      </c>
    </row>
    <row r="362" spans="1:7" ht="15.75" customHeight="1">
      <c r="A362" t="s">
        <v>535</v>
      </c>
      <c r="B362" t="s">
        <v>536</v>
      </c>
      <c r="C362" t="s">
        <v>468</v>
      </c>
      <c r="D362" t="s">
        <v>432</v>
      </c>
      <c r="F362" s="10" t="str">
        <f t="shared" si="0"/>
        <v/>
      </c>
      <c r="G362" t="e">
        <f t="shared" ca="1" si="1"/>
        <v>#VALUE!</v>
      </c>
    </row>
    <row r="363" spans="1:7" ht="15.75" customHeight="1">
      <c r="A363" t="s">
        <v>537</v>
      </c>
      <c r="B363" t="s">
        <v>538</v>
      </c>
      <c r="C363" t="s">
        <v>468</v>
      </c>
      <c r="D363" t="s">
        <v>432</v>
      </c>
      <c r="F363" s="10" t="str">
        <f t="shared" si="0"/>
        <v/>
      </c>
      <c r="G363" t="e">
        <f t="shared" ca="1" si="1"/>
        <v>#VALUE!</v>
      </c>
    </row>
    <row r="364" spans="1:7" ht="15.75" customHeight="1">
      <c r="A364" t="s">
        <v>539</v>
      </c>
      <c r="B364" t="s">
        <v>540</v>
      </c>
      <c r="C364" t="s">
        <v>468</v>
      </c>
      <c r="D364" t="s">
        <v>432</v>
      </c>
      <c r="F364" s="10" t="str">
        <f t="shared" si="0"/>
        <v/>
      </c>
      <c r="G364" t="e">
        <f t="shared" ca="1" si="1"/>
        <v>#VALUE!</v>
      </c>
    </row>
    <row r="365" spans="1:7" ht="15.75" customHeight="1">
      <c r="A365" t="s">
        <v>541</v>
      </c>
      <c r="B365" t="s">
        <v>542</v>
      </c>
      <c r="C365" t="s">
        <v>468</v>
      </c>
      <c r="D365" t="s">
        <v>432</v>
      </c>
      <c r="F365" s="10" t="str">
        <f t="shared" si="0"/>
        <v/>
      </c>
      <c r="G365" t="e">
        <f t="shared" ca="1" si="1"/>
        <v>#VALUE!</v>
      </c>
    </row>
    <row r="366" spans="1:7" ht="15.75" customHeight="1">
      <c r="A366" t="s">
        <v>543</v>
      </c>
      <c r="B366" t="s">
        <v>544</v>
      </c>
      <c r="C366" t="s">
        <v>468</v>
      </c>
      <c r="D366" t="s">
        <v>432</v>
      </c>
      <c r="F366" s="10" t="str">
        <f t="shared" si="0"/>
        <v/>
      </c>
      <c r="G366" t="e">
        <f t="shared" ca="1" si="1"/>
        <v>#VALUE!</v>
      </c>
    </row>
    <row r="367" spans="1:7" ht="15.75" customHeight="1">
      <c r="A367" t="s">
        <v>1041</v>
      </c>
      <c r="B367" t="s">
        <v>1042</v>
      </c>
      <c r="C367" t="s">
        <v>1043</v>
      </c>
      <c r="D367" t="s">
        <v>432</v>
      </c>
      <c r="F367" s="10" t="str">
        <f t="shared" si="0"/>
        <v/>
      </c>
      <c r="G367" t="e">
        <f t="shared" ca="1" si="1"/>
        <v>#VALUE!</v>
      </c>
    </row>
    <row r="368" spans="1:7" ht="15.75" customHeight="1">
      <c r="A368" t="s">
        <v>1044</v>
      </c>
      <c r="B368" t="s">
        <v>1045</v>
      </c>
      <c r="C368" t="s">
        <v>1043</v>
      </c>
      <c r="D368" t="s">
        <v>432</v>
      </c>
      <c r="F368" s="10" t="str">
        <f t="shared" si="0"/>
        <v/>
      </c>
      <c r="G368" t="e">
        <f t="shared" ca="1" si="1"/>
        <v>#VALUE!</v>
      </c>
    </row>
    <row r="369" spans="1:7" ht="15.75" customHeight="1">
      <c r="A369" t="s">
        <v>1046</v>
      </c>
      <c r="B369" t="s">
        <v>1047</v>
      </c>
      <c r="C369" t="s">
        <v>1048</v>
      </c>
      <c r="D369" t="s">
        <v>432</v>
      </c>
      <c r="F369" s="10" t="str">
        <f t="shared" si="0"/>
        <v/>
      </c>
      <c r="G369" t="e">
        <f t="shared" ca="1" si="1"/>
        <v>#VALUE!</v>
      </c>
    </row>
    <row r="370" spans="1:7" ht="15.75" customHeight="1">
      <c r="A370" t="s">
        <v>1049</v>
      </c>
      <c r="B370" t="s">
        <v>1050</v>
      </c>
      <c r="C370" t="s">
        <v>1048</v>
      </c>
      <c r="D370" t="s">
        <v>432</v>
      </c>
      <c r="F370" s="10" t="str">
        <f t="shared" si="0"/>
        <v/>
      </c>
      <c r="G370" t="e">
        <f t="shared" ca="1" si="1"/>
        <v>#VALUE!</v>
      </c>
    </row>
    <row r="371" spans="1:7" ht="15.75" customHeight="1">
      <c r="A371" t="s">
        <v>1051</v>
      </c>
      <c r="B371" t="s">
        <v>1052</v>
      </c>
      <c r="C371" t="s">
        <v>1048</v>
      </c>
      <c r="D371" t="s">
        <v>432</v>
      </c>
      <c r="F371" s="10" t="str">
        <f t="shared" si="0"/>
        <v/>
      </c>
      <c r="G371" t="e">
        <f t="shared" ca="1" si="1"/>
        <v>#VALUE!</v>
      </c>
    </row>
    <row r="372" spans="1:7" ht="15.75" customHeight="1">
      <c r="A372" t="s">
        <v>1053</v>
      </c>
      <c r="B372" t="s">
        <v>1054</v>
      </c>
      <c r="C372" t="s">
        <v>1048</v>
      </c>
      <c r="D372" t="s">
        <v>432</v>
      </c>
      <c r="F372" s="10" t="str">
        <f t="shared" si="0"/>
        <v/>
      </c>
      <c r="G372" t="e">
        <f t="shared" ca="1" si="1"/>
        <v>#VALUE!</v>
      </c>
    </row>
    <row r="373" spans="1:7" ht="15.75" customHeight="1">
      <c r="A373" t="s">
        <v>1055</v>
      </c>
      <c r="B373" t="s">
        <v>1056</v>
      </c>
      <c r="C373" t="s">
        <v>1057</v>
      </c>
      <c r="D373" t="s">
        <v>432</v>
      </c>
      <c r="F373" s="10" t="str">
        <f t="shared" si="0"/>
        <v/>
      </c>
      <c r="G373" t="e">
        <f t="shared" ca="1" si="1"/>
        <v>#VALUE!</v>
      </c>
    </row>
    <row r="374" spans="1:7" ht="15.75" customHeight="1">
      <c r="A374" t="s">
        <v>1058</v>
      </c>
      <c r="B374" t="s">
        <v>1059</v>
      </c>
      <c r="C374" t="s">
        <v>1057</v>
      </c>
      <c r="D374" t="s">
        <v>432</v>
      </c>
      <c r="F374" s="10" t="str">
        <f t="shared" si="0"/>
        <v/>
      </c>
      <c r="G374" t="e">
        <f t="shared" ca="1" si="1"/>
        <v>#VALUE!</v>
      </c>
    </row>
    <row r="375" spans="1:7" ht="15.75" customHeight="1">
      <c r="A375" t="s">
        <v>1060</v>
      </c>
      <c r="B375" t="s">
        <v>1061</v>
      </c>
      <c r="C375" t="s">
        <v>1057</v>
      </c>
      <c r="D375" t="s">
        <v>432</v>
      </c>
      <c r="F375" s="10" t="str">
        <f t="shared" si="0"/>
        <v/>
      </c>
      <c r="G375" t="e">
        <f t="shared" ca="1" si="1"/>
        <v>#VALUE!</v>
      </c>
    </row>
    <row r="376" spans="1:7" ht="15.75" customHeight="1">
      <c r="A376" t="s">
        <v>1062</v>
      </c>
      <c r="B376" t="s">
        <v>1063</v>
      </c>
      <c r="C376" t="s">
        <v>1057</v>
      </c>
      <c r="D376" t="s">
        <v>432</v>
      </c>
      <c r="F376" s="10" t="str">
        <f t="shared" si="0"/>
        <v/>
      </c>
      <c r="G376" t="e">
        <f t="shared" ca="1" si="1"/>
        <v>#VALUE!</v>
      </c>
    </row>
    <row r="377" spans="1:7" ht="15.75" customHeight="1">
      <c r="A377" t="s">
        <v>1064</v>
      </c>
      <c r="B377" t="s">
        <v>1065</v>
      </c>
      <c r="C377" t="s">
        <v>1057</v>
      </c>
      <c r="D377" t="s">
        <v>432</v>
      </c>
      <c r="F377" s="10" t="str">
        <f t="shared" si="0"/>
        <v/>
      </c>
      <c r="G377" t="e">
        <f t="shared" ca="1" si="1"/>
        <v>#VALUE!</v>
      </c>
    </row>
    <row r="378" spans="1:7" ht="15.75" customHeight="1">
      <c r="A378" t="s">
        <v>545</v>
      </c>
      <c r="B378" t="s">
        <v>546</v>
      </c>
      <c r="C378" t="s">
        <v>46</v>
      </c>
      <c r="D378" t="s">
        <v>432</v>
      </c>
      <c r="F378" s="10" t="str">
        <f t="shared" si="0"/>
        <v/>
      </c>
      <c r="G378" t="e">
        <f t="shared" ca="1" si="1"/>
        <v>#VALUE!</v>
      </c>
    </row>
    <row r="379" spans="1:7" ht="15.75" customHeight="1">
      <c r="A379" t="s">
        <v>547</v>
      </c>
      <c r="B379" t="s">
        <v>548</v>
      </c>
      <c r="C379" t="s">
        <v>46</v>
      </c>
      <c r="D379" t="s">
        <v>432</v>
      </c>
      <c r="F379" s="10" t="str">
        <f t="shared" si="0"/>
        <v/>
      </c>
      <c r="G379" t="e">
        <f t="shared" ca="1" si="1"/>
        <v>#VALUE!</v>
      </c>
    </row>
    <row r="380" spans="1:7" ht="15.75" customHeight="1">
      <c r="A380" t="s">
        <v>549</v>
      </c>
      <c r="B380" t="s">
        <v>550</v>
      </c>
      <c r="C380" t="s">
        <v>46</v>
      </c>
      <c r="D380" t="s">
        <v>432</v>
      </c>
      <c r="F380" s="10" t="str">
        <f t="shared" si="0"/>
        <v/>
      </c>
      <c r="G380" t="e">
        <f t="shared" ca="1" si="1"/>
        <v>#VALUE!</v>
      </c>
    </row>
    <row r="381" spans="1:7" ht="15.75" customHeight="1">
      <c r="A381" t="s">
        <v>551</v>
      </c>
      <c r="B381" t="s">
        <v>552</v>
      </c>
      <c r="C381" t="s">
        <v>46</v>
      </c>
      <c r="D381" t="s">
        <v>432</v>
      </c>
      <c r="F381" s="10" t="str">
        <f t="shared" si="0"/>
        <v/>
      </c>
      <c r="G381" t="e">
        <f t="shared" ca="1" si="1"/>
        <v>#VALUE!</v>
      </c>
    </row>
    <row r="382" spans="1:7" ht="15.75" customHeight="1">
      <c r="A382" t="s">
        <v>1066</v>
      </c>
      <c r="B382" t="s">
        <v>1067</v>
      </c>
      <c r="C382" t="s">
        <v>1068</v>
      </c>
      <c r="D382" t="s">
        <v>432</v>
      </c>
      <c r="F382" s="10" t="str">
        <f t="shared" si="0"/>
        <v/>
      </c>
      <c r="G382" t="e">
        <f t="shared" ca="1" si="1"/>
        <v>#VALUE!</v>
      </c>
    </row>
    <row r="383" spans="1:7" ht="15.75" customHeight="1">
      <c r="A383" t="s">
        <v>553</v>
      </c>
      <c r="B383" t="s">
        <v>554</v>
      </c>
      <c r="C383" t="s">
        <v>46</v>
      </c>
      <c r="D383" t="s">
        <v>432</v>
      </c>
      <c r="F383" s="10" t="str">
        <f t="shared" si="0"/>
        <v/>
      </c>
      <c r="G383" t="e">
        <f t="shared" ca="1" si="1"/>
        <v>#VALUE!</v>
      </c>
    </row>
    <row r="384" spans="1:7" ht="15.75" customHeight="1">
      <c r="A384" t="s">
        <v>555</v>
      </c>
      <c r="B384" t="s">
        <v>556</v>
      </c>
      <c r="C384" t="s">
        <v>46</v>
      </c>
      <c r="D384" t="s">
        <v>432</v>
      </c>
      <c r="F384" s="10" t="str">
        <f t="shared" si="0"/>
        <v/>
      </c>
      <c r="G384" t="e">
        <f t="shared" ca="1" si="1"/>
        <v>#VALUE!</v>
      </c>
    </row>
    <row r="385" spans="1:7" ht="15.75" customHeight="1">
      <c r="A385" t="s">
        <v>557</v>
      </c>
      <c r="B385" t="s">
        <v>558</v>
      </c>
      <c r="C385" t="s">
        <v>46</v>
      </c>
      <c r="D385" t="s">
        <v>432</v>
      </c>
      <c r="F385" s="10" t="str">
        <f t="shared" si="0"/>
        <v/>
      </c>
      <c r="G385" t="e">
        <f t="shared" ca="1" si="1"/>
        <v>#VALUE!</v>
      </c>
    </row>
    <row r="386" spans="1:7" ht="15.75" customHeight="1">
      <c r="A386" t="s">
        <v>559</v>
      </c>
      <c r="B386" t="s">
        <v>560</v>
      </c>
      <c r="C386" t="s">
        <v>46</v>
      </c>
      <c r="D386" t="s">
        <v>432</v>
      </c>
      <c r="F386" s="10" t="str">
        <f t="shared" si="0"/>
        <v/>
      </c>
      <c r="G386" t="e">
        <f t="shared" ca="1" si="1"/>
        <v>#VALUE!</v>
      </c>
    </row>
    <row r="387" spans="1:7" ht="15.75" customHeight="1">
      <c r="A387" t="s">
        <v>561</v>
      </c>
      <c r="B387" t="s">
        <v>562</v>
      </c>
      <c r="C387" t="s">
        <v>46</v>
      </c>
      <c r="D387" t="s">
        <v>432</v>
      </c>
      <c r="F387" s="10" t="str">
        <f t="shared" si="0"/>
        <v/>
      </c>
      <c r="G387" t="e">
        <f t="shared" ca="1" si="1"/>
        <v>#VALUE!</v>
      </c>
    </row>
    <row r="388" spans="1:7" ht="15.75" customHeight="1">
      <c r="A388" t="s">
        <v>563</v>
      </c>
      <c r="B388" t="s">
        <v>564</v>
      </c>
      <c r="C388" t="s">
        <v>46</v>
      </c>
      <c r="D388" t="s">
        <v>432</v>
      </c>
      <c r="F388" s="10" t="str">
        <f t="shared" si="0"/>
        <v/>
      </c>
      <c r="G388" t="e">
        <f t="shared" ca="1" si="1"/>
        <v>#VALUE!</v>
      </c>
    </row>
    <row r="389" spans="1:7" ht="15.75" customHeight="1">
      <c r="A389" t="s">
        <v>1069</v>
      </c>
      <c r="B389" t="s">
        <v>1070</v>
      </c>
      <c r="C389" t="s">
        <v>1068</v>
      </c>
      <c r="D389" t="s">
        <v>432</v>
      </c>
      <c r="F389" s="10" t="str">
        <f t="shared" si="0"/>
        <v/>
      </c>
      <c r="G389" t="e">
        <f t="shared" ca="1" si="1"/>
        <v>#VALUE!</v>
      </c>
    </row>
    <row r="390" spans="1:7" ht="15.75" customHeight="1">
      <c r="A390" t="s">
        <v>565</v>
      </c>
      <c r="B390" t="s">
        <v>566</v>
      </c>
      <c r="C390" t="s">
        <v>146</v>
      </c>
      <c r="D390" t="s">
        <v>432</v>
      </c>
      <c r="F390" s="10" t="str">
        <f t="shared" si="0"/>
        <v/>
      </c>
      <c r="G390" t="e">
        <f t="shared" ca="1" si="1"/>
        <v>#VALUE!</v>
      </c>
    </row>
    <row r="391" spans="1:7" ht="15.75" customHeight="1">
      <c r="A391" t="s">
        <v>567</v>
      </c>
      <c r="B391" t="s">
        <v>568</v>
      </c>
      <c r="C391" t="s">
        <v>146</v>
      </c>
      <c r="D391" t="s">
        <v>432</v>
      </c>
      <c r="F391" s="10" t="str">
        <f t="shared" si="0"/>
        <v/>
      </c>
      <c r="G391" t="e">
        <f t="shared" ca="1" si="1"/>
        <v>#VALUE!</v>
      </c>
    </row>
    <row r="392" spans="1:7" ht="15.75" customHeight="1">
      <c r="A392" t="s">
        <v>569</v>
      </c>
      <c r="B392" t="s">
        <v>570</v>
      </c>
      <c r="C392" t="s">
        <v>146</v>
      </c>
      <c r="D392" t="s">
        <v>432</v>
      </c>
      <c r="F392" s="10" t="str">
        <f t="shared" si="0"/>
        <v/>
      </c>
      <c r="G392" t="e">
        <f t="shared" ca="1" si="1"/>
        <v>#VALUE!</v>
      </c>
    </row>
    <row r="393" spans="1:7" ht="15.75" customHeight="1">
      <c r="A393" t="s">
        <v>571</v>
      </c>
      <c r="B393" t="s">
        <v>572</v>
      </c>
      <c r="C393" t="s">
        <v>146</v>
      </c>
      <c r="D393" t="s">
        <v>432</v>
      </c>
      <c r="F393" s="10" t="str">
        <f t="shared" si="0"/>
        <v/>
      </c>
      <c r="G393" t="e">
        <f t="shared" ca="1" si="1"/>
        <v>#VALUE!</v>
      </c>
    </row>
    <row r="394" spans="1:7" ht="15.75" customHeight="1">
      <c r="A394" t="s">
        <v>573</v>
      </c>
      <c r="B394" t="s">
        <v>574</v>
      </c>
      <c r="C394" t="s">
        <v>146</v>
      </c>
      <c r="D394" t="s">
        <v>432</v>
      </c>
      <c r="F394" s="10" t="str">
        <f t="shared" si="0"/>
        <v/>
      </c>
      <c r="G394" t="e">
        <f t="shared" ca="1" si="1"/>
        <v>#VALUE!</v>
      </c>
    </row>
    <row r="395" spans="1:7" ht="15.75" customHeight="1">
      <c r="A395" t="s">
        <v>575</v>
      </c>
      <c r="B395" t="s">
        <v>576</v>
      </c>
      <c r="C395" t="s">
        <v>146</v>
      </c>
      <c r="D395" t="s">
        <v>432</v>
      </c>
      <c r="F395" s="10" t="str">
        <f t="shared" si="0"/>
        <v/>
      </c>
      <c r="G395" t="e">
        <f t="shared" ca="1" si="1"/>
        <v>#VALUE!</v>
      </c>
    </row>
    <row r="396" spans="1:7" ht="15.75" customHeight="1">
      <c r="A396" t="s">
        <v>577</v>
      </c>
      <c r="B396" t="s">
        <v>578</v>
      </c>
      <c r="C396" t="s">
        <v>146</v>
      </c>
      <c r="D396" t="s">
        <v>432</v>
      </c>
      <c r="F396" s="10" t="str">
        <f t="shared" si="0"/>
        <v/>
      </c>
      <c r="G396" t="e">
        <f t="shared" ca="1" si="1"/>
        <v>#VALUE!</v>
      </c>
    </row>
    <row r="397" spans="1:7" ht="15.75" customHeight="1">
      <c r="A397" t="s">
        <v>579</v>
      </c>
      <c r="B397" t="s">
        <v>580</v>
      </c>
      <c r="C397" t="s">
        <v>146</v>
      </c>
      <c r="D397" t="s">
        <v>432</v>
      </c>
      <c r="F397" s="10" t="str">
        <f t="shared" si="0"/>
        <v/>
      </c>
      <c r="G397" t="e">
        <f t="shared" ca="1" si="1"/>
        <v>#VALUE!</v>
      </c>
    </row>
    <row r="398" spans="1:7" ht="15.75" customHeight="1">
      <c r="A398" t="s">
        <v>581</v>
      </c>
      <c r="B398" t="s">
        <v>582</v>
      </c>
      <c r="C398" t="s">
        <v>146</v>
      </c>
      <c r="D398" t="s">
        <v>432</v>
      </c>
      <c r="F398" s="10" t="str">
        <f t="shared" si="0"/>
        <v/>
      </c>
      <c r="G398" t="e">
        <f t="shared" ca="1" si="1"/>
        <v>#VALUE!</v>
      </c>
    </row>
    <row r="399" spans="1:7" ht="15.75" customHeight="1">
      <c r="A399" t="s">
        <v>583</v>
      </c>
      <c r="B399" t="s">
        <v>584</v>
      </c>
      <c r="C399" t="s">
        <v>146</v>
      </c>
      <c r="D399" t="s">
        <v>432</v>
      </c>
      <c r="F399" s="10" t="str">
        <f t="shared" si="0"/>
        <v/>
      </c>
      <c r="G399" t="e">
        <f t="shared" ca="1" si="1"/>
        <v>#VALUE!</v>
      </c>
    </row>
    <row r="400" spans="1:7" ht="15.75" customHeight="1">
      <c r="A400" t="s">
        <v>585</v>
      </c>
      <c r="B400" t="s">
        <v>586</v>
      </c>
      <c r="C400" t="s">
        <v>146</v>
      </c>
      <c r="D400" t="s">
        <v>432</v>
      </c>
      <c r="F400" s="10" t="str">
        <f t="shared" si="0"/>
        <v/>
      </c>
      <c r="G400" t="e">
        <f t="shared" ca="1" si="1"/>
        <v>#VALUE!</v>
      </c>
    </row>
    <row r="401" spans="1:7" ht="15.75" customHeight="1">
      <c r="A401" t="s">
        <v>587</v>
      </c>
      <c r="B401" t="s">
        <v>588</v>
      </c>
      <c r="C401" t="s">
        <v>146</v>
      </c>
      <c r="D401" t="s">
        <v>432</v>
      </c>
      <c r="F401" s="10" t="str">
        <f t="shared" si="0"/>
        <v/>
      </c>
      <c r="G401" t="e">
        <f t="shared" ca="1" si="1"/>
        <v>#VALUE!</v>
      </c>
    </row>
    <row r="402" spans="1:7" ht="15.75" customHeight="1">
      <c r="A402" t="s">
        <v>589</v>
      </c>
      <c r="B402" t="s">
        <v>590</v>
      </c>
      <c r="C402" t="s">
        <v>71</v>
      </c>
      <c r="D402" t="s">
        <v>432</v>
      </c>
      <c r="F402" s="10" t="str">
        <f t="shared" si="0"/>
        <v/>
      </c>
      <c r="G402" t="e">
        <f t="shared" ca="1" si="1"/>
        <v>#VALUE!</v>
      </c>
    </row>
    <row r="403" spans="1:7" ht="15.75" customHeight="1">
      <c r="A403" t="s">
        <v>1071</v>
      </c>
      <c r="B403" t="s">
        <v>1072</v>
      </c>
      <c r="C403" t="s">
        <v>1068</v>
      </c>
      <c r="D403" t="s">
        <v>432</v>
      </c>
      <c r="F403" s="10" t="str">
        <f t="shared" si="0"/>
        <v/>
      </c>
      <c r="G403" t="e">
        <f t="shared" ca="1" si="1"/>
        <v>#VALUE!</v>
      </c>
    </row>
    <row r="404" spans="1:7" ht="15.75" customHeight="1">
      <c r="A404" t="s">
        <v>591</v>
      </c>
      <c r="B404" t="s">
        <v>592</v>
      </c>
      <c r="C404" t="s">
        <v>71</v>
      </c>
      <c r="D404" t="s">
        <v>432</v>
      </c>
      <c r="F404" s="10" t="str">
        <f t="shared" si="0"/>
        <v/>
      </c>
      <c r="G404" t="e">
        <f t="shared" ca="1" si="1"/>
        <v>#VALUE!</v>
      </c>
    </row>
    <row r="405" spans="1:7" ht="15.75" customHeight="1">
      <c r="A405" t="s">
        <v>593</v>
      </c>
      <c r="B405" t="s">
        <v>594</v>
      </c>
      <c r="C405" t="s">
        <v>71</v>
      </c>
      <c r="D405" t="s">
        <v>432</v>
      </c>
      <c r="F405" s="10" t="str">
        <f t="shared" si="0"/>
        <v/>
      </c>
      <c r="G405" t="e">
        <f t="shared" ca="1" si="1"/>
        <v>#VALUE!</v>
      </c>
    </row>
    <row r="406" spans="1:7" ht="15.75" customHeight="1">
      <c r="A406" t="s">
        <v>1073</v>
      </c>
      <c r="B406" t="s">
        <v>1074</v>
      </c>
      <c r="C406" t="s">
        <v>1068</v>
      </c>
      <c r="D406" t="s">
        <v>432</v>
      </c>
      <c r="F406" s="10" t="str">
        <f t="shared" si="0"/>
        <v/>
      </c>
      <c r="G406" t="e">
        <f t="shared" ca="1" si="1"/>
        <v>#VALUE!</v>
      </c>
    </row>
    <row r="407" spans="1:7" ht="15.75" customHeight="1">
      <c r="A407" t="s">
        <v>595</v>
      </c>
      <c r="B407" t="s">
        <v>596</v>
      </c>
      <c r="C407" t="s">
        <v>445</v>
      </c>
      <c r="D407" t="s">
        <v>432</v>
      </c>
      <c r="F407" s="10" t="str">
        <f t="shared" si="0"/>
        <v/>
      </c>
      <c r="G407" t="e">
        <f t="shared" ca="1" si="1"/>
        <v>#VALUE!</v>
      </c>
    </row>
    <row r="408" spans="1:7" ht="15.75" customHeight="1">
      <c r="A408" t="s">
        <v>597</v>
      </c>
      <c r="B408" t="s">
        <v>598</v>
      </c>
      <c r="C408" t="s">
        <v>599</v>
      </c>
      <c r="D408" t="s">
        <v>432</v>
      </c>
      <c r="F408" s="10" t="str">
        <f t="shared" si="0"/>
        <v/>
      </c>
      <c r="G408" t="e">
        <f t="shared" ca="1" si="1"/>
        <v>#VALUE!</v>
      </c>
    </row>
    <row r="409" spans="1:7" ht="15.75" customHeight="1">
      <c r="A409" t="s">
        <v>600</v>
      </c>
      <c r="B409" t="s">
        <v>601</v>
      </c>
      <c r="C409" t="s">
        <v>175</v>
      </c>
      <c r="D409" t="s">
        <v>432</v>
      </c>
      <c r="F409" s="10" t="str">
        <f t="shared" si="0"/>
        <v/>
      </c>
      <c r="G409" t="e">
        <f t="shared" ca="1" si="1"/>
        <v>#VALUE!</v>
      </c>
    </row>
    <row r="410" spans="1:7" ht="15.75" customHeight="1">
      <c r="A410" t="s">
        <v>602</v>
      </c>
      <c r="B410" t="s">
        <v>603</v>
      </c>
      <c r="C410" t="s">
        <v>599</v>
      </c>
      <c r="D410" t="s">
        <v>432</v>
      </c>
      <c r="F410" s="10" t="str">
        <f t="shared" si="0"/>
        <v/>
      </c>
      <c r="G410" t="e">
        <f t="shared" ca="1" si="1"/>
        <v>#VALUE!</v>
      </c>
    </row>
    <row r="411" spans="1:7" ht="15.75" customHeight="1">
      <c r="A411" t="s">
        <v>604</v>
      </c>
      <c r="B411" t="s">
        <v>605</v>
      </c>
      <c r="C411" t="s">
        <v>175</v>
      </c>
      <c r="D411" t="s">
        <v>432</v>
      </c>
      <c r="F411" s="10" t="str">
        <f t="shared" si="0"/>
        <v/>
      </c>
      <c r="G411" t="e">
        <f t="shared" ca="1" si="1"/>
        <v>#VALUE!</v>
      </c>
    </row>
    <row r="412" spans="1:7" ht="15.75" customHeight="1">
      <c r="A412" t="s">
        <v>606</v>
      </c>
      <c r="B412" t="s">
        <v>607</v>
      </c>
      <c r="C412" t="s">
        <v>71</v>
      </c>
      <c r="D412" t="s">
        <v>432</v>
      </c>
      <c r="F412" s="10" t="str">
        <f t="shared" si="0"/>
        <v/>
      </c>
      <c r="G412" t="e">
        <f t="shared" ca="1" si="1"/>
        <v>#VALUE!</v>
      </c>
    </row>
    <row r="413" spans="1:7" ht="15.75" customHeight="1">
      <c r="A413" t="s">
        <v>608</v>
      </c>
      <c r="B413" t="s">
        <v>609</v>
      </c>
      <c r="C413" t="s">
        <v>89</v>
      </c>
      <c r="D413" t="s">
        <v>432</v>
      </c>
      <c r="F413" s="10" t="str">
        <f t="shared" si="0"/>
        <v/>
      </c>
      <c r="G413" t="e">
        <f t="shared" ca="1" si="1"/>
        <v>#VALUE!</v>
      </c>
    </row>
    <row r="414" spans="1:7" ht="15.75" customHeight="1">
      <c r="A414" t="s">
        <v>610</v>
      </c>
      <c r="B414" t="s">
        <v>611</v>
      </c>
      <c r="C414" t="s">
        <v>22</v>
      </c>
      <c r="D414" t="s">
        <v>432</v>
      </c>
      <c r="F414" s="10" t="str">
        <f t="shared" si="0"/>
        <v/>
      </c>
      <c r="G414" t="e">
        <f t="shared" ca="1" si="1"/>
        <v>#VALUE!</v>
      </c>
    </row>
    <row r="415" spans="1:7" ht="15.75" customHeight="1">
      <c r="A415" t="s">
        <v>612</v>
      </c>
      <c r="B415" t="s">
        <v>613</v>
      </c>
      <c r="C415" t="s">
        <v>614</v>
      </c>
      <c r="D415" t="s">
        <v>432</v>
      </c>
      <c r="F415" s="10" t="str">
        <f t="shared" si="0"/>
        <v/>
      </c>
      <c r="G415" t="e">
        <f t="shared" ca="1" si="1"/>
        <v>#VALUE!</v>
      </c>
    </row>
    <row r="416" spans="1:7" ht="15.75" customHeight="1">
      <c r="A416" t="s">
        <v>1075</v>
      </c>
      <c r="B416" t="s">
        <v>1076</v>
      </c>
      <c r="C416" t="s">
        <v>1077</v>
      </c>
      <c r="D416" t="s">
        <v>432</v>
      </c>
      <c r="F416" s="10" t="str">
        <f t="shared" si="0"/>
        <v/>
      </c>
      <c r="G416" t="e">
        <f t="shared" ca="1" si="1"/>
        <v>#VALUE!</v>
      </c>
    </row>
    <row r="417" spans="1:7" ht="15.75" customHeight="1">
      <c r="A417" t="s">
        <v>1078</v>
      </c>
      <c r="B417" t="s">
        <v>1079</v>
      </c>
      <c r="C417" t="s">
        <v>1077</v>
      </c>
      <c r="D417" t="s">
        <v>432</v>
      </c>
      <c r="F417" s="10" t="str">
        <f t="shared" si="0"/>
        <v/>
      </c>
      <c r="G417" t="e">
        <f t="shared" ca="1" si="1"/>
        <v>#VALUE!</v>
      </c>
    </row>
    <row r="418" spans="1:7" ht="15.75" customHeight="1">
      <c r="A418" t="s">
        <v>1080</v>
      </c>
      <c r="B418" t="s">
        <v>1081</v>
      </c>
      <c r="C418" t="s">
        <v>967</v>
      </c>
      <c r="D418" t="s">
        <v>432</v>
      </c>
      <c r="F418" s="10" t="str">
        <f t="shared" si="0"/>
        <v/>
      </c>
      <c r="G418" t="e">
        <f t="shared" ca="1" si="1"/>
        <v>#VALUE!</v>
      </c>
    </row>
    <row r="419" spans="1:7" ht="15.75" customHeight="1">
      <c r="A419" t="s">
        <v>1082</v>
      </c>
      <c r="B419" t="s">
        <v>1083</v>
      </c>
      <c r="C419" t="s">
        <v>974</v>
      </c>
      <c r="D419" t="s">
        <v>432</v>
      </c>
      <c r="F419" s="10" t="str">
        <f t="shared" si="0"/>
        <v/>
      </c>
      <c r="G419" t="e">
        <f t="shared" ca="1" si="1"/>
        <v>#VALUE!</v>
      </c>
    </row>
    <row r="420" spans="1:7" ht="15.75" customHeight="1">
      <c r="A420" t="s">
        <v>1084</v>
      </c>
      <c r="B420" t="s">
        <v>1085</v>
      </c>
      <c r="C420" t="s">
        <v>979</v>
      </c>
      <c r="D420" t="s">
        <v>432</v>
      </c>
      <c r="F420" s="10" t="str">
        <f t="shared" si="0"/>
        <v/>
      </c>
      <c r="G420" t="e">
        <f t="shared" ca="1" si="1"/>
        <v>#VALUE!</v>
      </c>
    </row>
    <row r="421" spans="1:7" ht="15.75" customHeight="1">
      <c r="A421" t="s">
        <v>1086</v>
      </c>
      <c r="B421" t="s">
        <v>1087</v>
      </c>
      <c r="C421" t="s">
        <v>990</v>
      </c>
      <c r="D421" t="s">
        <v>432</v>
      </c>
      <c r="F421" s="10" t="str">
        <f t="shared" si="0"/>
        <v/>
      </c>
      <c r="G421" t="e">
        <f t="shared" ca="1" si="1"/>
        <v>#VALUE!</v>
      </c>
    </row>
    <row r="422" spans="1:7" ht="15.75" customHeight="1">
      <c r="A422" t="s">
        <v>1088</v>
      </c>
      <c r="B422" t="s">
        <v>1089</v>
      </c>
      <c r="C422" t="s">
        <v>990</v>
      </c>
      <c r="D422" t="s">
        <v>432</v>
      </c>
      <c r="F422" s="10" t="str">
        <f t="shared" si="0"/>
        <v/>
      </c>
      <c r="G422" t="e">
        <f t="shared" ca="1" si="1"/>
        <v>#VALUE!</v>
      </c>
    </row>
    <row r="423" spans="1:7" ht="15.75" customHeight="1">
      <c r="A423" t="s">
        <v>1090</v>
      </c>
      <c r="B423" t="s">
        <v>1091</v>
      </c>
      <c r="C423" t="s">
        <v>999</v>
      </c>
      <c r="D423" t="s">
        <v>432</v>
      </c>
      <c r="F423" s="10" t="str">
        <f t="shared" si="0"/>
        <v/>
      </c>
      <c r="G423" t="e">
        <f t="shared" ca="1" si="1"/>
        <v>#VALUE!</v>
      </c>
    </row>
    <row r="424" spans="1:7" ht="15.75" customHeight="1">
      <c r="A424" t="s">
        <v>1092</v>
      </c>
      <c r="B424" t="s">
        <v>1093</v>
      </c>
      <c r="C424" t="s">
        <v>1009</v>
      </c>
      <c r="D424" t="s">
        <v>432</v>
      </c>
      <c r="F424" s="10" t="str">
        <f t="shared" si="0"/>
        <v/>
      </c>
      <c r="G424" t="e">
        <f t="shared" ca="1" si="1"/>
        <v>#VALUE!</v>
      </c>
    </row>
    <row r="425" spans="1:7" ht="15.75" customHeight="1">
      <c r="A425" t="s">
        <v>1094</v>
      </c>
      <c r="B425" t="s">
        <v>1095</v>
      </c>
      <c r="C425" t="s">
        <v>1015</v>
      </c>
      <c r="D425" t="s">
        <v>432</v>
      </c>
      <c r="F425" s="10" t="str">
        <f t="shared" si="0"/>
        <v/>
      </c>
      <c r="G425" t="e">
        <f t="shared" ca="1" si="1"/>
        <v>#VALUE!</v>
      </c>
    </row>
    <row r="426" spans="1:7" ht="15.75" customHeight="1">
      <c r="A426" t="s">
        <v>1096</v>
      </c>
      <c r="B426" t="s">
        <v>1097</v>
      </c>
      <c r="C426" t="s">
        <v>1098</v>
      </c>
      <c r="D426" t="s">
        <v>432</v>
      </c>
      <c r="F426" s="10" t="str">
        <f t="shared" si="0"/>
        <v/>
      </c>
      <c r="G426" t="e">
        <f t="shared" ca="1" si="1"/>
        <v>#VALUE!</v>
      </c>
    </row>
    <row r="427" spans="1:7" ht="15.75" customHeight="1">
      <c r="A427" t="s">
        <v>1099</v>
      </c>
      <c r="B427" t="s">
        <v>1100</v>
      </c>
      <c r="C427" t="s">
        <v>1025</v>
      </c>
      <c r="D427" t="s">
        <v>432</v>
      </c>
      <c r="F427" s="10" t="str">
        <f t="shared" si="0"/>
        <v/>
      </c>
      <c r="G427" t="e">
        <f t="shared" ca="1" si="1"/>
        <v>#VALUE!</v>
      </c>
    </row>
    <row r="428" spans="1:7" ht="15.75" customHeight="1">
      <c r="A428" t="s">
        <v>1101</v>
      </c>
      <c r="B428" t="s">
        <v>1102</v>
      </c>
      <c r="C428" t="s">
        <v>1025</v>
      </c>
      <c r="D428" t="s">
        <v>432</v>
      </c>
      <c r="F428" s="10" t="str">
        <f t="shared" si="0"/>
        <v/>
      </c>
      <c r="G428" t="e">
        <f t="shared" ca="1" si="1"/>
        <v>#VALUE!</v>
      </c>
    </row>
    <row r="429" spans="1:7" ht="15.75" customHeight="1">
      <c r="A429" t="s">
        <v>615</v>
      </c>
      <c r="B429" t="s">
        <v>616</v>
      </c>
      <c r="C429" t="s">
        <v>448</v>
      </c>
      <c r="D429" t="s">
        <v>432</v>
      </c>
      <c r="F429" s="10" t="str">
        <f t="shared" si="0"/>
        <v/>
      </c>
      <c r="G429" t="e">
        <f t="shared" ca="1" si="1"/>
        <v>#VALUE!</v>
      </c>
    </row>
    <row r="430" spans="1:7" ht="15.75" customHeight="1">
      <c r="A430" t="s">
        <v>1103</v>
      </c>
      <c r="B430" t="s">
        <v>1104</v>
      </c>
      <c r="C430" t="s">
        <v>1040</v>
      </c>
      <c r="D430" t="s">
        <v>432</v>
      </c>
      <c r="F430" s="10" t="str">
        <f t="shared" si="0"/>
        <v/>
      </c>
      <c r="G430" t="e">
        <f t="shared" ca="1" si="1"/>
        <v>#VALUE!</v>
      </c>
    </row>
    <row r="431" spans="1:7" ht="15.75" customHeight="1">
      <c r="A431" t="s">
        <v>617</v>
      </c>
      <c r="B431" t="s">
        <v>618</v>
      </c>
      <c r="C431" t="s">
        <v>468</v>
      </c>
      <c r="D431" t="s">
        <v>432</v>
      </c>
      <c r="F431" s="10" t="str">
        <f t="shared" si="0"/>
        <v/>
      </c>
      <c r="G431" t="e">
        <f t="shared" ca="1" si="1"/>
        <v>#VALUE!</v>
      </c>
    </row>
    <row r="432" spans="1:7" ht="15.75" customHeight="1">
      <c r="A432" t="s">
        <v>619</v>
      </c>
      <c r="B432" t="s">
        <v>620</v>
      </c>
      <c r="C432" t="s">
        <v>468</v>
      </c>
      <c r="D432" t="s">
        <v>432</v>
      </c>
      <c r="F432" s="10" t="str">
        <f t="shared" si="0"/>
        <v/>
      </c>
      <c r="G432" t="e">
        <f t="shared" ca="1" si="1"/>
        <v>#VALUE!</v>
      </c>
    </row>
    <row r="433" spans="1:7" ht="15.75" customHeight="1">
      <c r="A433" t="s">
        <v>621</v>
      </c>
      <c r="B433" t="s">
        <v>622</v>
      </c>
      <c r="C433" t="s">
        <v>468</v>
      </c>
      <c r="D433" t="s">
        <v>432</v>
      </c>
      <c r="F433" s="10" t="str">
        <f t="shared" si="0"/>
        <v/>
      </c>
      <c r="G433" t="e">
        <f t="shared" ca="1" si="1"/>
        <v>#VALUE!</v>
      </c>
    </row>
    <row r="434" spans="1:7" ht="15.75" customHeight="1">
      <c r="A434" t="s">
        <v>623</v>
      </c>
      <c r="B434" t="s">
        <v>624</v>
      </c>
      <c r="C434" t="s">
        <v>468</v>
      </c>
      <c r="D434" t="s">
        <v>432</v>
      </c>
      <c r="F434" s="10" t="str">
        <f t="shared" si="0"/>
        <v/>
      </c>
      <c r="G434" t="e">
        <f t="shared" ca="1" si="1"/>
        <v>#VALUE!</v>
      </c>
    </row>
    <row r="435" spans="1:7" ht="15.75" customHeight="1">
      <c r="A435" t="s">
        <v>625</v>
      </c>
      <c r="B435" t="s">
        <v>296</v>
      </c>
      <c r="C435" t="s">
        <v>468</v>
      </c>
      <c r="D435" t="s">
        <v>432</v>
      </c>
      <c r="F435" s="10" t="str">
        <f t="shared" si="0"/>
        <v/>
      </c>
      <c r="G435" t="e">
        <f t="shared" ca="1" si="1"/>
        <v>#VALUE!</v>
      </c>
    </row>
    <row r="436" spans="1:7" ht="15.75" customHeight="1">
      <c r="A436" t="s">
        <v>626</v>
      </c>
      <c r="B436" t="s">
        <v>627</v>
      </c>
      <c r="C436" t="s">
        <v>468</v>
      </c>
      <c r="D436" t="s">
        <v>432</v>
      </c>
      <c r="F436" s="10" t="str">
        <f t="shared" si="0"/>
        <v/>
      </c>
      <c r="G436" t="e">
        <f t="shared" ca="1" si="1"/>
        <v>#VALUE!</v>
      </c>
    </row>
    <row r="437" spans="1:7" ht="15.75" customHeight="1">
      <c r="A437" t="s">
        <v>628</v>
      </c>
      <c r="B437" t="s">
        <v>629</v>
      </c>
      <c r="C437" t="s">
        <v>468</v>
      </c>
      <c r="D437" t="s">
        <v>432</v>
      </c>
      <c r="F437" s="10" t="str">
        <f t="shared" si="0"/>
        <v/>
      </c>
      <c r="G437" t="e">
        <f t="shared" ca="1" si="1"/>
        <v>#VALUE!</v>
      </c>
    </row>
    <row r="438" spans="1:7" ht="15.75" customHeight="1">
      <c r="A438" t="s">
        <v>1105</v>
      </c>
      <c r="B438" t="s">
        <v>1106</v>
      </c>
      <c r="C438" t="s">
        <v>1043</v>
      </c>
      <c r="D438" t="s">
        <v>432</v>
      </c>
      <c r="F438" s="10" t="str">
        <f t="shared" si="0"/>
        <v/>
      </c>
      <c r="G438" t="e">
        <f t="shared" ca="1" si="1"/>
        <v>#VALUE!</v>
      </c>
    </row>
    <row r="439" spans="1:7" ht="15.75" customHeight="1">
      <c r="A439" t="s">
        <v>1107</v>
      </c>
      <c r="B439" t="s">
        <v>1108</v>
      </c>
      <c r="C439" t="s">
        <v>1048</v>
      </c>
      <c r="D439" t="s">
        <v>432</v>
      </c>
      <c r="F439" s="10" t="str">
        <f t="shared" si="0"/>
        <v/>
      </c>
      <c r="G439" t="e">
        <f t="shared" ca="1" si="1"/>
        <v>#VALUE!</v>
      </c>
    </row>
    <row r="440" spans="1:7" ht="15.75" customHeight="1">
      <c r="A440" t="s">
        <v>1109</v>
      </c>
      <c r="B440" t="s">
        <v>1110</v>
      </c>
      <c r="C440" t="s">
        <v>1048</v>
      </c>
      <c r="D440" t="s">
        <v>432</v>
      </c>
      <c r="F440" s="10" t="str">
        <f t="shared" si="0"/>
        <v/>
      </c>
      <c r="G440" t="e">
        <f t="shared" ca="1" si="1"/>
        <v>#VALUE!</v>
      </c>
    </row>
    <row r="441" spans="1:7" ht="15.75" customHeight="1">
      <c r="A441" t="s">
        <v>630</v>
      </c>
      <c r="B441" t="s">
        <v>631</v>
      </c>
      <c r="C441" t="s">
        <v>46</v>
      </c>
      <c r="D441" t="s">
        <v>432</v>
      </c>
      <c r="F441" s="10" t="str">
        <f t="shared" si="0"/>
        <v/>
      </c>
      <c r="G441" t="e">
        <f t="shared" ca="1" si="1"/>
        <v>#VALUE!</v>
      </c>
    </row>
    <row r="442" spans="1:7" ht="15.75" customHeight="1">
      <c r="A442" t="s">
        <v>632</v>
      </c>
      <c r="B442" t="s">
        <v>633</v>
      </c>
      <c r="C442" t="s">
        <v>46</v>
      </c>
      <c r="D442" t="s">
        <v>432</v>
      </c>
      <c r="F442" s="10" t="str">
        <f t="shared" si="0"/>
        <v/>
      </c>
      <c r="G442" t="e">
        <f t="shared" ca="1" si="1"/>
        <v>#VALUE!</v>
      </c>
    </row>
    <row r="443" spans="1:7" ht="15.75" customHeight="1">
      <c r="A443" t="s">
        <v>634</v>
      </c>
      <c r="B443" t="s">
        <v>635</v>
      </c>
      <c r="C443" t="s">
        <v>146</v>
      </c>
      <c r="D443" t="s">
        <v>432</v>
      </c>
      <c r="F443" s="10" t="str">
        <f t="shared" si="0"/>
        <v/>
      </c>
      <c r="G443" t="e">
        <f t="shared" ca="1" si="1"/>
        <v>#VALUE!</v>
      </c>
    </row>
    <row r="444" spans="1:7" ht="15.75" customHeight="1">
      <c r="A444" t="s">
        <v>636</v>
      </c>
      <c r="B444" t="s">
        <v>637</v>
      </c>
      <c r="C444" t="s">
        <v>146</v>
      </c>
      <c r="D444" t="s">
        <v>432</v>
      </c>
      <c r="F444" s="10" t="str">
        <f t="shared" si="0"/>
        <v/>
      </c>
      <c r="G444" t="e">
        <f t="shared" ca="1" si="1"/>
        <v>#VALUE!</v>
      </c>
    </row>
    <row r="445" spans="1:7" ht="15.75" customHeight="1">
      <c r="A445" t="s">
        <v>638</v>
      </c>
      <c r="B445" t="s">
        <v>639</v>
      </c>
      <c r="C445" t="s">
        <v>146</v>
      </c>
      <c r="D445" t="s">
        <v>432</v>
      </c>
      <c r="F445" s="10" t="str">
        <f t="shared" si="0"/>
        <v/>
      </c>
      <c r="G445" t="e">
        <f t="shared" ca="1" si="1"/>
        <v>#VALUE!</v>
      </c>
    </row>
    <row r="446" spans="1:7" ht="15.75" customHeight="1">
      <c r="A446" t="s">
        <v>640</v>
      </c>
      <c r="B446" t="s">
        <v>641</v>
      </c>
      <c r="C446" t="s">
        <v>175</v>
      </c>
      <c r="D446" t="s">
        <v>432</v>
      </c>
      <c r="F446" s="10" t="str">
        <f t="shared" si="0"/>
        <v/>
      </c>
      <c r="G446" t="e">
        <f t="shared" ca="1" si="1"/>
        <v>#VALUE!</v>
      </c>
    </row>
    <row r="447" spans="1:7" ht="15.75" customHeight="1">
      <c r="A447" t="s">
        <v>642</v>
      </c>
      <c r="B447" t="s">
        <v>643</v>
      </c>
      <c r="C447" t="s">
        <v>614</v>
      </c>
      <c r="D447" t="s">
        <v>432</v>
      </c>
      <c r="F447" s="10" t="str">
        <f t="shared" si="0"/>
        <v/>
      </c>
      <c r="G447" t="e">
        <f t="shared" ca="1" si="1"/>
        <v>#VALUE!</v>
      </c>
    </row>
    <row r="448" spans="1:7" ht="15.75" customHeight="1">
      <c r="A448" t="s">
        <v>644</v>
      </c>
      <c r="B448" t="s">
        <v>645</v>
      </c>
      <c r="C448" t="s">
        <v>614</v>
      </c>
      <c r="D448" t="s">
        <v>432</v>
      </c>
      <c r="F448" s="10" t="str">
        <f t="shared" si="0"/>
        <v/>
      </c>
      <c r="G448" t="e">
        <f t="shared" ca="1" si="1"/>
        <v>#VALUE!</v>
      </c>
    </row>
    <row r="449" spans="1:7" ht="15.75" customHeight="1">
      <c r="A449" t="s">
        <v>646</v>
      </c>
      <c r="B449" t="s">
        <v>647</v>
      </c>
      <c r="C449" t="s">
        <v>648</v>
      </c>
      <c r="D449" t="s">
        <v>432</v>
      </c>
      <c r="F449" s="10" t="str">
        <f t="shared" si="0"/>
        <v/>
      </c>
      <c r="G449" t="e">
        <f t="shared" ca="1" si="1"/>
        <v>#VALUE!</v>
      </c>
    </row>
    <row r="450" spans="1:7" ht="15.75" customHeight="1">
      <c r="A450" t="s">
        <v>1111</v>
      </c>
      <c r="B450" t="s">
        <v>1112</v>
      </c>
      <c r="C450" t="s">
        <v>1006</v>
      </c>
      <c r="D450" t="s">
        <v>432</v>
      </c>
      <c r="F450" s="10" t="str">
        <f t="shared" si="0"/>
        <v/>
      </c>
      <c r="G450" t="e">
        <f t="shared" ca="1" si="1"/>
        <v>#VALUE!</v>
      </c>
    </row>
    <row r="451" spans="1:7" ht="15.75" customHeight="1">
      <c r="A451" t="s">
        <v>1113</v>
      </c>
      <c r="B451" t="s">
        <v>1114</v>
      </c>
      <c r="C451" t="s">
        <v>1115</v>
      </c>
      <c r="D451" t="s">
        <v>432</v>
      </c>
      <c r="F451" s="10" t="str">
        <f t="shared" si="0"/>
        <v/>
      </c>
      <c r="G451" t="e">
        <f t="shared" ca="1" si="1"/>
        <v>#VALUE!</v>
      </c>
    </row>
    <row r="452" spans="1:7" ht="15.75" customHeight="1">
      <c r="A452" t="s">
        <v>1116</v>
      </c>
      <c r="B452" t="s">
        <v>1117</v>
      </c>
      <c r="C452" t="s">
        <v>1037</v>
      </c>
      <c r="D452" t="s">
        <v>432</v>
      </c>
      <c r="F452" s="10" t="str">
        <f t="shared" si="0"/>
        <v/>
      </c>
      <c r="G452" t="e">
        <f t="shared" ca="1" si="1"/>
        <v>#VALUE!</v>
      </c>
    </row>
    <row r="453" spans="1:7" ht="15.75" customHeight="1">
      <c r="A453" t="s">
        <v>649</v>
      </c>
      <c r="B453" t="s">
        <v>650</v>
      </c>
      <c r="C453" t="s">
        <v>146</v>
      </c>
      <c r="D453" t="s">
        <v>432</v>
      </c>
      <c r="F453" s="10" t="str">
        <f t="shared" si="0"/>
        <v/>
      </c>
      <c r="G453" t="e">
        <f t="shared" ca="1" si="1"/>
        <v>#VALUE!</v>
      </c>
    </row>
    <row r="454" spans="1:7" ht="15.75" customHeight="1">
      <c r="A454" t="s">
        <v>1118</v>
      </c>
      <c r="B454" t="s">
        <v>1119</v>
      </c>
      <c r="C454" t="s">
        <v>1120</v>
      </c>
      <c r="D454" t="s">
        <v>432</v>
      </c>
      <c r="F454" s="10" t="str">
        <f t="shared" si="0"/>
        <v/>
      </c>
      <c r="G454" t="e">
        <f t="shared" ca="1" si="1"/>
        <v>#VALUE!</v>
      </c>
    </row>
    <row r="455" spans="1:7" ht="15.75" customHeight="1">
      <c r="A455" t="s">
        <v>1121</v>
      </c>
      <c r="B455" t="s">
        <v>1122</v>
      </c>
      <c r="C455" t="s">
        <v>1123</v>
      </c>
      <c r="D455" t="s">
        <v>432</v>
      </c>
      <c r="F455" s="10" t="str">
        <f t="shared" si="0"/>
        <v/>
      </c>
      <c r="G455" t="e">
        <f t="shared" ca="1" si="1"/>
        <v>#VALUE!</v>
      </c>
    </row>
    <row r="456" spans="1:7" ht="15.75" customHeight="1">
      <c r="A456" t="s">
        <v>651</v>
      </c>
      <c r="B456" t="s">
        <v>652</v>
      </c>
      <c r="C456" t="s">
        <v>653</v>
      </c>
      <c r="D456" t="s">
        <v>432</v>
      </c>
      <c r="F456" s="10" t="str">
        <f t="shared" si="0"/>
        <v/>
      </c>
      <c r="G456" t="e">
        <f t="shared" ca="1" si="1"/>
        <v>#VALUE!</v>
      </c>
    </row>
    <row r="457" spans="1:7" ht="15.75" customHeight="1">
      <c r="A457" t="s">
        <v>654</v>
      </c>
      <c r="B457" t="s">
        <v>655</v>
      </c>
      <c r="C457" t="s">
        <v>656</v>
      </c>
      <c r="D457" t="s">
        <v>432</v>
      </c>
      <c r="F457" s="10" t="str">
        <f t="shared" si="0"/>
        <v/>
      </c>
      <c r="G457" t="e">
        <f t="shared" ca="1" si="1"/>
        <v>#VALUE!</v>
      </c>
    </row>
    <row r="458" spans="1:7" ht="15.75" customHeight="1">
      <c r="A458" t="s">
        <v>657</v>
      </c>
      <c r="B458" t="s">
        <v>658</v>
      </c>
      <c r="C458" t="s">
        <v>659</v>
      </c>
      <c r="D458" t="s">
        <v>432</v>
      </c>
      <c r="F458" s="10" t="str">
        <f t="shared" si="0"/>
        <v/>
      </c>
      <c r="G458" t="e">
        <f t="shared" ca="1" si="1"/>
        <v>#VALUE!</v>
      </c>
    </row>
    <row r="459" spans="1:7" ht="15.75" customHeight="1">
      <c r="A459" t="s">
        <v>660</v>
      </c>
      <c r="B459" t="s">
        <v>661</v>
      </c>
      <c r="C459" t="s">
        <v>89</v>
      </c>
      <c r="D459" t="s">
        <v>432</v>
      </c>
      <c r="F459" s="10" t="str">
        <f t="shared" si="0"/>
        <v/>
      </c>
      <c r="G459" t="e">
        <f t="shared" ca="1" si="1"/>
        <v>#VALUE!</v>
      </c>
    </row>
    <row r="460" spans="1:7" ht="15.75" customHeight="1">
      <c r="A460" t="s">
        <v>1124</v>
      </c>
      <c r="B460" t="s">
        <v>1125</v>
      </c>
      <c r="C460" t="s">
        <v>1126</v>
      </c>
      <c r="D460" t="s">
        <v>1127</v>
      </c>
      <c r="F460" s="10" t="str">
        <f t="shared" si="0"/>
        <v/>
      </c>
      <c r="G460" t="e">
        <f t="shared" ca="1" si="1"/>
        <v>#VALUE!</v>
      </c>
    </row>
    <row r="461" spans="1:7" ht="15.75" customHeight="1">
      <c r="A461" t="s">
        <v>1128</v>
      </c>
      <c r="B461" t="s">
        <v>1129</v>
      </c>
      <c r="C461" t="s">
        <v>1130</v>
      </c>
      <c r="D461" t="s">
        <v>1127</v>
      </c>
      <c r="F461" s="10" t="str">
        <f t="shared" si="0"/>
        <v/>
      </c>
      <c r="G461" t="e">
        <f t="shared" ca="1" si="1"/>
        <v>#VALUE!</v>
      </c>
    </row>
    <row r="462" spans="1:7" ht="15.75" customHeight="1">
      <c r="A462" t="s">
        <v>1131</v>
      </c>
      <c r="B462" t="s">
        <v>1132</v>
      </c>
      <c r="C462" t="s">
        <v>748</v>
      </c>
      <c r="D462" t="s">
        <v>780</v>
      </c>
      <c r="F462" s="10" t="str">
        <f t="shared" si="0"/>
        <v/>
      </c>
      <c r="G462" t="e">
        <f t="shared" ca="1" si="1"/>
        <v>#VALUE!</v>
      </c>
    </row>
    <row r="463" spans="1:7" ht="15.75" customHeight="1">
      <c r="A463" t="s">
        <v>1133</v>
      </c>
      <c r="B463" t="s">
        <v>1134</v>
      </c>
      <c r="C463" t="s">
        <v>1123</v>
      </c>
      <c r="D463" t="s">
        <v>780</v>
      </c>
      <c r="F463" s="10" t="str">
        <f t="shared" si="0"/>
        <v/>
      </c>
      <c r="G463" t="e">
        <f t="shared" ca="1" si="1"/>
        <v>#VALUE!</v>
      </c>
    </row>
    <row r="464" spans="1:7" ht="15.75" customHeight="1">
      <c r="A464" t="s">
        <v>1135</v>
      </c>
      <c r="B464" t="s">
        <v>1136</v>
      </c>
      <c r="C464" t="s">
        <v>1137</v>
      </c>
      <c r="D464" t="s">
        <v>780</v>
      </c>
      <c r="F464" s="10" t="str">
        <f t="shared" si="0"/>
        <v/>
      </c>
      <c r="G464" t="e">
        <f t="shared" ca="1" si="1"/>
        <v>#VALUE!</v>
      </c>
    </row>
    <row r="465" spans="1:7" ht="15.75" customHeight="1">
      <c r="A465" t="s">
        <v>1138</v>
      </c>
      <c r="B465" t="s">
        <v>1139</v>
      </c>
      <c r="C465" t="s">
        <v>948</v>
      </c>
      <c r="D465" t="s">
        <v>780</v>
      </c>
      <c r="F465" s="10" t="str">
        <f t="shared" si="0"/>
        <v/>
      </c>
      <c r="G465" t="e">
        <f t="shared" ca="1" si="1"/>
        <v>#VALUE!</v>
      </c>
    </row>
    <row r="466" spans="1:7" ht="15.75" customHeight="1">
      <c r="A466" t="s">
        <v>1140</v>
      </c>
      <c r="B466" t="s">
        <v>1141</v>
      </c>
      <c r="C466" t="s">
        <v>1142</v>
      </c>
      <c r="D466" t="s">
        <v>780</v>
      </c>
      <c r="F466" s="10" t="str">
        <f t="shared" si="0"/>
        <v/>
      </c>
      <c r="G466" t="e">
        <f t="shared" ca="1" si="1"/>
        <v>#VALUE!</v>
      </c>
    </row>
    <row r="467" spans="1:7" ht="15.75" customHeight="1">
      <c r="A467" t="s">
        <v>662</v>
      </c>
      <c r="B467" t="s">
        <v>663</v>
      </c>
      <c r="C467" t="s">
        <v>46</v>
      </c>
      <c r="D467" t="s">
        <v>19</v>
      </c>
      <c r="F467" s="10" t="str">
        <f t="shared" si="0"/>
        <v/>
      </c>
      <c r="G467" t="e">
        <f t="shared" ca="1" si="1"/>
        <v>#VALUE!</v>
      </c>
    </row>
    <row r="468" spans="1:7" ht="15.75" customHeight="1">
      <c r="A468" t="s">
        <v>664</v>
      </c>
      <c r="B468" t="s">
        <v>665</v>
      </c>
      <c r="C468" t="s">
        <v>666</v>
      </c>
      <c r="D468" t="s">
        <v>19</v>
      </c>
      <c r="F468" s="10" t="str">
        <f t="shared" si="0"/>
        <v/>
      </c>
      <c r="G468" t="e">
        <f t="shared" ca="1" si="1"/>
        <v>#VALUE!</v>
      </c>
    </row>
    <row r="469" spans="1:7" ht="15.75" customHeight="1">
      <c r="A469" t="s">
        <v>667</v>
      </c>
      <c r="B469" t="s">
        <v>668</v>
      </c>
      <c r="C469" t="s">
        <v>46</v>
      </c>
      <c r="D469" t="s">
        <v>19</v>
      </c>
      <c r="F469" s="10" t="str">
        <f t="shared" si="0"/>
        <v/>
      </c>
      <c r="G469" t="e">
        <f t="shared" ca="1" si="1"/>
        <v>#VALUE!</v>
      </c>
    </row>
    <row r="470" spans="1:7" ht="15.75" customHeight="1">
      <c r="A470" t="s">
        <v>669</v>
      </c>
      <c r="B470" t="s">
        <v>670</v>
      </c>
      <c r="C470" t="s">
        <v>46</v>
      </c>
      <c r="D470" t="s">
        <v>19</v>
      </c>
      <c r="F470" s="10" t="str">
        <f t="shared" si="0"/>
        <v/>
      </c>
      <c r="G470" t="e">
        <f t="shared" ca="1" si="1"/>
        <v>#VALUE!</v>
      </c>
    </row>
    <row r="471" spans="1:7" ht="15.75" customHeight="1">
      <c r="A471" t="s">
        <v>671</v>
      </c>
      <c r="B471" t="s">
        <v>672</v>
      </c>
      <c r="C471" t="s">
        <v>46</v>
      </c>
      <c r="D471" t="s">
        <v>432</v>
      </c>
      <c r="F471" s="10" t="str">
        <f t="shared" si="0"/>
        <v/>
      </c>
      <c r="G471" t="e">
        <f t="shared" ca="1" si="1"/>
        <v>#VALUE!</v>
      </c>
    </row>
    <row r="472" spans="1:7" ht="15.75" customHeight="1">
      <c r="A472" t="s">
        <v>673</v>
      </c>
      <c r="B472" t="s">
        <v>674</v>
      </c>
      <c r="C472" t="s">
        <v>46</v>
      </c>
      <c r="D472" t="s">
        <v>432</v>
      </c>
      <c r="F472" s="10" t="str">
        <f t="shared" si="0"/>
        <v/>
      </c>
      <c r="G472" t="e">
        <f t="shared" ca="1" si="1"/>
        <v>#VALUE!</v>
      </c>
    </row>
    <row r="473" spans="1:7" ht="15.75" customHeight="1">
      <c r="A473" t="s">
        <v>675</v>
      </c>
      <c r="B473" t="s">
        <v>676</v>
      </c>
      <c r="C473" t="s">
        <v>146</v>
      </c>
      <c r="D473" t="s">
        <v>19</v>
      </c>
      <c r="F473" s="10" t="str">
        <f t="shared" si="0"/>
        <v/>
      </c>
      <c r="G473" t="e">
        <f t="shared" ca="1" si="1"/>
        <v>#VALUE!</v>
      </c>
    </row>
    <row r="474" spans="1:7" ht="15.75" customHeight="1">
      <c r="A474" t="s">
        <v>677</v>
      </c>
      <c r="B474" t="s">
        <v>678</v>
      </c>
      <c r="C474" t="s">
        <v>146</v>
      </c>
      <c r="D474" t="s">
        <v>19</v>
      </c>
      <c r="F474" s="10" t="str">
        <f t="shared" si="0"/>
        <v/>
      </c>
      <c r="G474" t="e">
        <f t="shared" ca="1" si="1"/>
        <v>#VALUE!</v>
      </c>
    </row>
    <row r="475" spans="1:7" ht="15.75" customHeight="1">
      <c r="A475" t="s">
        <v>679</v>
      </c>
      <c r="B475" t="s">
        <v>680</v>
      </c>
      <c r="C475" t="s">
        <v>681</v>
      </c>
      <c r="D475" t="s">
        <v>19</v>
      </c>
      <c r="F475" s="10" t="str">
        <f t="shared" si="0"/>
        <v/>
      </c>
      <c r="G475" t="e">
        <f t="shared" ca="1" si="1"/>
        <v>#VALUE!</v>
      </c>
    </row>
    <row r="476" spans="1:7" ht="15.75" customHeight="1">
      <c r="A476" t="s">
        <v>682</v>
      </c>
      <c r="B476" t="s">
        <v>683</v>
      </c>
      <c r="C476" t="s">
        <v>71</v>
      </c>
      <c r="D476" t="s">
        <v>19</v>
      </c>
      <c r="F476" s="10" t="str">
        <f t="shared" si="0"/>
        <v/>
      </c>
      <c r="G476" t="e">
        <f t="shared" ca="1" si="1"/>
        <v>#VALUE!</v>
      </c>
    </row>
    <row r="477" spans="1:7" ht="15.75" customHeight="1">
      <c r="A477" t="s">
        <v>684</v>
      </c>
      <c r="B477" t="s">
        <v>685</v>
      </c>
      <c r="C477" t="s">
        <v>71</v>
      </c>
      <c r="D477" t="s">
        <v>19</v>
      </c>
      <c r="F477" s="10" t="str">
        <f t="shared" si="0"/>
        <v/>
      </c>
      <c r="G477" t="e">
        <f t="shared" ca="1" si="1"/>
        <v>#VALUE!</v>
      </c>
    </row>
    <row r="478" spans="1:7" ht="15.75" customHeight="1">
      <c r="A478" t="s">
        <v>686</v>
      </c>
      <c r="B478" t="s">
        <v>687</v>
      </c>
      <c r="C478" t="s">
        <v>688</v>
      </c>
      <c r="D478" t="s">
        <v>19</v>
      </c>
      <c r="F478" s="10" t="str">
        <f t="shared" si="0"/>
        <v/>
      </c>
      <c r="G478" t="e">
        <f t="shared" ca="1" si="1"/>
        <v>#VALUE!</v>
      </c>
    </row>
    <row r="479" spans="1:7" ht="15.75" customHeight="1">
      <c r="A479" t="s">
        <v>689</v>
      </c>
      <c r="B479" t="s">
        <v>690</v>
      </c>
      <c r="C479" t="s">
        <v>599</v>
      </c>
      <c r="D479" t="s">
        <v>19</v>
      </c>
      <c r="F479" s="10" t="str">
        <f t="shared" si="0"/>
        <v/>
      </c>
      <c r="G479" t="e">
        <f t="shared" ca="1" si="1"/>
        <v>#VALUE!</v>
      </c>
    </row>
  </sheetData>
  <autoFilter ref="A3:G479"/>
  <conditionalFormatting sqref="G4:G479">
    <cfRule type="cellIs" dxfId="519" priority="1" operator="equal">
      <formula>"Due"</formula>
    </cfRule>
  </conditionalFormatting>
  <conditionalFormatting sqref="G4:G479">
    <cfRule type="cellIs" dxfId="518" priority="2" operator="equal">
      <formula>"Due"</formula>
    </cfRule>
  </conditionalFormatting>
  <conditionalFormatting sqref="G4:G479">
    <cfRule type="cellIs" dxfId="517" priority="3" operator="equal">
      <formula>"Due"</formula>
    </cfRule>
  </conditionalFormatting>
  <conditionalFormatting sqref="G4:G479">
    <cfRule type="cellIs" dxfId="516" priority="4" operator="equal">
      <formula>"Due"</formula>
    </cfRule>
  </conditionalFormatting>
  <conditionalFormatting sqref="G4:G479">
    <cfRule type="cellIs" dxfId="515" priority="5" operator="equal">
      <formula>"Due"</formula>
    </cfRule>
  </conditionalFormatting>
  <conditionalFormatting sqref="G4:G479">
    <cfRule type="cellIs" dxfId="514" priority="6" operator="equal">
      <formula>"Due"</formula>
    </cfRule>
  </conditionalFormatting>
  <conditionalFormatting sqref="G4:G479">
    <cfRule type="cellIs" dxfId="513" priority="7" operator="equal">
      <formula>"Due"</formula>
    </cfRule>
  </conditionalFormatting>
  <conditionalFormatting sqref="G4:G479">
    <cfRule type="cellIs" dxfId="512" priority="8" operator="equal">
      <formula>"Due"</formula>
    </cfRule>
  </conditionalFormatting>
  <conditionalFormatting sqref="G4:G479">
    <cfRule type="cellIs" dxfId="511" priority="9" operator="equal">
      <formula>"Due"</formula>
    </cfRule>
  </conditionalFormatting>
  <conditionalFormatting sqref="G4:G479">
    <cfRule type="cellIs" dxfId="510" priority="10" operator="equal">
      <formula>"Due"</formula>
    </cfRule>
  </conditionalFormatting>
  <conditionalFormatting sqref="G4:G479">
    <cfRule type="cellIs" dxfId="509" priority="11" operator="equal">
      <formula>"Due"</formula>
    </cfRule>
  </conditionalFormatting>
  <conditionalFormatting sqref="G4:G479">
    <cfRule type="cellIs" dxfId="508" priority="12" operator="equal">
      <formula>"Due"</formula>
    </cfRule>
  </conditionalFormatting>
  <conditionalFormatting sqref="G4:G479">
    <cfRule type="cellIs" dxfId="507" priority="13" operator="equal">
      <formula>"Due"</formula>
    </cfRule>
  </conditionalFormatting>
  <conditionalFormatting sqref="G4:G479">
    <cfRule type="cellIs" dxfId="506" priority="14" operator="equal">
      <formula>"Due"</formula>
    </cfRule>
  </conditionalFormatting>
  <conditionalFormatting sqref="G4:G479">
    <cfRule type="cellIs" dxfId="505" priority="15" operator="equal">
      <formula>"Due"</formula>
    </cfRule>
  </conditionalFormatting>
  <conditionalFormatting sqref="G4:G479">
    <cfRule type="cellIs" dxfId="504" priority="16" operator="equal">
      <formula>"Due"</formula>
    </cfRule>
  </conditionalFormatting>
  <conditionalFormatting sqref="G4:G479">
    <cfRule type="cellIs" dxfId="503" priority="17" operator="equal">
      <formula>"Due"</formula>
    </cfRule>
  </conditionalFormatting>
  <conditionalFormatting sqref="G4:G479">
    <cfRule type="cellIs" dxfId="502" priority="18" operator="equal">
      <formula>"Due"</formula>
    </cfRule>
  </conditionalFormatting>
  <conditionalFormatting sqref="G4:G479">
    <cfRule type="cellIs" dxfId="501" priority="19" operator="equal">
      <formula>"Due"</formula>
    </cfRule>
  </conditionalFormatting>
  <conditionalFormatting sqref="G4:G479">
    <cfRule type="cellIs" dxfId="500" priority="20" operator="equal">
      <formula>"Due"</formula>
    </cfRule>
  </conditionalFormatting>
  <conditionalFormatting sqref="G4:G479">
    <cfRule type="cellIs" dxfId="499" priority="21" operator="equal">
      <formula>"Due"</formula>
    </cfRule>
  </conditionalFormatting>
  <conditionalFormatting sqref="G4:G479">
    <cfRule type="cellIs" dxfId="498" priority="22" operator="equal">
      <formula>"Due"</formula>
    </cfRule>
  </conditionalFormatting>
  <conditionalFormatting sqref="G4:G479">
    <cfRule type="cellIs" dxfId="497" priority="23" operator="equal">
      <formula>"Due"</formula>
    </cfRule>
  </conditionalFormatting>
  <conditionalFormatting sqref="G4:G479">
    <cfRule type="cellIs" dxfId="496" priority="24" operator="equal">
      <formula>"Due"</formula>
    </cfRule>
  </conditionalFormatting>
  <conditionalFormatting sqref="G4:G479">
    <cfRule type="cellIs" dxfId="495" priority="25" operator="equal">
      <formula>"Due"</formula>
    </cfRule>
  </conditionalFormatting>
  <conditionalFormatting sqref="G4:G479">
    <cfRule type="cellIs" dxfId="494" priority="26" operator="equal">
      <formula>"Due"</formula>
    </cfRule>
  </conditionalFormatting>
  <conditionalFormatting sqref="G4:G479">
    <cfRule type="cellIs" dxfId="493" priority="27" operator="equal">
      <formula>"Due"</formula>
    </cfRule>
  </conditionalFormatting>
  <conditionalFormatting sqref="G4:G479">
    <cfRule type="cellIs" dxfId="492" priority="28" operator="equal">
      <formula>"Due"</formula>
    </cfRule>
  </conditionalFormatting>
  <conditionalFormatting sqref="G4:G479">
    <cfRule type="cellIs" dxfId="491" priority="29" operator="equal">
      <formula>"Due"</formula>
    </cfRule>
  </conditionalFormatting>
  <conditionalFormatting sqref="G4:G479">
    <cfRule type="cellIs" dxfId="490" priority="30" operator="equal">
      <formula>"Due"</formula>
    </cfRule>
  </conditionalFormatting>
  <conditionalFormatting sqref="G4:G479">
    <cfRule type="cellIs" dxfId="489" priority="31" operator="equal">
      <formula>"Due"</formula>
    </cfRule>
  </conditionalFormatting>
  <conditionalFormatting sqref="G4:G479">
    <cfRule type="cellIs" dxfId="488" priority="32" operator="equal">
      <formula>"Due"</formula>
    </cfRule>
  </conditionalFormatting>
  <conditionalFormatting sqref="G4:G479">
    <cfRule type="cellIs" dxfId="487" priority="33" operator="equal">
      <formula>"Due"</formula>
    </cfRule>
  </conditionalFormatting>
  <conditionalFormatting sqref="G4:G479">
    <cfRule type="cellIs" dxfId="486" priority="34" operator="equal">
      <formula>"Due"</formula>
    </cfRule>
  </conditionalFormatting>
  <conditionalFormatting sqref="G4:G479">
    <cfRule type="cellIs" dxfId="485" priority="35" operator="equal">
      <formula>"Due"</formula>
    </cfRule>
  </conditionalFormatting>
  <conditionalFormatting sqref="G4:G479">
    <cfRule type="cellIs" dxfId="484" priority="36" operator="equal">
      <formula>"Due"</formula>
    </cfRule>
  </conditionalFormatting>
  <conditionalFormatting sqref="G4:G479">
    <cfRule type="cellIs" dxfId="483" priority="37" operator="equal">
      <formula>"Due"</formula>
    </cfRule>
  </conditionalFormatting>
  <conditionalFormatting sqref="G4:G479">
    <cfRule type="cellIs" dxfId="482" priority="38" operator="equal">
      <formula>"Due"</formula>
    </cfRule>
  </conditionalFormatting>
  <conditionalFormatting sqref="G4:G479">
    <cfRule type="cellIs" dxfId="481" priority="39" operator="equal">
      <formula>"Due"</formula>
    </cfRule>
  </conditionalFormatting>
  <conditionalFormatting sqref="G4:G479">
    <cfRule type="cellIs" dxfId="480" priority="40" operator="equal">
      <formula>"Due"</formula>
    </cfRule>
  </conditionalFormatting>
  <conditionalFormatting sqref="G4:G479">
    <cfRule type="cellIs" dxfId="479" priority="41" operator="equal">
      <formula>"Due"</formula>
    </cfRule>
  </conditionalFormatting>
  <conditionalFormatting sqref="G4:G479">
    <cfRule type="cellIs" dxfId="478" priority="42" operator="equal">
      <formula>"Due"</formula>
    </cfRule>
  </conditionalFormatting>
  <conditionalFormatting sqref="G4:G479">
    <cfRule type="cellIs" dxfId="477" priority="43" operator="equal">
      <formula>"Due"</formula>
    </cfRule>
  </conditionalFormatting>
  <conditionalFormatting sqref="G4:G479">
    <cfRule type="cellIs" dxfId="476" priority="44" operator="equal">
      <formula>"Due"</formula>
    </cfRule>
  </conditionalFormatting>
  <conditionalFormatting sqref="G4:G479">
    <cfRule type="cellIs" dxfId="475" priority="45" operator="equal">
      <formula>"Due"</formula>
    </cfRule>
  </conditionalFormatting>
  <conditionalFormatting sqref="G4:G479">
    <cfRule type="cellIs" dxfId="474" priority="46" operator="equal">
      <formula>"Due"</formula>
    </cfRule>
  </conditionalFormatting>
  <conditionalFormatting sqref="G4:G479">
    <cfRule type="cellIs" dxfId="473" priority="47" operator="equal">
      <formula>"Due"</formula>
    </cfRule>
  </conditionalFormatting>
  <conditionalFormatting sqref="G4:G479">
    <cfRule type="cellIs" dxfId="472" priority="48" operator="equal">
      <formula>"Due"</formula>
    </cfRule>
  </conditionalFormatting>
  <conditionalFormatting sqref="G4:G479">
    <cfRule type="cellIs" dxfId="471" priority="49" operator="equal">
      <formula>"Due"</formula>
    </cfRule>
  </conditionalFormatting>
  <conditionalFormatting sqref="G4:G479">
    <cfRule type="cellIs" dxfId="470" priority="50" operator="equal">
      <formula>"Due"</formula>
    </cfRule>
  </conditionalFormatting>
  <conditionalFormatting sqref="G4:G479">
    <cfRule type="cellIs" dxfId="469" priority="51" operator="equal">
      <formula>"Due"</formula>
    </cfRule>
  </conditionalFormatting>
  <conditionalFormatting sqref="G4:G479">
    <cfRule type="cellIs" dxfId="468" priority="52" operator="equal">
      <formula>"Due"</formula>
    </cfRule>
  </conditionalFormatting>
  <conditionalFormatting sqref="G4:G479">
    <cfRule type="cellIs" dxfId="467" priority="53" operator="equal">
      <formula>"Due"</formula>
    </cfRule>
  </conditionalFormatting>
  <conditionalFormatting sqref="G4:G479">
    <cfRule type="cellIs" dxfId="466" priority="54" operator="equal">
      <formula>"Due"</formula>
    </cfRule>
  </conditionalFormatting>
  <conditionalFormatting sqref="G4:G479">
    <cfRule type="cellIs" dxfId="465" priority="55" operator="equal">
      <formula>"Due"</formula>
    </cfRule>
  </conditionalFormatting>
  <conditionalFormatting sqref="G4:G479">
    <cfRule type="cellIs" dxfId="464" priority="56" operator="equal">
      <formula>"Due"</formula>
    </cfRule>
  </conditionalFormatting>
  <conditionalFormatting sqref="G4:G479">
    <cfRule type="cellIs" dxfId="463" priority="57" operator="equal">
      <formula>"Due"</formula>
    </cfRule>
  </conditionalFormatting>
  <conditionalFormatting sqref="G4:G479">
    <cfRule type="cellIs" dxfId="462" priority="58" operator="equal">
      <formula>"Due"</formula>
    </cfRule>
  </conditionalFormatting>
  <conditionalFormatting sqref="G4:G479">
    <cfRule type="cellIs" dxfId="461" priority="59" operator="equal">
      <formula>"Due"</formula>
    </cfRule>
  </conditionalFormatting>
  <conditionalFormatting sqref="G4:G479">
    <cfRule type="cellIs" dxfId="460" priority="60" operator="equal">
      <formula>"Due"</formula>
    </cfRule>
  </conditionalFormatting>
  <conditionalFormatting sqref="G4:G479">
    <cfRule type="cellIs" dxfId="459" priority="61" operator="equal">
      <formula>"Due"</formula>
    </cfRule>
  </conditionalFormatting>
  <conditionalFormatting sqref="G4:G479">
    <cfRule type="cellIs" dxfId="458" priority="62" operator="equal">
      <formula>"Due"</formula>
    </cfRule>
  </conditionalFormatting>
  <conditionalFormatting sqref="G4:G479">
    <cfRule type="cellIs" dxfId="457" priority="63" operator="equal">
      <formula>"Due"</formula>
    </cfRule>
  </conditionalFormatting>
  <conditionalFormatting sqref="G4:G479">
    <cfRule type="cellIs" dxfId="456" priority="64" operator="equal">
      <formula>"Due"</formula>
    </cfRule>
  </conditionalFormatting>
  <conditionalFormatting sqref="G4:G479">
    <cfRule type="cellIs" dxfId="455" priority="65" operator="equal">
      <formula>"Due"</formula>
    </cfRule>
  </conditionalFormatting>
  <conditionalFormatting sqref="G4:G479">
    <cfRule type="cellIs" dxfId="454" priority="66" operator="equal">
      <formula>"Due"</formula>
    </cfRule>
  </conditionalFormatting>
  <conditionalFormatting sqref="G4:G479">
    <cfRule type="cellIs" dxfId="453" priority="67" operator="equal">
      <formula>"Due"</formula>
    </cfRule>
  </conditionalFormatting>
  <conditionalFormatting sqref="G4:G479">
    <cfRule type="cellIs" dxfId="452" priority="68" operator="equal">
      <formula>"Due"</formula>
    </cfRule>
  </conditionalFormatting>
  <conditionalFormatting sqref="G4:G479">
    <cfRule type="cellIs" dxfId="451" priority="69" operator="equal">
      <formula>"Due"</formula>
    </cfRule>
  </conditionalFormatting>
  <conditionalFormatting sqref="G4:G479">
    <cfRule type="cellIs" dxfId="450" priority="70" operator="equal">
      <formula>"Due"</formula>
    </cfRule>
  </conditionalFormatting>
  <conditionalFormatting sqref="G4:G479">
    <cfRule type="cellIs" dxfId="449" priority="71" operator="equal">
      <formula>"Due"</formula>
    </cfRule>
  </conditionalFormatting>
  <conditionalFormatting sqref="G4:G479">
    <cfRule type="cellIs" dxfId="448" priority="72" operator="equal">
      <formula>"Due"</formula>
    </cfRule>
  </conditionalFormatting>
  <conditionalFormatting sqref="G4:G479">
    <cfRule type="cellIs" dxfId="447" priority="73" operator="equal">
      <formula>"Due"</formula>
    </cfRule>
  </conditionalFormatting>
  <conditionalFormatting sqref="G4:G479">
    <cfRule type="cellIs" dxfId="446" priority="74" operator="equal">
      <formula>"Due"</formula>
    </cfRule>
  </conditionalFormatting>
  <conditionalFormatting sqref="G4:G479">
    <cfRule type="cellIs" dxfId="445" priority="75" operator="equal">
      <formula>"Due"</formula>
    </cfRule>
  </conditionalFormatting>
  <conditionalFormatting sqref="G4:G479">
    <cfRule type="cellIs" dxfId="444" priority="76" operator="equal">
      <formula>"Due"</formula>
    </cfRule>
  </conditionalFormatting>
  <conditionalFormatting sqref="G4:G479">
    <cfRule type="cellIs" dxfId="443" priority="77" operator="equal">
      <formula>"Due"</formula>
    </cfRule>
  </conditionalFormatting>
  <conditionalFormatting sqref="G4:G479">
    <cfRule type="cellIs" dxfId="442" priority="78" operator="equal">
      <formula>"Due"</formula>
    </cfRule>
  </conditionalFormatting>
  <conditionalFormatting sqref="G4:G479">
    <cfRule type="cellIs" dxfId="441" priority="79" operator="equal">
      <formula>"Due"</formula>
    </cfRule>
  </conditionalFormatting>
  <conditionalFormatting sqref="G4:G479">
    <cfRule type="cellIs" dxfId="440" priority="80" operator="equal">
      <formula>"Due"</formula>
    </cfRule>
  </conditionalFormatting>
  <conditionalFormatting sqref="G4:G479">
    <cfRule type="cellIs" dxfId="439" priority="81" operator="equal">
      <formula>"Due"</formula>
    </cfRule>
  </conditionalFormatting>
  <conditionalFormatting sqref="G4:G479">
    <cfRule type="cellIs" dxfId="438" priority="82" operator="equal">
      <formula>"Due"</formula>
    </cfRule>
  </conditionalFormatting>
  <conditionalFormatting sqref="G4:G479">
    <cfRule type="cellIs" dxfId="437" priority="83" operator="equal">
      <formula>"Due"</formula>
    </cfRule>
  </conditionalFormatting>
  <conditionalFormatting sqref="G4:G479">
    <cfRule type="cellIs" dxfId="436" priority="84" operator="equal">
      <formula>"Due"</formula>
    </cfRule>
  </conditionalFormatting>
  <conditionalFormatting sqref="G4:G479">
    <cfRule type="cellIs" dxfId="435" priority="85" operator="equal">
      <formula>"Due"</formula>
    </cfRule>
  </conditionalFormatting>
  <conditionalFormatting sqref="G4:G479">
    <cfRule type="cellIs" dxfId="434" priority="86" operator="equal">
      <formula>"Due"</formula>
    </cfRule>
  </conditionalFormatting>
  <conditionalFormatting sqref="G4:G479">
    <cfRule type="cellIs" dxfId="433" priority="87" operator="equal">
      <formula>"Due"</formula>
    </cfRule>
  </conditionalFormatting>
  <conditionalFormatting sqref="G4:G479">
    <cfRule type="cellIs" dxfId="432" priority="88" operator="equal">
      <formula>"Due"</formula>
    </cfRule>
  </conditionalFormatting>
  <conditionalFormatting sqref="G4:G479">
    <cfRule type="cellIs" dxfId="431" priority="89" operator="equal">
      <formula>"Due"</formula>
    </cfRule>
  </conditionalFormatting>
  <conditionalFormatting sqref="G4:G479">
    <cfRule type="cellIs" dxfId="430" priority="90" operator="equal">
      <formula>"Due"</formula>
    </cfRule>
  </conditionalFormatting>
  <conditionalFormatting sqref="G4:G479">
    <cfRule type="cellIs" dxfId="429" priority="91" operator="equal">
      <formula>"Due"</formula>
    </cfRule>
  </conditionalFormatting>
  <conditionalFormatting sqref="G4:G479">
    <cfRule type="cellIs" dxfId="428" priority="92" operator="equal">
      <formula>"Due"</formula>
    </cfRule>
  </conditionalFormatting>
  <conditionalFormatting sqref="G4:G479">
    <cfRule type="cellIs" dxfId="427" priority="93" operator="equal">
      <formula>"Due"</formula>
    </cfRule>
  </conditionalFormatting>
  <conditionalFormatting sqref="G4:G479">
    <cfRule type="cellIs" dxfId="426" priority="94" operator="equal">
      <formula>"Due"</formula>
    </cfRule>
  </conditionalFormatting>
  <conditionalFormatting sqref="G4:G479">
    <cfRule type="cellIs" dxfId="425" priority="95" operator="equal">
      <formula>"Due"</formula>
    </cfRule>
  </conditionalFormatting>
  <conditionalFormatting sqref="G4:G479">
    <cfRule type="cellIs" dxfId="424" priority="96" operator="equal">
      <formula>"Due"</formula>
    </cfRule>
  </conditionalFormatting>
  <conditionalFormatting sqref="G4:G479">
    <cfRule type="cellIs" dxfId="423" priority="97" operator="equal">
      <formula>"Due"</formula>
    </cfRule>
  </conditionalFormatting>
  <conditionalFormatting sqref="G4:G479">
    <cfRule type="cellIs" dxfId="422" priority="98" operator="equal">
      <formula>"Due"</formula>
    </cfRule>
  </conditionalFormatting>
  <conditionalFormatting sqref="G4:G479">
    <cfRule type="cellIs" dxfId="421" priority="99" operator="equal">
      <formula>"Due"</formula>
    </cfRule>
  </conditionalFormatting>
  <conditionalFormatting sqref="G4:G479">
    <cfRule type="cellIs" dxfId="420" priority="100" operator="equal">
      <formula>"Due"</formula>
    </cfRule>
  </conditionalFormatting>
  <conditionalFormatting sqref="G4:G479">
    <cfRule type="cellIs" dxfId="419" priority="101" operator="equal">
      <formula>"Due"</formula>
    </cfRule>
  </conditionalFormatting>
  <conditionalFormatting sqref="G4:G479">
    <cfRule type="cellIs" dxfId="418" priority="102" operator="equal">
      <formula>"Due"</formula>
    </cfRule>
  </conditionalFormatting>
  <conditionalFormatting sqref="G4:G479">
    <cfRule type="cellIs" dxfId="417" priority="103" operator="equal">
      <formula>"Due"</formula>
    </cfRule>
  </conditionalFormatting>
  <conditionalFormatting sqref="G4:G479">
    <cfRule type="cellIs" dxfId="416" priority="104" operator="equal">
      <formula>"Due"</formula>
    </cfRule>
  </conditionalFormatting>
  <conditionalFormatting sqref="G4:G479">
    <cfRule type="cellIs" dxfId="415" priority="105" operator="equal">
      <formula>"Due"</formula>
    </cfRule>
  </conditionalFormatting>
  <conditionalFormatting sqref="G4:G479">
    <cfRule type="cellIs" dxfId="414" priority="106" operator="equal">
      <formula>"Due"</formula>
    </cfRule>
  </conditionalFormatting>
  <conditionalFormatting sqref="G4:G479">
    <cfRule type="cellIs" dxfId="413" priority="107" operator="equal">
      <formula>"Due"</formula>
    </cfRule>
  </conditionalFormatting>
  <conditionalFormatting sqref="G4:G479">
    <cfRule type="cellIs" dxfId="412" priority="108" operator="equal">
      <formula>"Due"</formula>
    </cfRule>
  </conditionalFormatting>
  <conditionalFormatting sqref="G4:G479">
    <cfRule type="cellIs" dxfId="411" priority="109" operator="equal">
      <formula>"Due"</formula>
    </cfRule>
  </conditionalFormatting>
  <conditionalFormatting sqref="G4:G479">
    <cfRule type="cellIs" dxfId="410" priority="110" operator="equal">
      <formula>"Due"</formula>
    </cfRule>
  </conditionalFormatting>
  <conditionalFormatting sqref="G4:G479">
    <cfRule type="cellIs" dxfId="409" priority="111" operator="equal">
      <formula>"Due"</formula>
    </cfRule>
  </conditionalFormatting>
  <conditionalFormatting sqref="G4:G479">
    <cfRule type="cellIs" dxfId="408" priority="112" operator="equal">
      <formula>"Due"</formula>
    </cfRule>
  </conditionalFormatting>
  <conditionalFormatting sqref="G4:G479">
    <cfRule type="cellIs" dxfId="407" priority="113" operator="equal">
      <formula>"Due"</formula>
    </cfRule>
  </conditionalFormatting>
  <conditionalFormatting sqref="G4:G479">
    <cfRule type="cellIs" dxfId="406" priority="114" operator="equal">
      <formula>"Due"</formula>
    </cfRule>
  </conditionalFormatting>
  <conditionalFormatting sqref="G4:G479">
    <cfRule type="cellIs" dxfId="405" priority="115" operator="equal">
      <formula>"Due"</formula>
    </cfRule>
  </conditionalFormatting>
  <conditionalFormatting sqref="G4:G479">
    <cfRule type="cellIs" dxfId="404" priority="116" operator="equal">
      <formula>"Due"</formula>
    </cfRule>
  </conditionalFormatting>
  <conditionalFormatting sqref="G4:G479">
    <cfRule type="cellIs" dxfId="403" priority="117" operator="equal">
      <formula>"Due"</formula>
    </cfRule>
  </conditionalFormatting>
  <conditionalFormatting sqref="G4:G479">
    <cfRule type="cellIs" dxfId="402" priority="118" operator="equal">
      <formula>"Due"</formula>
    </cfRule>
  </conditionalFormatting>
  <conditionalFormatting sqref="G4:G479">
    <cfRule type="cellIs" dxfId="401" priority="119" operator="equal">
      <formula>"Due"</formula>
    </cfRule>
  </conditionalFormatting>
  <conditionalFormatting sqref="G4:G479">
    <cfRule type="cellIs" dxfId="400" priority="120" operator="equal">
      <formula>"Due"</formula>
    </cfRule>
  </conditionalFormatting>
  <conditionalFormatting sqref="G4:G479">
    <cfRule type="cellIs" dxfId="399" priority="121" operator="equal">
      <formula>"Due"</formula>
    </cfRule>
  </conditionalFormatting>
  <conditionalFormatting sqref="G4:G479">
    <cfRule type="cellIs" dxfId="398" priority="122" operator="equal">
      <formula>"Due"</formula>
    </cfRule>
  </conditionalFormatting>
  <conditionalFormatting sqref="G4:G479">
    <cfRule type="cellIs" dxfId="397" priority="123" operator="equal">
      <formula>"Due"</formula>
    </cfRule>
  </conditionalFormatting>
  <conditionalFormatting sqref="G4:G479">
    <cfRule type="cellIs" dxfId="396" priority="124" operator="equal">
      <formula>"Due"</formula>
    </cfRule>
  </conditionalFormatting>
  <conditionalFormatting sqref="G4:G479">
    <cfRule type="cellIs" dxfId="395" priority="125" operator="equal">
      <formula>"Due"</formula>
    </cfRule>
  </conditionalFormatting>
  <conditionalFormatting sqref="G4:G479">
    <cfRule type="cellIs" dxfId="394" priority="126" operator="equal">
      <formula>"Due"</formula>
    </cfRule>
  </conditionalFormatting>
  <conditionalFormatting sqref="G4:G479">
    <cfRule type="cellIs" dxfId="393" priority="127" operator="equal">
      <formula>"Due"</formula>
    </cfRule>
  </conditionalFormatting>
  <conditionalFormatting sqref="G4:G479">
    <cfRule type="cellIs" dxfId="392" priority="128" operator="equal">
      <formula>"Due"</formula>
    </cfRule>
  </conditionalFormatting>
  <conditionalFormatting sqref="G4:G479">
    <cfRule type="cellIs" dxfId="391" priority="129" operator="equal">
      <formula>"Due"</formula>
    </cfRule>
  </conditionalFormatting>
  <conditionalFormatting sqref="G4:G479">
    <cfRule type="cellIs" dxfId="390" priority="130" operator="equal">
      <formula>"Due"</formula>
    </cfRule>
  </conditionalFormatting>
  <conditionalFormatting sqref="G4:G479">
    <cfRule type="cellIs" dxfId="389" priority="131" operator="equal">
      <formula>"Due"</formula>
    </cfRule>
  </conditionalFormatting>
  <conditionalFormatting sqref="G4:G479">
    <cfRule type="cellIs" dxfId="388" priority="132" operator="equal">
      <formula>"Due"</formula>
    </cfRule>
  </conditionalFormatting>
  <conditionalFormatting sqref="G4:G479">
    <cfRule type="cellIs" dxfId="387" priority="133" operator="equal">
      <formula>"Due"</formula>
    </cfRule>
  </conditionalFormatting>
  <conditionalFormatting sqref="G4:G479">
    <cfRule type="cellIs" dxfId="386" priority="134" operator="equal">
      <formula>"Due"</formula>
    </cfRule>
  </conditionalFormatting>
  <conditionalFormatting sqref="G4:G479">
    <cfRule type="cellIs" dxfId="385" priority="135" operator="equal">
      <formula>"Due"</formula>
    </cfRule>
  </conditionalFormatting>
  <conditionalFormatting sqref="G4:G479">
    <cfRule type="cellIs" dxfId="384" priority="136" operator="equal">
      <formula>"Due"</formula>
    </cfRule>
  </conditionalFormatting>
  <conditionalFormatting sqref="G4:G479">
    <cfRule type="cellIs" dxfId="383" priority="137" operator="equal">
      <formula>"Due"</formula>
    </cfRule>
  </conditionalFormatting>
  <conditionalFormatting sqref="G4:G479">
    <cfRule type="cellIs" dxfId="382" priority="138" operator="equal">
      <formula>"Due"</formula>
    </cfRule>
  </conditionalFormatting>
  <conditionalFormatting sqref="G4:G479">
    <cfRule type="cellIs" dxfId="381" priority="139" operator="equal">
      <formula>"Due"</formula>
    </cfRule>
  </conditionalFormatting>
  <conditionalFormatting sqref="G4:G479">
    <cfRule type="cellIs" dxfId="380" priority="140" operator="equal">
      <formula>"Due"</formula>
    </cfRule>
  </conditionalFormatting>
  <conditionalFormatting sqref="G4:G479">
    <cfRule type="cellIs" dxfId="379" priority="141" operator="equal">
      <formula>"Due"</formula>
    </cfRule>
  </conditionalFormatting>
  <conditionalFormatting sqref="G4:G479">
    <cfRule type="cellIs" dxfId="378" priority="142" operator="equal">
      <formula>"Due"</formula>
    </cfRule>
  </conditionalFormatting>
  <conditionalFormatting sqref="G4:G479">
    <cfRule type="cellIs" dxfId="377" priority="143" operator="equal">
      <formula>"Due"</formula>
    </cfRule>
  </conditionalFormatting>
  <conditionalFormatting sqref="G4:G479">
    <cfRule type="cellIs" dxfId="376" priority="144" operator="equal">
      <formula>"Due"</formula>
    </cfRule>
  </conditionalFormatting>
  <conditionalFormatting sqref="G4:G479">
    <cfRule type="cellIs" dxfId="375" priority="145" operator="equal">
      <formula>"Due"</formula>
    </cfRule>
  </conditionalFormatting>
  <conditionalFormatting sqref="G4:G479">
    <cfRule type="cellIs" dxfId="374" priority="146" operator="equal">
      <formula>"Due"</formula>
    </cfRule>
  </conditionalFormatting>
  <conditionalFormatting sqref="G4:G479">
    <cfRule type="cellIs" dxfId="373" priority="147" operator="equal">
      <formula>"Due"</formula>
    </cfRule>
  </conditionalFormatting>
  <conditionalFormatting sqref="G4:G479">
    <cfRule type="cellIs" dxfId="372" priority="148" operator="equal">
      <formula>"Due"</formula>
    </cfRule>
  </conditionalFormatting>
  <conditionalFormatting sqref="G4:G479">
    <cfRule type="cellIs" dxfId="371" priority="149" operator="equal">
      <formula>"Due"</formula>
    </cfRule>
  </conditionalFormatting>
  <conditionalFormatting sqref="G4:G479">
    <cfRule type="cellIs" dxfId="370" priority="150" operator="equal">
      <formula>"Due"</formula>
    </cfRule>
  </conditionalFormatting>
  <conditionalFormatting sqref="G4:G479">
    <cfRule type="cellIs" dxfId="369" priority="151" operator="equal">
      <formula>"Due"</formula>
    </cfRule>
  </conditionalFormatting>
  <conditionalFormatting sqref="G4:G479">
    <cfRule type="cellIs" dxfId="368" priority="152" operator="equal">
      <formula>"Due"</formula>
    </cfRule>
  </conditionalFormatting>
  <conditionalFormatting sqref="G4:G479">
    <cfRule type="cellIs" dxfId="367" priority="153" operator="equal">
      <formula>"Due"</formula>
    </cfRule>
  </conditionalFormatting>
  <conditionalFormatting sqref="G4:G479">
    <cfRule type="cellIs" dxfId="366" priority="154" operator="equal">
      <formula>"Due"</formula>
    </cfRule>
  </conditionalFormatting>
  <conditionalFormatting sqref="G4:G479">
    <cfRule type="cellIs" dxfId="365" priority="155" operator="equal">
      <formula>"Due"</formula>
    </cfRule>
  </conditionalFormatting>
  <conditionalFormatting sqref="G4:G479">
    <cfRule type="cellIs" dxfId="364" priority="156" operator="equal">
      <formula>"Due"</formula>
    </cfRule>
  </conditionalFormatting>
  <conditionalFormatting sqref="G4:G479">
    <cfRule type="cellIs" dxfId="363" priority="157" operator="equal">
      <formula>"Due"</formula>
    </cfRule>
  </conditionalFormatting>
  <conditionalFormatting sqref="G4:G479">
    <cfRule type="cellIs" dxfId="362" priority="158" operator="equal">
      <formula>"Due"</formula>
    </cfRule>
  </conditionalFormatting>
  <conditionalFormatting sqref="G4:G479">
    <cfRule type="cellIs" dxfId="361" priority="159" operator="equal">
      <formula>"Due"</formula>
    </cfRule>
  </conditionalFormatting>
  <conditionalFormatting sqref="G4:G479">
    <cfRule type="cellIs" dxfId="360" priority="160" operator="equal">
      <formula>"Due"</formula>
    </cfRule>
  </conditionalFormatting>
  <conditionalFormatting sqref="G4:G479">
    <cfRule type="cellIs" dxfId="359" priority="161" operator="equal">
      <formula>"Due"</formula>
    </cfRule>
  </conditionalFormatting>
  <conditionalFormatting sqref="G4:G479">
    <cfRule type="cellIs" dxfId="358" priority="162" operator="equal">
      <formula>"Due"</formula>
    </cfRule>
  </conditionalFormatting>
  <conditionalFormatting sqref="G4:G479">
    <cfRule type="cellIs" dxfId="357" priority="163" operator="equal">
      <formula>"Due"</formula>
    </cfRule>
  </conditionalFormatting>
  <conditionalFormatting sqref="G4:G479">
    <cfRule type="cellIs" dxfId="356" priority="164" operator="equal">
      <formula>"Due"</formula>
    </cfRule>
  </conditionalFormatting>
  <conditionalFormatting sqref="G4:G479">
    <cfRule type="cellIs" dxfId="355" priority="165" operator="equal">
      <formula>"Due"</formula>
    </cfRule>
  </conditionalFormatting>
  <conditionalFormatting sqref="G4:G479">
    <cfRule type="cellIs" dxfId="354" priority="166" operator="equal">
      <formula>"Due"</formula>
    </cfRule>
  </conditionalFormatting>
  <conditionalFormatting sqref="G4:G479">
    <cfRule type="cellIs" dxfId="353" priority="167" operator="equal">
      <formula>"Due"</formula>
    </cfRule>
  </conditionalFormatting>
  <conditionalFormatting sqref="G4:G479">
    <cfRule type="cellIs" dxfId="352" priority="168" operator="equal">
      <formula>"Due"</formula>
    </cfRule>
  </conditionalFormatting>
  <conditionalFormatting sqref="G4:G479">
    <cfRule type="cellIs" dxfId="351" priority="169" operator="equal">
      <formula>"Due"</formula>
    </cfRule>
  </conditionalFormatting>
  <conditionalFormatting sqref="G4:G479">
    <cfRule type="cellIs" dxfId="350" priority="170" operator="equal">
      <formula>"Due"</formula>
    </cfRule>
  </conditionalFormatting>
  <conditionalFormatting sqref="G4:G479">
    <cfRule type="cellIs" dxfId="349" priority="171" operator="equal">
      <formula>"Due"</formula>
    </cfRule>
  </conditionalFormatting>
  <conditionalFormatting sqref="G4:G479">
    <cfRule type="cellIs" dxfId="348" priority="172" operator="equal">
      <formula>"Due"</formula>
    </cfRule>
  </conditionalFormatting>
  <conditionalFormatting sqref="G4:G479">
    <cfRule type="cellIs" dxfId="347" priority="173" operator="equal">
      <formula>"Due"</formula>
    </cfRule>
  </conditionalFormatting>
  <conditionalFormatting sqref="G4:G479">
    <cfRule type="cellIs" dxfId="346" priority="174" operator="equal">
      <formula>"Due"</formula>
    </cfRule>
  </conditionalFormatting>
  <conditionalFormatting sqref="G4:G479">
    <cfRule type="cellIs" dxfId="345" priority="175" operator="equal">
      <formula>"Due"</formula>
    </cfRule>
  </conditionalFormatting>
  <conditionalFormatting sqref="G4:G479">
    <cfRule type="cellIs" dxfId="344" priority="176" operator="equal">
      <formula>"Due"</formula>
    </cfRule>
  </conditionalFormatting>
  <conditionalFormatting sqref="G4:G479">
    <cfRule type="cellIs" dxfId="343" priority="177" operator="equal">
      <formula>"Due"</formula>
    </cfRule>
  </conditionalFormatting>
  <conditionalFormatting sqref="G4:G479">
    <cfRule type="cellIs" dxfId="342" priority="178" operator="equal">
      <formula>"Due"</formula>
    </cfRule>
  </conditionalFormatting>
  <conditionalFormatting sqref="G4:G479">
    <cfRule type="cellIs" dxfId="341" priority="179" operator="equal">
      <formula>"Due"</formula>
    </cfRule>
  </conditionalFormatting>
  <conditionalFormatting sqref="G4:G479">
    <cfRule type="cellIs" dxfId="340" priority="180" operator="equal">
      <formula>"Due"</formula>
    </cfRule>
  </conditionalFormatting>
  <conditionalFormatting sqref="G4:G479">
    <cfRule type="cellIs" dxfId="339" priority="181" operator="equal">
      <formula>"Due"</formula>
    </cfRule>
  </conditionalFormatting>
  <conditionalFormatting sqref="G4:G479">
    <cfRule type="cellIs" dxfId="338" priority="182" operator="equal">
      <formula>"Due"</formula>
    </cfRule>
  </conditionalFormatting>
  <conditionalFormatting sqref="G4:G479">
    <cfRule type="cellIs" dxfId="337" priority="183" operator="equal">
      <formula>"Due"</formula>
    </cfRule>
  </conditionalFormatting>
  <conditionalFormatting sqref="G4:G479">
    <cfRule type="cellIs" dxfId="336" priority="184" operator="equal">
      <formula>"Due"</formula>
    </cfRule>
  </conditionalFormatting>
  <conditionalFormatting sqref="G4:G479">
    <cfRule type="cellIs" dxfId="335" priority="185" operator="equal">
      <formula>"Due"</formula>
    </cfRule>
  </conditionalFormatting>
  <conditionalFormatting sqref="G4:G479">
    <cfRule type="cellIs" dxfId="334" priority="186" operator="equal">
      <formula>"Due"</formula>
    </cfRule>
  </conditionalFormatting>
  <conditionalFormatting sqref="G4:G479">
    <cfRule type="cellIs" dxfId="333" priority="187" operator="equal">
      <formula>"Due"</formula>
    </cfRule>
  </conditionalFormatting>
  <conditionalFormatting sqref="G4:G479">
    <cfRule type="cellIs" dxfId="332" priority="188" operator="equal">
      <formula>"Due"</formula>
    </cfRule>
  </conditionalFormatting>
  <conditionalFormatting sqref="G4:G479">
    <cfRule type="cellIs" dxfId="331" priority="189" operator="equal">
      <formula>"Due"</formula>
    </cfRule>
  </conditionalFormatting>
  <conditionalFormatting sqref="G4:G479">
    <cfRule type="cellIs" dxfId="330" priority="190" operator="equal">
      <formula>"Due"</formula>
    </cfRule>
  </conditionalFormatting>
  <conditionalFormatting sqref="G4:G479">
    <cfRule type="cellIs" dxfId="329" priority="191" operator="equal">
      <formula>"Due"</formula>
    </cfRule>
  </conditionalFormatting>
  <conditionalFormatting sqref="G4:G479">
    <cfRule type="cellIs" dxfId="328" priority="192" operator="equal">
      <formula>"Due"</formula>
    </cfRule>
  </conditionalFormatting>
  <conditionalFormatting sqref="G4:G479">
    <cfRule type="cellIs" dxfId="327" priority="193" operator="equal">
      <formula>"Due"</formula>
    </cfRule>
  </conditionalFormatting>
  <conditionalFormatting sqref="G4:G479">
    <cfRule type="cellIs" dxfId="326" priority="194" operator="equal">
      <formula>"Due"</formula>
    </cfRule>
  </conditionalFormatting>
  <conditionalFormatting sqref="G4:G479">
    <cfRule type="cellIs" dxfId="325" priority="195" operator="equal">
      <formula>"Due"</formula>
    </cfRule>
  </conditionalFormatting>
  <conditionalFormatting sqref="G4:G479">
    <cfRule type="cellIs" dxfId="324" priority="196" operator="equal">
      <formula>"Due"</formula>
    </cfRule>
  </conditionalFormatting>
  <conditionalFormatting sqref="G4:G479">
    <cfRule type="cellIs" dxfId="323" priority="197" operator="equal">
      <formula>"Due"</formula>
    </cfRule>
  </conditionalFormatting>
  <conditionalFormatting sqref="G4:G479">
    <cfRule type="cellIs" dxfId="322" priority="198" operator="equal">
      <formula>"Due"</formula>
    </cfRule>
  </conditionalFormatting>
  <conditionalFormatting sqref="G4:G479">
    <cfRule type="cellIs" dxfId="321" priority="199" operator="equal">
      <formula>"Due"</formula>
    </cfRule>
  </conditionalFormatting>
  <conditionalFormatting sqref="G4:G479">
    <cfRule type="cellIs" dxfId="320" priority="200" operator="equal">
      <formula>"Due"</formula>
    </cfRule>
  </conditionalFormatting>
  <conditionalFormatting sqref="G4:G479">
    <cfRule type="cellIs" dxfId="319" priority="201" operator="equal">
      <formula>"Due"</formula>
    </cfRule>
  </conditionalFormatting>
  <conditionalFormatting sqref="G4:G479">
    <cfRule type="cellIs" dxfId="318" priority="202" operator="equal">
      <formula>"Due"</formula>
    </cfRule>
  </conditionalFormatting>
  <conditionalFormatting sqref="G4:G479">
    <cfRule type="cellIs" dxfId="317" priority="203" operator="equal">
      <formula>"Due"</formula>
    </cfRule>
  </conditionalFormatting>
  <conditionalFormatting sqref="G4:G479">
    <cfRule type="cellIs" dxfId="316" priority="204" operator="equal">
      <formula>"Due"</formula>
    </cfRule>
  </conditionalFormatting>
  <conditionalFormatting sqref="G4:G479">
    <cfRule type="cellIs" dxfId="315" priority="205" operator="equal">
      <formula>"Due"</formula>
    </cfRule>
  </conditionalFormatting>
  <conditionalFormatting sqref="G4:G479">
    <cfRule type="cellIs" dxfId="314" priority="206" operator="equal">
      <formula>"Due"</formula>
    </cfRule>
  </conditionalFormatting>
  <conditionalFormatting sqref="G4:G479">
    <cfRule type="cellIs" dxfId="313" priority="207" operator="equal">
      <formula>"Due"</formula>
    </cfRule>
  </conditionalFormatting>
  <conditionalFormatting sqref="G4:G479">
    <cfRule type="cellIs" dxfId="312" priority="208" operator="equal">
      <formula>"Due"</formula>
    </cfRule>
  </conditionalFormatting>
  <conditionalFormatting sqref="G4:G479">
    <cfRule type="cellIs" dxfId="311" priority="209" operator="equal">
      <formula>"Due"</formula>
    </cfRule>
  </conditionalFormatting>
  <conditionalFormatting sqref="G4:G479">
    <cfRule type="cellIs" dxfId="310" priority="210" operator="equal">
      <formula>"Due"</formula>
    </cfRule>
  </conditionalFormatting>
  <conditionalFormatting sqref="G4:G479">
    <cfRule type="cellIs" dxfId="309" priority="211" operator="equal">
      <formula>"Due"</formula>
    </cfRule>
  </conditionalFormatting>
  <conditionalFormatting sqref="G4:G479">
    <cfRule type="cellIs" dxfId="308" priority="212" operator="equal">
      <formula>"Due"</formula>
    </cfRule>
  </conditionalFormatting>
  <conditionalFormatting sqref="G4:G479">
    <cfRule type="cellIs" dxfId="307" priority="213" operator="equal">
      <formula>"Due"</formula>
    </cfRule>
  </conditionalFormatting>
  <conditionalFormatting sqref="G4:G479">
    <cfRule type="cellIs" dxfId="306" priority="214" operator="equal">
      <formula>"Due"</formula>
    </cfRule>
  </conditionalFormatting>
  <conditionalFormatting sqref="G4:G479">
    <cfRule type="cellIs" dxfId="305" priority="215" operator="equal">
      <formula>"Due"</formula>
    </cfRule>
  </conditionalFormatting>
  <conditionalFormatting sqref="G4:G479">
    <cfRule type="cellIs" dxfId="304" priority="216" operator="equal">
      <formula>"Due"</formula>
    </cfRule>
  </conditionalFormatting>
  <conditionalFormatting sqref="G4:G479">
    <cfRule type="cellIs" dxfId="303" priority="217" operator="equal">
      <formula>"Due"</formula>
    </cfRule>
  </conditionalFormatting>
  <conditionalFormatting sqref="G4:G479">
    <cfRule type="cellIs" dxfId="302" priority="218" operator="equal">
      <formula>"Due"</formula>
    </cfRule>
  </conditionalFormatting>
  <conditionalFormatting sqref="G4:G479">
    <cfRule type="cellIs" dxfId="301" priority="219" operator="equal">
      <formula>"Due"</formula>
    </cfRule>
  </conditionalFormatting>
  <conditionalFormatting sqref="G4:G479">
    <cfRule type="cellIs" dxfId="300" priority="220" operator="equal">
      <formula>"Due"</formula>
    </cfRule>
  </conditionalFormatting>
  <conditionalFormatting sqref="G4:G479">
    <cfRule type="cellIs" dxfId="299" priority="221" operator="equal">
      <formula>"Due"</formula>
    </cfRule>
  </conditionalFormatting>
  <conditionalFormatting sqref="G4:G479">
    <cfRule type="cellIs" dxfId="298" priority="222" operator="equal">
      <formula>"Due"</formula>
    </cfRule>
  </conditionalFormatting>
  <conditionalFormatting sqref="G4:G479">
    <cfRule type="cellIs" dxfId="297" priority="223" operator="equal">
      <formula>"Due"</formula>
    </cfRule>
  </conditionalFormatting>
  <conditionalFormatting sqref="G4:G479">
    <cfRule type="cellIs" dxfId="296" priority="224" operator="equal">
      <formula>"Due"</formula>
    </cfRule>
  </conditionalFormatting>
  <conditionalFormatting sqref="G4:G479">
    <cfRule type="cellIs" dxfId="295" priority="225" operator="equal">
      <formula>"Due"</formula>
    </cfRule>
  </conditionalFormatting>
  <conditionalFormatting sqref="G4:G479">
    <cfRule type="cellIs" dxfId="294" priority="226" operator="equal">
      <formula>"Due"</formula>
    </cfRule>
  </conditionalFormatting>
  <conditionalFormatting sqref="G4:G479">
    <cfRule type="cellIs" dxfId="293" priority="227" operator="equal">
      <formula>"Due"</formula>
    </cfRule>
  </conditionalFormatting>
  <conditionalFormatting sqref="G4:G479">
    <cfRule type="cellIs" dxfId="292" priority="228" operator="equal">
      <formula>"Due"</formula>
    </cfRule>
  </conditionalFormatting>
  <conditionalFormatting sqref="G4:G479">
    <cfRule type="cellIs" dxfId="291" priority="229" operator="equal">
      <formula>"Due"</formula>
    </cfRule>
  </conditionalFormatting>
  <conditionalFormatting sqref="G4:G479">
    <cfRule type="cellIs" dxfId="290" priority="230" operator="equal">
      <formula>"Due"</formula>
    </cfRule>
  </conditionalFormatting>
  <conditionalFormatting sqref="G4:G479">
    <cfRule type="cellIs" dxfId="289" priority="231" operator="equal">
      <formula>"Due"</formula>
    </cfRule>
  </conditionalFormatting>
  <conditionalFormatting sqref="G4:G479">
    <cfRule type="cellIs" dxfId="288" priority="232" operator="equal">
      <formula>"Due"</formula>
    </cfRule>
  </conditionalFormatting>
  <conditionalFormatting sqref="G4:G479">
    <cfRule type="cellIs" dxfId="287" priority="233" operator="equal">
      <formula>"Due"</formula>
    </cfRule>
  </conditionalFormatting>
  <conditionalFormatting sqref="G4:G479">
    <cfRule type="cellIs" dxfId="286" priority="234" operator="equal">
      <formula>"Due"</formula>
    </cfRule>
  </conditionalFormatting>
  <conditionalFormatting sqref="G4:G479">
    <cfRule type="cellIs" dxfId="285" priority="235" operator="equal">
      <formula>"Due"</formula>
    </cfRule>
  </conditionalFormatting>
  <conditionalFormatting sqref="G4:G479">
    <cfRule type="cellIs" dxfId="284" priority="236" operator="equal">
      <formula>"Due"</formula>
    </cfRule>
  </conditionalFormatting>
  <conditionalFormatting sqref="G4:G479">
    <cfRule type="cellIs" dxfId="283" priority="237" operator="equal">
      <formula>"Due"</formula>
    </cfRule>
  </conditionalFormatting>
  <conditionalFormatting sqref="G4:G479">
    <cfRule type="cellIs" dxfId="282" priority="238" operator="equal">
      <formula>"Due"</formula>
    </cfRule>
  </conditionalFormatting>
  <conditionalFormatting sqref="G4:G479">
    <cfRule type="cellIs" dxfId="281" priority="239" operator="equal">
      <formula>"Due"</formula>
    </cfRule>
  </conditionalFormatting>
  <conditionalFormatting sqref="G4:G479">
    <cfRule type="cellIs" dxfId="280" priority="240" operator="equal">
      <formula>"Due"</formula>
    </cfRule>
  </conditionalFormatting>
  <conditionalFormatting sqref="G4:G479">
    <cfRule type="cellIs" dxfId="279" priority="241" operator="equal">
      <formula>"Due"</formula>
    </cfRule>
  </conditionalFormatting>
  <conditionalFormatting sqref="G4:G479">
    <cfRule type="cellIs" dxfId="278" priority="242" operator="equal">
      <formula>"Due"</formula>
    </cfRule>
  </conditionalFormatting>
  <conditionalFormatting sqref="G4:G479">
    <cfRule type="cellIs" dxfId="277" priority="243" operator="equal">
      <formula>"Due"</formula>
    </cfRule>
  </conditionalFormatting>
  <conditionalFormatting sqref="G4:G479">
    <cfRule type="cellIs" dxfId="276" priority="244" operator="equal">
      <formula>"Due"</formula>
    </cfRule>
  </conditionalFormatting>
  <conditionalFormatting sqref="G4:G479">
    <cfRule type="cellIs" dxfId="275" priority="245" operator="equal">
      <formula>"Due"</formula>
    </cfRule>
  </conditionalFormatting>
  <conditionalFormatting sqref="G4:G479">
    <cfRule type="cellIs" dxfId="274" priority="246" operator="equal">
      <formula>"Due"</formula>
    </cfRule>
  </conditionalFormatting>
  <conditionalFormatting sqref="G4:G479">
    <cfRule type="cellIs" dxfId="273" priority="247" operator="equal">
      <formula>"Due"</formula>
    </cfRule>
  </conditionalFormatting>
  <conditionalFormatting sqref="G4:G479">
    <cfRule type="cellIs" dxfId="272" priority="248" operator="equal">
      <formula>"Due"</formula>
    </cfRule>
  </conditionalFormatting>
  <conditionalFormatting sqref="G4:G479">
    <cfRule type="cellIs" dxfId="271" priority="249" operator="equal">
      <formula>"Due"</formula>
    </cfRule>
  </conditionalFormatting>
  <conditionalFormatting sqref="G4:G479">
    <cfRule type="cellIs" dxfId="270" priority="250" operator="equal">
      <formula>"Due"</formula>
    </cfRule>
  </conditionalFormatting>
  <conditionalFormatting sqref="G4:G479">
    <cfRule type="cellIs" dxfId="269" priority="251" operator="equal">
      <formula>"Due"</formula>
    </cfRule>
  </conditionalFormatting>
  <conditionalFormatting sqref="G4:G479">
    <cfRule type="cellIs" dxfId="268" priority="252" operator="equal">
      <formula>"Due"</formula>
    </cfRule>
  </conditionalFormatting>
  <conditionalFormatting sqref="G4:G479">
    <cfRule type="cellIs" dxfId="267" priority="253" operator="equal">
      <formula>"Due"</formula>
    </cfRule>
  </conditionalFormatting>
  <conditionalFormatting sqref="G4:G479">
    <cfRule type="cellIs" dxfId="266" priority="254" operator="equal">
      <formula>"Due"</formula>
    </cfRule>
  </conditionalFormatting>
  <conditionalFormatting sqref="G4:G479">
    <cfRule type="cellIs" dxfId="265" priority="255" operator="equal">
      <formula>"Due"</formula>
    </cfRule>
  </conditionalFormatting>
  <conditionalFormatting sqref="G4:G479">
    <cfRule type="cellIs" dxfId="264" priority="256" operator="equal">
      <formula>"Due"</formula>
    </cfRule>
  </conditionalFormatting>
  <conditionalFormatting sqref="G4:G479">
    <cfRule type="cellIs" dxfId="263" priority="257" operator="equal">
      <formula>"Due"</formula>
    </cfRule>
  </conditionalFormatting>
  <conditionalFormatting sqref="G4:G479">
    <cfRule type="cellIs" dxfId="262" priority="258" operator="equal">
      <formula>"Due"</formula>
    </cfRule>
  </conditionalFormatting>
  <conditionalFormatting sqref="G4:G479">
    <cfRule type="cellIs" dxfId="261" priority="259" operator="equal">
      <formula>"Due"</formula>
    </cfRule>
  </conditionalFormatting>
  <conditionalFormatting sqref="G4:G479">
    <cfRule type="cellIs" dxfId="260" priority="260" operator="equal">
      <formula>"Due"</formula>
    </cfRule>
  </conditionalFormatting>
  <conditionalFormatting sqref="G4:G479">
    <cfRule type="cellIs" dxfId="259" priority="261" operator="equal">
      <formula>"Due"</formula>
    </cfRule>
  </conditionalFormatting>
  <conditionalFormatting sqref="G4:G479">
    <cfRule type="cellIs" dxfId="258" priority="262" operator="equal">
      <formula>"Due"</formula>
    </cfRule>
  </conditionalFormatting>
  <conditionalFormatting sqref="G4:G479">
    <cfRule type="cellIs" dxfId="257" priority="263" operator="equal">
      <formula>"Due"</formula>
    </cfRule>
  </conditionalFormatting>
  <conditionalFormatting sqref="G4:G479">
    <cfRule type="cellIs" dxfId="256" priority="264" operator="equal">
      <formula>"Due"</formula>
    </cfRule>
  </conditionalFormatting>
  <conditionalFormatting sqref="G4:G479">
    <cfRule type="cellIs" dxfId="255" priority="265" operator="equal">
      <formula>"Due"</formula>
    </cfRule>
  </conditionalFormatting>
  <conditionalFormatting sqref="G4:G479">
    <cfRule type="cellIs" dxfId="254" priority="266" operator="equal">
      <formula>"Due"</formula>
    </cfRule>
  </conditionalFormatting>
  <conditionalFormatting sqref="G4:G479">
    <cfRule type="cellIs" dxfId="253" priority="267" operator="equal">
      <formula>"Due"</formula>
    </cfRule>
  </conditionalFormatting>
  <conditionalFormatting sqref="G4:G479">
    <cfRule type="cellIs" dxfId="252" priority="268" operator="equal">
      <formula>"Due"</formula>
    </cfRule>
  </conditionalFormatting>
  <conditionalFormatting sqref="G4:G479">
    <cfRule type="cellIs" dxfId="251" priority="269" operator="equal">
      <formula>"Due"</formula>
    </cfRule>
  </conditionalFormatting>
  <conditionalFormatting sqref="G4:G479">
    <cfRule type="cellIs" dxfId="250" priority="270" operator="equal">
      <formula>"Due"</formula>
    </cfRule>
  </conditionalFormatting>
  <conditionalFormatting sqref="G4:G479">
    <cfRule type="cellIs" dxfId="249" priority="271" operator="equal">
      <formula>"Due"</formula>
    </cfRule>
  </conditionalFormatting>
  <conditionalFormatting sqref="G4:G479">
    <cfRule type="cellIs" dxfId="248" priority="272" operator="equal">
      <formula>"Due"</formula>
    </cfRule>
  </conditionalFormatting>
  <conditionalFormatting sqref="G4:G479">
    <cfRule type="cellIs" dxfId="247" priority="273" operator="equal">
      <formula>"Due"</formula>
    </cfRule>
  </conditionalFormatting>
  <conditionalFormatting sqref="G4:G479">
    <cfRule type="cellIs" dxfId="246" priority="274" operator="equal">
      <formula>"Due"</formula>
    </cfRule>
  </conditionalFormatting>
  <conditionalFormatting sqref="G4:G479">
    <cfRule type="cellIs" dxfId="245" priority="275" operator="equal">
      <formula>"Due"</formula>
    </cfRule>
  </conditionalFormatting>
  <conditionalFormatting sqref="G4:G479">
    <cfRule type="cellIs" dxfId="244" priority="276" operator="equal">
      <formula>"Due"</formula>
    </cfRule>
  </conditionalFormatting>
  <conditionalFormatting sqref="G4:G479">
    <cfRule type="cellIs" dxfId="243" priority="277" operator="equal">
      <formula>"Due"</formula>
    </cfRule>
  </conditionalFormatting>
  <conditionalFormatting sqref="G4:G479">
    <cfRule type="cellIs" dxfId="242" priority="278" operator="equal">
      <formula>"Due"</formula>
    </cfRule>
  </conditionalFormatting>
  <conditionalFormatting sqref="G4:G479">
    <cfRule type="cellIs" dxfId="241" priority="279" operator="equal">
      <formula>"Due"</formula>
    </cfRule>
  </conditionalFormatting>
  <conditionalFormatting sqref="G4:G479">
    <cfRule type="cellIs" dxfId="240" priority="280" operator="equal">
      <formula>"Due"</formula>
    </cfRule>
  </conditionalFormatting>
  <conditionalFormatting sqref="G4:G479">
    <cfRule type="cellIs" dxfId="239" priority="281" operator="equal">
      <formula>"Due"</formula>
    </cfRule>
  </conditionalFormatting>
  <conditionalFormatting sqref="G4:G479">
    <cfRule type="cellIs" dxfId="238" priority="282" operator="equal">
      <formula>"Due"</formula>
    </cfRule>
  </conditionalFormatting>
  <conditionalFormatting sqref="G4:G479">
    <cfRule type="cellIs" dxfId="237" priority="283" operator="equal">
      <formula>"Due"</formula>
    </cfRule>
  </conditionalFormatting>
  <conditionalFormatting sqref="G4:G479">
    <cfRule type="cellIs" dxfId="236" priority="284" operator="equal">
      <formula>"Due"</formula>
    </cfRule>
  </conditionalFormatting>
  <conditionalFormatting sqref="G4:G479">
    <cfRule type="cellIs" dxfId="235" priority="285" operator="equal">
      <formula>"Due"</formula>
    </cfRule>
  </conditionalFormatting>
  <conditionalFormatting sqref="G4:G479">
    <cfRule type="cellIs" dxfId="234" priority="286" operator="equal">
      <formula>"Due"</formula>
    </cfRule>
  </conditionalFormatting>
  <conditionalFormatting sqref="G4:G479">
    <cfRule type="cellIs" dxfId="233" priority="287" operator="equal">
      <formula>"Due"</formula>
    </cfRule>
  </conditionalFormatting>
  <conditionalFormatting sqref="G4:G479">
    <cfRule type="cellIs" dxfId="232" priority="288" operator="equal">
      <formula>"Due"</formula>
    </cfRule>
  </conditionalFormatting>
  <conditionalFormatting sqref="G4:G479">
    <cfRule type="cellIs" dxfId="231" priority="289" operator="equal">
      <formula>"Due"</formula>
    </cfRule>
  </conditionalFormatting>
  <conditionalFormatting sqref="G4:G479">
    <cfRule type="cellIs" dxfId="230" priority="290" operator="equal">
      <formula>"Due"</formula>
    </cfRule>
  </conditionalFormatting>
  <conditionalFormatting sqref="G4:G479">
    <cfRule type="cellIs" dxfId="229" priority="291" operator="equal">
      <formula>"Due"</formula>
    </cfRule>
  </conditionalFormatting>
  <conditionalFormatting sqref="G4:G479">
    <cfRule type="cellIs" dxfId="228" priority="292" operator="equal">
      <formula>"Due"</formula>
    </cfRule>
  </conditionalFormatting>
  <conditionalFormatting sqref="G4:G479">
    <cfRule type="cellIs" dxfId="227" priority="293" operator="equal">
      <formula>"Due"</formula>
    </cfRule>
  </conditionalFormatting>
  <conditionalFormatting sqref="G4:G479">
    <cfRule type="cellIs" dxfId="226" priority="294" operator="equal">
      <formula>"Due"</formula>
    </cfRule>
  </conditionalFormatting>
  <conditionalFormatting sqref="G4:G479">
    <cfRule type="cellIs" dxfId="225" priority="295" operator="equal">
      <formula>"Due"</formula>
    </cfRule>
  </conditionalFormatting>
  <conditionalFormatting sqref="G4:G479">
    <cfRule type="cellIs" dxfId="224" priority="296" operator="equal">
      <formula>"Due"</formula>
    </cfRule>
  </conditionalFormatting>
  <conditionalFormatting sqref="G4:G479">
    <cfRule type="cellIs" dxfId="223" priority="297" operator="equal">
      <formula>"Due"</formula>
    </cfRule>
  </conditionalFormatting>
  <conditionalFormatting sqref="G4:G479">
    <cfRule type="cellIs" dxfId="222" priority="298" operator="equal">
      <formula>"Due"</formula>
    </cfRule>
  </conditionalFormatting>
  <conditionalFormatting sqref="G4:G479">
    <cfRule type="cellIs" dxfId="221" priority="299" operator="equal">
      <formula>"Due"</formula>
    </cfRule>
  </conditionalFormatting>
  <conditionalFormatting sqref="G4:G479">
    <cfRule type="cellIs" dxfId="220" priority="300" operator="equal">
      <formula>"Due"</formula>
    </cfRule>
  </conditionalFormatting>
  <conditionalFormatting sqref="G4:G479">
    <cfRule type="cellIs" dxfId="219" priority="301" operator="equal">
      <formula>"Due"</formula>
    </cfRule>
  </conditionalFormatting>
  <conditionalFormatting sqref="G4:G479">
    <cfRule type="cellIs" dxfId="218" priority="302" operator="equal">
      <formula>"Due"</formula>
    </cfRule>
  </conditionalFormatting>
  <conditionalFormatting sqref="G4:G479">
    <cfRule type="cellIs" dxfId="217" priority="303" operator="equal">
      <formula>"Due"</formula>
    </cfRule>
  </conditionalFormatting>
  <conditionalFormatting sqref="G4:G479">
    <cfRule type="cellIs" dxfId="216" priority="304" operator="equal">
      <formula>"Due"</formula>
    </cfRule>
  </conditionalFormatting>
  <conditionalFormatting sqref="G4:G479">
    <cfRule type="cellIs" dxfId="215" priority="305" operator="equal">
      <formula>"Due"</formula>
    </cfRule>
  </conditionalFormatting>
  <conditionalFormatting sqref="G4:G479">
    <cfRule type="cellIs" dxfId="214" priority="306" operator="equal">
      <formula>"Due"</formula>
    </cfRule>
  </conditionalFormatting>
  <conditionalFormatting sqref="G4:G479">
    <cfRule type="cellIs" dxfId="213" priority="307" operator="equal">
      <formula>"Due"</formula>
    </cfRule>
  </conditionalFormatting>
  <conditionalFormatting sqref="G4:G479">
    <cfRule type="cellIs" dxfId="212" priority="308" operator="equal">
      <formula>"Due"</formula>
    </cfRule>
  </conditionalFormatting>
  <conditionalFormatting sqref="G4:G479">
    <cfRule type="cellIs" dxfId="211" priority="309" operator="equal">
      <formula>"Due"</formula>
    </cfRule>
  </conditionalFormatting>
  <conditionalFormatting sqref="G4:G479">
    <cfRule type="cellIs" dxfId="210" priority="310" operator="equal">
      <formula>"Due"</formula>
    </cfRule>
  </conditionalFormatting>
  <conditionalFormatting sqref="G4:G479">
    <cfRule type="cellIs" dxfId="209" priority="311" operator="equal">
      <formula>"Due"</formula>
    </cfRule>
  </conditionalFormatting>
  <conditionalFormatting sqref="G4:G479">
    <cfRule type="cellIs" dxfId="208" priority="312" operator="equal">
      <formula>"Due"</formula>
    </cfRule>
  </conditionalFormatting>
  <conditionalFormatting sqref="G4:G479">
    <cfRule type="cellIs" dxfId="207" priority="313" operator="equal">
      <formula>"Due"</formula>
    </cfRule>
  </conditionalFormatting>
  <conditionalFormatting sqref="G4:G479">
    <cfRule type="cellIs" dxfId="206" priority="314" operator="equal">
      <formula>"Due"</formula>
    </cfRule>
  </conditionalFormatting>
  <conditionalFormatting sqref="G4:G479">
    <cfRule type="cellIs" dxfId="205" priority="315" operator="equal">
      <formula>"Due"</formula>
    </cfRule>
  </conditionalFormatting>
  <conditionalFormatting sqref="G4:G479">
    <cfRule type="cellIs" dxfId="204" priority="316" operator="equal">
      <formula>"Due"</formula>
    </cfRule>
  </conditionalFormatting>
  <conditionalFormatting sqref="G4:G479">
    <cfRule type="cellIs" dxfId="203" priority="317" operator="equal">
      <formula>"Due"</formula>
    </cfRule>
  </conditionalFormatting>
  <conditionalFormatting sqref="G4:G479">
    <cfRule type="cellIs" dxfId="202" priority="318" operator="equal">
      <formula>"Due"</formula>
    </cfRule>
  </conditionalFormatting>
  <conditionalFormatting sqref="G4:G479">
    <cfRule type="cellIs" dxfId="201" priority="319" operator="equal">
      <formula>"Due"</formula>
    </cfRule>
  </conditionalFormatting>
  <conditionalFormatting sqref="G4:G479">
    <cfRule type="cellIs" dxfId="200" priority="320" operator="equal">
      <formula>"Due"</formula>
    </cfRule>
  </conditionalFormatting>
  <conditionalFormatting sqref="G4:G479">
    <cfRule type="cellIs" dxfId="199" priority="321" operator="equal">
      <formula>"Due"</formula>
    </cfRule>
  </conditionalFormatting>
  <conditionalFormatting sqref="G4:G479">
    <cfRule type="cellIs" dxfId="198" priority="322" operator="equal">
      <formula>"Due"</formula>
    </cfRule>
  </conditionalFormatting>
  <conditionalFormatting sqref="G4:G479">
    <cfRule type="cellIs" dxfId="197" priority="323" operator="equal">
      <formula>"Due"</formula>
    </cfRule>
  </conditionalFormatting>
  <conditionalFormatting sqref="G4:G479">
    <cfRule type="cellIs" dxfId="196" priority="324" operator="equal">
      <formula>"Due"</formula>
    </cfRule>
  </conditionalFormatting>
  <conditionalFormatting sqref="G4:G479">
    <cfRule type="cellIs" dxfId="195" priority="325" operator="equal">
      <formula>"Due"</formula>
    </cfRule>
  </conditionalFormatting>
  <conditionalFormatting sqref="G4:G479">
    <cfRule type="cellIs" dxfId="194" priority="326" operator="equal">
      <formula>"Due"</formula>
    </cfRule>
  </conditionalFormatting>
  <conditionalFormatting sqref="G4:G479">
    <cfRule type="cellIs" dxfId="193" priority="327" operator="equal">
      <formula>"Due"</formula>
    </cfRule>
  </conditionalFormatting>
  <conditionalFormatting sqref="G4:G479">
    <cfRule type="cellIs" dxfId="192" priority="328" operator="equal">
      <formula>"Due"</formula>
    </cfRule>
  </conditionalFormatting>
  <conditionalFormatting sqref="G4:G479">
    <cfRule type="cellIs" dxfId="191" priority="329" operator="equal">
      <formula>"Due"</formula>
    </cfRule>
  </conditionalFormatting>
  <conditionalFormatting sqref="G4:G479">
    <cfRule type="cellIs" dxfId="190" priority="330" operator="equal">
      <formula>"Due"</formula>
    </cfRule>
  </conditionalFormatting>
  <conditionalFormatting sqref="G4:G479">
    <cfRule type="cellIs" dxfId="189" priority="331" operator="equal">
      <formula>"Due"</formula>
    </cfRule>
  </conditionalFormatting>
  <conditionalFormatting sqref="G4:G479">
    <cfRule type="cellIs" dxfId="188" priority="332" operator="equal">
      <formula>"Due"</formula>
    </cfRule>
  </conditionalFormatting>
  <conditionalFormatting sqref="G4:G479">
    <cfRule type="cellIs" dxfId="187" priority="333" operator="equal">
      <formula>"Due"</formula>
    </cfRule>
  </conditionalFormatting>
  <conditionalFormatting sqref="G4:G479">
    <cfRule type="cellIs" dxfId="186" priority="334" operator="equal">
      <formula>"Due"</formula>
    </cfRule>
  </conditionalFormatting>
  <conditionalFormatting sqref="G4:G479">
    <cfRule type="cellIs" dxfId="185" priority="335" operator="equal">
      <formula>"Due"</formula>
    </cfRule>
  </conditionalFormatting>
  <conditionalFormatting sqref="G4:G479">
    <cfRule type="cellIs" dxfId="184" priority="336" operator="equal">
      <formula>"Due"</formula>
    </cfRule>
  </conditionalFormatting>
  <conditionalFormatting sqref="G4:G479">
    <cfRule type="cellIs" dxfId="183" priority="337" operator="equal">
      <formula>"Due"</formula>
    </cfRule>
  </conditionalFormatting>
  <conditionalFormatting sqref="G4:G479">
    <cfRule type="cellIs" dxfId="182" priority="338" operator="equal">
      <formula>"Due"</formula>
    </cfRule>
  </conditionalFormatting>
  <conditionalFormatting sqref="G4:G479">
    <cfRule type="cellIs" dxfId="181" priority="339" operator="equal">
      <formula>"Due"</formula>
    </cfRule>
  </conditionalFormatting>
  <conditionalFormatting sqref="G4:G479">
    <cfRule type="cellIs" dxfId="180" priority="340" operator="equal">
      <formula>"Due"</formula>
    </cfRule>
  </conditionalFormatting>
  <conditionalFormatting sqref="G4:G479">
    <cfRule type="cellIs" dxfId="179" priority="341" operator="equal">
      <formula>"Due"</formula>
    </cfRule>
  </conditionalFormatting>
  <conditionalFormatting sqref="G4:G479">
    <cfRule type="cellIs" dxfId="178" priority="342" operator="equal">
      <formula>"Due"</formula>
    </cfRule>
  </conditionalFormatting>
  <conditionalFormatting sqref="G4:G479">
    <cfRule type="cellIs" dxfId="177" priority="343" operator="equal">
      <formula>"Due"</formula>
    </cfRule>
  </conditionalFormatting>
  <conditionalFormatting sqref="G4:G479">
    <cfRule type="cellIs" dxfId="176" priority="344" operator="equal">
      <formula>"Due"</formula>
    </cfRule>
  </conditionalFormatting>
  <conditionalFormatting sqref="G4:G479">
    <cfRule type="cellIs" dxfId="175" priority="345" operator="equal">
      <formula>"Due"</formula>
    </cfRule>
  </conditionalFormatting>
  <conditionalFormatting sqref="G4:G479">
    <cfRule type="cellIs" dxfId="174" priority="346" operator="equal">
      <formula>"Due"</formula>
    </cfRule>
  </conditionalFormatting>
  <conditionalFormatting sqref="G4:G479">
    <cfRule type="cellIs" dxfId="173" priority="347" operator="equal">
      <formula>"Due"</formula>
    </cfRule>
  </conditionalFormatting>
  <conditionalFormatting sqref="G4:G479">
    <cfRule type="cellIs" dxfId="172" priority="348" operator="equal">
      <formula>"Due"</formula>
    </cfRule>
  </conditionalFormatting>
  <conditionalFormatting sqref="G4:G479">
    <cfRule type="cellIs" dxfId="171" priority="349" operator="equal">
      <formula>"Due"</formula>
    </cfRule>
  </conditionalFormatting>
  <conditionalFormatting sqref="G4:G479">
    <cfRule type="cellIs" dxfId="170" priority="350" operator="equal">
      <formula>"Due"</formula>
    </cfRule>
  </conditionalFormatting>
  <conditionalFormatting sqref="G4:G479">
    <cfRule type="cellIs" dxfId="169" priority="351" operator="equal">
      <formula>"Due"</formula>
    </cfRule>
  </conditionalFormatting>
  <conditionalFormatting sqref="G4:G479">
    <cfRule type="cellIs" dxfId="168" priority="352" operator="equal">
      <formula>"Due"</formula>
    </cfRule>
  </conditionalFormatting>
  <conditionalFormatting sqref="G4:G479">
    <cfRule type="cellIs" dxfId="167" priority="353" operator="equal">
      <formula>"Due"</formula>
    </cfRule>
  </conditionalFormatting>
  <conditionalFormatting sqref="G4:G479">
    <cfRule type="cellIs" dxfId="166" priority="354" operator="equal">
      <formula>"Due"</formula>
    </cfRule>
  </conditionalFormatting>
  <conditionalFormatting sqref="G4:G479">
    <cfRule type="cellIs" dxfId="165" priority="355" operator="equal">
      <formula>"Due"</formula>
    </cfRule>
  </conditionalFormatting>
  <conditionalFormatting sqref="G4:G479">
    <cfRule type="cellIs" dxfId="164" priority="356" operator="equal">
      <formula>"Due"</formula>
    </cfRule>
  </conditionalFormatting>
  <conditionalFormatting sqref="G4:G479">
    <cfRule type="cellIs" dxfId="163" priority="357" operator="equal">
      <formula>"Due"</formula>
    </cfRule>
  </conditionalFormatting>
  <conditionalFormatting sqref="G4:G479">
    <cfRule type="cellIs" dxfId="162" priority="358" operator="equal">
      <formula>"Due"</formula>
    </cfRule>
  </conditionalFormatting>
  <conditionalFormatting sqref="G4:G479">
    <cfRule type="cellIs" dxfId="161" priority="359" operator="equal">
      <formula>"Due"</formula>
    </cfRule>
  </conditionalFormatting>
  <conditionalFormatting sqref="G4:G479">
    <cfRule type="cellIs" dxfId="160" priority="360" operator="equal">
      <formula>"Due"</formula>
    </cfRule>
  </conditionalFormatting>
  <conditionalFormatting sqref="G4:G479">
    <cfRule type="cellIs" dxfId="159" priority="361" operator="equal">
      <formula>"Due"</formula>
    </cfRule>
  </conditionalFormatting>
  <conditionalFormatting sqref="G4:G479">
    <cfRule type="cellIs" dxfId="158" priority="362" operator="equal">
      <formula>"Due"</formula>
    </cfRule>
  </conditionalFormatting>
  <conditionalFormatting sqref="G4:G479">
    <cfRule type="cellIs" dxfId="157" priority="363" operator="equal">
      <formula>"Due"</formula>
    </cfRule>
  </conditionalFormatting>
  <conditionalFormatting sqref="G4:G479">
    <cfRule type="cellIs" dxfId="156" priority="364" operator="equal">
      <formula>"Due"</formula>
    </cfRule>
  </conditionalFormatting>
  <conditionalFormatting sqref="G4:G479">
    <cfRule type="cellIs" dxfId="155" priority="365" operator="equal">
      <formula>"Due"</formula>
    </cfRule>
  </conditionalFormatting>
  <conditionalFormatting sqref="G4:G479">
    <cfRule type="cellIs" dxfId="154" priority="366" operator="equal">
      <formula>"Due"</formula>
    </cfRule>
  </conditionalFormatting>
  <conditionalFormatting sqref="G4:G479">
    <cfRule type="cellIs" dxfId="153" priority="367" operator="equal">
      <formula>"Due"</formula>
    </cfRule>
  </conditionalFormatting>
  <conditionalFormatting sqref="G4:G479">
    <cfRule type="cellIs" dxfId="152" priority="368" operator="equal">
      <formula>"Due"</formula>
    </cfRule>
  </conditionalFormatting>
  <conditionalFormatting sqref="G4:G479">
    <cfRule type="cellIs" dxfId="151" priority="369" operator="equal">
      <formula>"Due"</formula>
    </cfRule>
  </conditionalFormatting>
  <conditionalFormatting sqref="G4:G479">
    <cfRule type="cellIs" dxfId="150" priority="370" operator="equal">
      <formula>"Due"</formula>
    </cfRule>
  </conditionalFormatting>
  <conditionalFormatting sqref="G4:G479">
    <cfRule type="cellIs" dxfId="149" priority="371" operator="equal">
      <formula>"Due"</formula>
    </cfRule>
  </conditionalFormatting>
  <conditionalFormatting sqref="G4:G479">
    <cfRule type="cellIs" dxfId="148" priority="372" operator="equal">
      <formula>"Due"</formula>
    </cfRule>
  </conditionalFormatting>
  <conditionalFormatting sqref="G4:G479">
    <cfRule type="cellIs" dxfId="147" priority="373" operator="equal">
      <formula>"Due"</formula>
    </cfRule>
  </conditionalFormatting>
  <conditionalFormatting sqref="G4:G479">
    <cfRule type="cellIs" dxfId="146" priority="374" operator="equal">
      <formula>"Due"</formula>
    </cfRule>
  </conditionalFormatting>
  <conditionalFormatting sqref="G4:G479">
    <cfRule type="cellIs" dxfId="145" priority="375" operator="equal">
      <formula>"Due"</formula>
    </cfRule>
  </conditionalFormatting>
  <conditionalFormatting sqref="G4:G479">
    <cfRule type="cellIs" dxfId="144" priority="376" operator="equal">
      <formula>"Due"</formula>
    </cfRule>
  </conditionalFormatting>
  <conditionalFormatting sqref="G4:G479">
    <cfRule type="cellIs" dxfId="143" priority="377" operator="equal">
      <formula>"Due"</formula>
    </cfRule>
  </conditionalFormatting>
  <conditionalFormatting sqref="G4:G479">
    <cfRule type="cellIs" dxfId="142" priority="378" operator="equal">
      <formula>"Due"</formula>
    </cfRule>
  </conditionalFormatting>
  <conditionalFormatting sqref="G4:G479">
    <cfRule type="cellIs" dxfId="141" priority="379" operator="equal">
      <formula>"Due"</formula>
    </cfRule>
  </conditionalFormatting>
  <conditionalFormatting sqref="G4:G479">
    <cfRule type="cellIs" dxfId="140" priority="380" operator="equal">
      <formula>"Due"</formula>
    </cfRule>
  </conditionalFormatting>
  <conditionalFormatting sqref="G4:G479">
    <cfRule type="cellIs" dxfId="139" priority="381" operator="equal">
      <formula>"Due"</formula>
    </cfRule>
  </conditionalFormatting>
  <conditionalFormatting sqref="G4:G479">
    <cfRule type="cellIs" dxfId="138" priority="382" operator="equal">
      <formula>"Due"</formula>
    </cfRule>
  </conditionalFormatting>
  <conditionalFormatting sqref="G4:G479">
    <cfRule type="cellIs" dxfId="137" priority="383" operator="equal">
      <formula>"Due"</formula>
    </cfRule>
  </conditionalFormatting>
  <conditionalFormatting sqref="G4:G479">
    <cfRule type="cellIs" dxfId="136" priority="384" operator="equal">
      <formula>"Due"</formula>
    </cfRule>
  </conditionalFormatting>
  <conditionalFormatting sqref="G4:G479">
    <cfRule type="cellIs" dxfId="135" priority="385" operator="equal">
      <formula>"Due"</formula>
    </cfRule>
  </conditionalFormatting>
  <conditionalFormatting sqref="G4:G479">
    <cfRule type="cellIs" dxfId="134" priority="386" operator="equal">
      <formula>"Due"</formula>
    </cfRule>
  </conditionalFormatting>
  <conditionalFormatting sqref="G4:G479">
    <cfRule type="cellIs" dxfId="133" priority="387" operator="equal">
      <formula>"Due"</formula>
    </cfRule>
  </conditionalFormatting>
  <conditionalFormatting sqref="G4:G479">
    <cfRule type="cellIs" dxfId="132" priority="388" operator="equal">
      <formula>"Due"</formula>
    </cfRule>
  </conditionalFormatting>
  <conditionalFormatting sqref="G4:G479">
    <cfRule type="cellIs" dxfId="131" priority="389" operator="equal">
      <formula>"Due"</formula>
    </cfRule>
  </conditionalFormatting>
  <conditionalFormatting sqref="G4:G479">
    <cfRule type="cellIs" dxfId="130" priority="390" operator="equal">
      <formula>"Due"</formula>
    </cfRule>
  </conditionalFormatting>
  <conditionalFormatting sqref="G4:G479">
    <cfRule type="cellIs" dxfId="129" priority="391" operator="equal">
      <formula>"Due"</formula>
    </cfRule>
  </conditionalFormatting>
  <conditionalFormatting sqref="G4:G479">
    <cfRule type="cellIs" dxfId="128" priority="392" operator="equal">
      <formula>"Due"</formula>
    </cfRule>
  </conditionalFormatting>
  <conditionalFormatting sqref="G4:G479">
    <cfRule type="cellIs" dxfId="127" priority="393" operator="equal">
      <formula>"Due"</formula>
    </cfRule>
  </conditionalFormatting>
  <conditionalFormatting sqref="G4:G479">
    <cfRule type="cellIs" dxfId="126" priority="394" operator="equal">
      <formula>"Due"</formula>
    </cfRule>
  </conditionalFormatting>
  <conditionalFormatting sqref="G4:G479">
    <cfRule type="cellIs" dxfId="125" priority="395" operator="equal">
      <formula>"Due"</formula>
    </cfRule>
  </conditionalFormatting>
  <conditionalFormatting sqref="G4:G479">
    <cfRule type="cellIs" dxfId="124" priority="396" operator="equal">
      <formula>"Due"</formula>
    </cfRule>
  </conditionalFormatting>
  <conditionalFormatting sqref="G4:G479">
    <cfRule type="cellIs" dxfId="123" priority="397" operator="equal">
      <formula>"Due"</formula>
    </cfRule>
  </conditionalFormatting>
  <conditionalFormatting sqref="G4:G479">
    <cfRule type="cellIs" dxfId="122" priority="398" operator="equal">
      <formula>"Due"</formula>
    </cfRule>
  </conditionalFormatting>
  <conditionalFormatting sqref="G4:G479">
    <cfRule type="cellIs" dxfId="121" priority="399" operator="equal">
      <formula>"Due"</formula>
    </cfRule>
  </conditionalFormatting>
  <conditionalFormatting sqref="G4:G479">
    <cfRule type="cellIs" dxfId="120" priority="400" operator="equal">
      <formula>"Due"</formula>
    </cfRule>
  </conditionalFormatting>
  <conditionalFormatting sqref="G4:G479">
    <cfRule type="cellIs" dxfId="119" priority="401" operator="equal">
      <formula>"Due"</formula>
    </cfRule>
  </conditionalFormatting>
  <conditionalFormatting sqref="G4:G479">
    <cfRule type="cellIs" dxfId="118" priority="402" operator="equal">
      <formula>"Due"</formula>
    </cfRule>
  </conditionalFormatting>
  <conditionalFormatting sqref="G4:G479">
    <cfRule type="cellIs" dxfId="117" priority="403" operator="equal">
      <formula>"Due"</formula>
    </cfRule>
  </conditionalFormatting>
  <conditionalFormatting sqref="G4:G479">
    <cfRule type="cellIs" dxfId="116" priority="404" operator="equal">
      <formula>"Due"</formula>
    </cfRule>
  </conditionalFormatting>
  <conditionalFormatting sqref="G4:G479">
    <cfRule type="cellIs" dxfId="115" priority="405" operator="equal">
      <formula>"Due"</formula>
    </cfRule>
  </conditionalFormatting>
  <conditionalFormatting sqref="G4:G479">
    <cfRule type="cellIs" dxfId="114" priority="406" operator="equal">
      <formula>"Due"</formula>
    </cfRule>
  </conditionalFormatting>
  <conditionalFormatting sqref="G4:G479">
    <cfRule type="cellIs" dxfId="113" priority="407" operator="equal">
      <formula>"Due"</formula>
    </cfRule>
  </conditionalFormatting>
  <conditionalFormatting sqref="G4:G479">
    <cfRule type="cellIs" dxfId="112" priority="408" operator="equal">
      <formula>"Due"</formula>
    </cfRule>
  </conditionalFormatting>
  <conditionalFormatting sqref="G4:G479">
    <cfRule type="cellIs" dxfId="111" priority="409" operator="equal">
      <formula>"Due"</formula>
    </cfRule>
  </conditionalFormatting>
  <conditionalFormatting sqref="G4:G479">
    <cfRule type="cellIs" dxfId="110" priority="410" operator="equal">
      <formula>"Due"</formula>
    </cfRule>
  </conditionalFormatting>
  <conditionalFormatting sqref="G4:G479">
    <cfRule type="cellIs" dxfId="109" priority="411" operator="equal">
      <formula>"Due"</formula>
    </cfRule>
  </conditionalFormatting>
  <conditionalFormatting sqref="G4:G479">
    <cfRule type="cellIs" dxfId="108" priority="412" operator="equal">
      <formula>"Due"</formula>
    </cfRule>
  </conditionalFormatting>
  <conditionalFormatting sqref="G4:G479">
    <cfRule type="cellIs" dxfId="107" priority="413" operator="equal">
      <formula>"Due"</formula>
    </cfRule>
  </conditionalFormatting>
  <conditionalFormatting sqref="G4:G479">
    <cfRule type="cellIs" dxfId="106" priority="414" operator="equal">
      <formula>"Due"</formula>
    </cfRule>
  </conditionalFormatting>
  <conditionalFormatting sqref="G4:G479">
    <cfRule type="cellIs" dxfId="105" priority="415" operator="equal">
      <formula>"Due"</formula>
    </cfRule>
  </conditionalFormatting>
  <conditionalFormatting sqref="G4:G479">
    <cfRule type="cellIs" dxfId="104" priority="416" operator="equal">
      <formula>"Due"</formula>
    </cfRule>
  </conditionalFormatting>
  <conditionalFormatting sqref="G4:G479">
    <cfRule type="cellIs" dxfId="103" priority="417" operator="equal">
      <formula>"Due"</formula>
    </cfRule>
  </conditionalFormatting>
  <conditionalFormatting sqref="G4:G479">
    <cfRule type="cellIs" dxfId="102" priority="418" operator="equal">
      <formula>"Due"</formula>
    </cfRule>
  </conditionalFormatting>
  <conditionalFormatting sqref="G4:G479">
    <cfRule type="cellIs" dxfId="101" priority="419" operator="equal">
      <formula>"Due"</formula>
    </cfRule>
  </conditionalFormatting>
  <conditionalFormatting sqref="G4:G479">
    <cfRule type="cellIs" dxfId="100" priority="420" operator="equal">
      <formula>"Due"</formula>
    </cfRule>
  </conditionalFormatting>
  <conditionalFormatting sqref="G4:G479">
    <cfRule type="cellIs" dxfId="99" priority="421" operator="equal">
      <formula>"Due"</formula>
    </cfRule>
  </conditionalFormatting>
  <conditionalFormatting sqref="G4:G479">
    <cfRule type="cellIs" dxfId="98" priority="422" operator="equal">
      <formula>"Due"</formula>
    </cfRule>
  </conditionalFormatting>
  <conditionalFormatting sqref="G4:G479">
    <cfRule type="cellIs" dxfId="97" priority="423" operator="equal">
      <formula>"Due"</formula>
    </cfRule>
  </conditionalFormatting>
  <conditionalFormatting sqref="G4:G479">
    <cfRule type="cellIs" dxfId="96" priority="424" operator="equal">
      <formula>"Due"</formula>
    </cfRule>
  </conditionalFormatting>
  <conditionalFormatting sqref="G4:G479">
    <cfRule type="cellIs" dxfId="95" priority="425" operator="equal">
      <formula>"Due"</formula>
    </cfRule>
  </conditionalFormatting>
  <conditionalFormatting sqref="G4:G479">
    <cfRule type="cellIs" dxfId="94" priority="426" operator="equal">
      <formula>"Due"</formula>
    </cfRule>
  </conditionalFormatting>
  <conditionalFormatting sqref="G4:G479">
    <cfRule type="cellIs" dxfId="93" priority="427" operator="equal">
      <formula>"Due"</formula>
    </cfRule>
  </conditionalFormatting>
  <conditionalFormatting sqref="G4:G479">
    <cfRule type="cellIs" dxfId="92" priority="428" operator="equal">
      <formula>"Due"</formula>
    </cfRule>
  </conditionalFormatting>
  <conditionalFormatting sqref="G4:G479">
    <cfRule type="cellIs" dxfId="91" priority="429" operator="equal">
      <formula>"Due"</formula>
    </cfRule>
  </conditionalFormatting>
  <conditionalFormatting sqref="G4:G479">
    <cfRule type="cellIs" dxfId="90" priority="430" operator="equal">
      <formula>"Due"</formula>
    </cfRule>
  </conditionalFormatting>
  <conditionalFormatting sqref="G4:G479">
    <cfRule type="cellIs" dxfId="89" priority="431" operator="equal">
      <formula>"Due"</formula>
    </cfRule>
  </conditionalFormatting>
  <conditionalFormatting sqref="G4:G479">
    <cfRule type="cellIs" dxfId="88" priority="432" operator="equal">
      <formula>"Due"</formula>
    </cfRule>
  </conditionalFormatting>
  <conditionalFormatting sqref="G4:G479">
    <cfRule type="cellIs" dxfId="87" priority="433" operator="equal">
      <formula>"Due"</formula>
    </cfRule>
  </conditionalFormatting>
  <conditionalFormatting sqref="G4:G479">
    <cfRule type="cellIs" dxfId="86" priority="434" operator="equal">
      <formula>"Due"</formula>
    </cfRule>
  </conditionalFormatting>
  <conditionalFormatting sqref="G4:G479">
    <cfRule type="cellIs" dxfId="85" priority="435" operator="equal">
      <formula>"Due"</formula>
    </cfRule>
  </conditionalFormatting>
  <conditionalFormatting sqref="G4:G479">
    <cfRule type="cellIs" dxfId="84" priority="436" operator="equal">
      <formula>"Due"</formula>
    </cfRule>
  </conditionalFormatting>
  <conditionalFormatting sqref="G4:G479">
    <cfRule type="cellIs" dxfId="83" priority="437" operator="equal">
      <formula>"Due"</formula>
    </cfRule>
  </conditionalFormatting>
  <conditionalFormatting sqref="G4:G479">
    <cfRule type="cellIs" dxfId="82" priority="438" operator="equal">
      <formula>"Due"</formula>
    </cfRule>
  </conditionalFormatting>
  <conditionalFormatting sqref="G4:G479">
    <cfRule type="cellIs" dxfId="81" priority="439" operator="equal">
      <formula>"Due"</formula>
    </cfRule>
  </conditionalFormatting>
  <conditionalFormatting sqref="G4:G479">
    <cfRule type="cellIs" dxfId="80" priority="440" operator="equal">
      <formula>"Due"</formula>
    </cfRule>
  </conditionalFormatting>
  <conditionalFormatting sqref="G4:G479">
    <cfRule type="cellIs" dxfId="79" priority="441" operator="equal">
      <formula>"Due"</formula>
    </cfRule>
  </conditionalFormatting>
  <conditionalFormatting sqref="G4:G479">
    <cfRule type="cellIs" dxfId="78" priority="442" operator="equal">
      <formula>"Due"</formula>
    </cfRule>
  </conditionalFormatting>
  <conditionalFormatting sqref="G4:G479">
    <cfRule type="cellIs" dxfId="77" priority="443" operator="equal">
      <formula>"Due"</formula>
    </cfRule>
  </conditionalFormatting>
  <conditionalFormatting sqref="G4:G479">
    <cfRule type="cellIs" dxfId="76" priority="444" operator="equal">
      <formula>"Due"</formula>
    </cfRule>
  </conditionalFormatting>
  <conditionalFormatting sqref="G4:G479">
    <cfRule type="cellIs" dxfId="75" priority="445" operator="equal">
      <formula>"Due"</formula>
    </cfRule>
  </conditionalFormatting>
  <conditionalFormatting sqref="G4:G479">
    <cfRule type="cellIs" dxfId="74" priority="446" operator="equal">
      <formula>"Due"</formula>
    </cfRule>
  </conditionalFormatting>
  <conditionalFormatting sqref="G4:G479">
    <cfRule type="cellIs" dxfId="73" priority="447" operator="equal">
      <formula>"Due"</formula>
    </cfRule>
  </conditionalFormatting>
  <conditionalFormatting sqref="G4:G479">
    <cfRule type="cellIs" dxfId="72" priority="448" operator="equal">
      <formula>"Due"</formula>
    </cfRule>
  </conditionalFormatting>
  <conditionalFormatting sqref="G4:G479">
    <cfRule type="cellIs" dxfId="71" priority="449" operator="equal">
      <formula>"Due"</formula>
    </cfRule>
  </conditionalFormatting>
  <conditionalFormatting sqref="G4:G479">
    <cfRule type="cellIs" dxfId="70" priority="450" operator="equal">
      <formula>"Due"</formula>
    </cfRule>
  </conditionalFormatting>
  <conditionalFormatting sqref="G4:G479">
    <cfRule type="cellIs" dxfId="69" priority="451" operator="equal">
      <formula>"Due"</formula>
    </cfRule>
  </conditionalFormatting>
  <conditionalFormatting sqref="G4:G479">
    <cfRule type="cellIs" dxfId="68" priority="452" operator="equal">
      <formula>"Due"</formula>
    </cfRule>
  </conditionalFormatting>
  <conditionalFormatting sqref="G4:G479">
    <cfRule type="cellIs" dxfId="67" priority="453" operator="equal">
      <formula>"Due"</formula>
    </cfRule>
  </conditionalFormatting>
  <conditionalFormatting sqref="G4:G479">
    <cfRule type="cellIs" dxfId="66" priority="454" operator="equal">
      <formula>"Due"</formula>
    </cfRule>
  </conditionalFormatting>
  <conditionalFormatting sqref="G4:G479">
    <cfRule type="cellIs" dxfId="65" priority="455" operator="equal">
      <formula>"Due"</formula>
    </cfRule>
  </conditionalFormatting>
  <conditionalFormatting sqref="G4:G479">
    <cfRule type="cellIs" dxfId="64" priority="456" operator="equal">
      <formula>"Due"</formula>
    </cfRule>
  </conditionalFormatting>
  <conditionalFormatting sqref="G4:G479">
    <cfRule type="cellIs" dxfId="63" priority="457" operator="equal">
      <formula>"Due"</formula>
    </cfRule>
  </conditionalFormatting>
  <conditionalFormatting sqref="G4:G479">
    <cfRule type="cellIs" dxfId="62" priority="458" operator="equal">
      <formula>"Due"</formula>
    </cfRule>
  </conditionalFormatting>
  <conditionalFormatting sqref="G4:G479">
    <cfRule type="cellIs" dxfId="61" priority="459" operator="equal">
      <formula>"Due"</formula>
    </cfRule>
  </conditionalFormatting>
  <conditionalFormatting sqref="G4:G479">
    <cfRule type="cellIs" dxfId="60" priority="460" operator="equal">
      <formula>"Due"</formula>
    </cfRule>
  </conditionalFormatting>
  <conditionalFormatting sqref="G4:G479">
    <cfRule type="cellIs" dxfId="59" priority="461" operator="equal">
      <formula>"Due"</formula>
    </cfRule>
  </conditionalFormatting>
  <conditionalFormatting sqref="G4:G479">
    <cfRule type="cellIs" dxfId="58" priority="462" operator="equal">
      <formula>"Due"</formula>
    </cfRule>
  </conditionalFormatting>
  <conditionalFormatting sqref="G4:G479">
    <cfRule type="cellIs" dxfId="57" priority="463" operator="equal">
      <formula>"Due"</formula>
    </cfRule>
  </conditionalFormatting>
  <conditionalFormatting sqref="G4:G479">
    <cfRule type="cellIs" dxfId="56" priority="464" operator="equal">
      <formula>"Due"</formula>
    </cfRule>
  </conditionalFormatting>
  <conditionalFormatting sqref="G4:G479">
    <cfRule type="cellIs" dxfId="55" priority="465" operator="equal">
      <formula>"Due"</formula>
    </cfRule>
  </conditionalFormatting>
  <conditionalFormatting sqref="G4:G479">
    <cfRule type="cellIs" dxfId="54" priority="466" operator="equal">
      <formula>"Due"</formula>
    </cfRule>
  </conditionalFormatting>
  <conditionalFormatting sqref="G4:G479">
    <cfRule type="cellIs" dxfId="53" priority="467" operator="equal">
      <formula>"Due"</formula>
    </cfRule>
  </conditionalFormatting>
  <conditionalFormatting sqref="G4:G479">
    <cfRule type="cellIs" dxfId="52" priority="468" operator="equal">
      <formula>"Due"</formula>
    </cfRule>
  </conditionalFormatting>
  <conditionalFormatting sqref="G4:G479">
    <cfRule type="cellIs" dxfId="51" priority="469" operator="equal">
      <formula>"Due"</formula>
    </cfRule>
  </conditionalFormatting>
  <conditionalFormatting sqref="G4:G479">
    <cfRule type="cellIs" dxfId="50" priority="470" operator="equal">
      <formula>"Due"</formula>
    </cfRule>
  </conditionalFormatting>
  <conditionalFormatting sqref="G4:G479">
    <cfRule type="cellIs" dxfId="49" priority="471" operator="equal">
      <formula>"Due"</formula>
    </cfRule>
  </conditionalFormatting>
  <conditionalFormatting sqref="G4:G479">
    <cfRule type="cellIs" dxfId="48" priority="472" operator="equal">
      <formula>"Due"</formula>
    </cfRule>
  </conditionalFormatting>
  <conditionalFormatting sqref="G4:G479">
    <cfRule type="cellIs" dxfId="47" priority="473" operator="equal">
      <formula>"Due"</formula>
    </cfRule>
  </conditionalFormatting>
  <conditionalFormatting sqref="G4:G479">
    <cfRule type="cellIs" dxfId="46" priority="474" operator="equal">
      <formula>"Due"</formula>
    </cfRule>
  </conditionalFormatting>
  <conditionalFormatting sqref="G4:G479">
    <cfRule type="cellIs" dxfId="45" priority="475" operator="equal">
      <formula>"Due"</formula>
    </cfRule>
  </conditionalFormatting>
  <conditionalFormatting sqref="G4:G479">
    <cfRule type="cellIs" dxfId="44" priority="476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ColWidth="14.42578125" defaultRowHeight="15" customHeight="1"/>
  <cols>
    <col min="1" max="7" width="24.7109375" customWidth="1"/>
    <col min="8" max="11" width="8.7109375" customWidth="1"/>
  </cols>
  <sheetData>
    <row r="1" spans="1:7" ht="30" customHeight="1">
      <c r="A1" s="14" t="s">
        <v>8</v>
      </c>
    </row>
    <row r="3" spans="1:7" ht="24.75" customHeight="1">
      <c r="A3" s="15" t="s">
        <v>9</v>
      </c>
      <c r="B3" s="15" t="s">
        <v>10</v>
      </c>
      <c r="C3" s="15" t="s">
        <v>11</v>
      </c>
      <c r="D3" s="15" t="s">
        <v>12</v>
      </c>
      <c r="E3" s="15" t="s">
        <v>1145</v>
      </c>
      <c r="F3" s="15" t="s">
        <v>1146</v>
      </c>
      <c r="G3" s="15" t="s">
        <v>15</v>
      </c>
    </row>
    <row r="4" spans="1:7">
      <c r="A4" t="s">
        <v>768</v>
      </c>
      <c r="B4" t="s">
        <v>769</v>
      </c>
      <c r="C4" t="s">
        <v>770</v>
      </c>
      <c r="D4" t="s">
        <v>35</v>
      </c>
      <c r="F4" s="10" t="str">
        <f t="shared" ref="F4:F47" si="0">IF(ISBLANK(E4), "", EDATE(E4, 24))</f>
        <v/>
      </c>
      <c r="G4" t="e">
        <f t="shared" ref="G4:G47" ca="1" si="1">IF(ISBLANK(F4), "", IF(TODAY()&gt;=EDATE(F4, -1), "Due", "Valid"))</f>
        <v>#VALUE!</v>
      </c>
    </row>
    <row r="5" spans="1:7">
      <c r="A5" t="s">
        <v>771</v>
      </c>
      <c r="B5" t="s">
        <v>772</v>
      </c>
      <c r="C5" t="s">
        <v>773</v>
      </c>
      <c r="D5" t="s">
        <v>35</v>
      </c>
      <c r="F5" s="10" t="str">
        <f t="shared" si="0"/>
        <v/>
      </c>
      <c r="G5" t="e">
        <f t="shared" ca="1" si="1"/>
        <v>#VALUE!</v>
      </c>
    </row>
    <row r="6" spans="1:7">
      <c r="A6" t="s">
        <v>774</v>
      </c>
      <c r="B6" t="s">
        <v>775</v>
      </c>
      <c r="C6" t="s">
        <v>770</v>
      </c>
      <c r="D6" t="s">
        <v>35</v>
      </c>
      <c r="F6" s="10" t="str">
        <f t="shared" si="0"/>
        <v/>
      </c>
      <c r="G6" t="e">
        <f t="shared" ca="1" si="1"/>
        <v>#VALUE!</v>
      </c>
    </row>
    <row r="7" spans="1:7">
      <c r="A7" t="s">
        <v>913</v>
      </c>
      <c r="B7" t="s">
        <v>914</v>
      </c>
      <c r="C7" t="s">
        <v>915</v>
      </c>
      <c r="D7" t="s">
        <v>159</v>
      </c>
      <c r="F7" s="10" t="str">
        <f t="shared" si="0"/>
        <v/>
      </c>
      <c r="G7" t="e">
        <f t="shared" ca="1" si="1"/>
        <v>#VALUE!</v>
      </c>
    </row>
    <row r="8" spans="1:7">
      <c r="A8" t="s">
        <v>916</v>
      </c>
      <c r="B8" t="s">
        <v>917</v>
      </c>
      <c r="C8" t="s">
        <v>918</v>
      </c>
      <c r="D8" t="s">
        <v>159</v>
      </c>
      <c r="F8" s="10" t="str">
        <f t="shared" si="0"/>
        <v/>
      </c>
      <c r="G8" t="e">
        <f t="shared" ca="1" si="1"/>
        <v>#VALUE!</v>
      </c>
    </row>
    <row r="9" spans="1:7">
      <c r="A9" t="s">
        <v>919</v>
      </c>
      <c r="B9" t="s">
        <v>920</v>
      </c>
      <c r="C9" t="s">
        <v>921</v>
      </c>
      <c r="D9" t="s">
        <v>159</v>
      </c>
      <c r="F9" s="10" t="str">
        <f t="shared" si="0"/>
        <v/>
      </c>
      <c r="G9" t="e">
        <f t="shared" ca="1" si="1"/>
        <v>#VALUE!</v>
      </c>
    </row>
    <row r="10" spans="1:7">
      <c r="A10" t="s">
        <v>922</v>
      </c>
      <c r="B10" t="s">
        <v>923</v>
      </c>
      <c r="C10" t="s">
        <v>924</v>
      </c>
      <c r="D10" t="s">
        <v>159</v>
      </c>
      <c r="F10" s="10" t="str">
        <f t="shared" si="0"/>
        <v/>
      </c>
      <c r="G10" t="e">
        <f t="shared" ca="1" si="1"/>
        <v>#VALUE!</v>
      </c>
    </row>
    <row r="11" spans="1:7">
      <c r="A11" t="s">
        <v>925</v>
      </c>
      <c r="B11" t="s">
        <v>926</v>
      </c>
      <c r="C11" t="s">
        <v>927</v>
      </c>
      <c r="D11" t="s">
        <v>159</v>
      </c>
      <c r="F11" s="10" t="str">
        <f t="shared" si="0"/>
        <v/>
      </c>
      <c r="G11" t="e">
        <f t="shared" ca="1" si="1"/>
        <v>#VALUE!</v>
      </c>
    </row>
    <row r="12" spans="1:7">
      <c r="A12" t="s">
        <v>933</v>
      </c>
      <c r="B12" t="s">
        <v>934</v>
      </c>
      <c r="C12" t="s">
        <v>935</v>
      </c>
      <c r="D12" t="s">
        <v>159</v>
      </c>
      <c r="F12" s="10" t="str">
        <f t="shared" si="0"/>
        <v/>
      </c>
      <c r="G12" t="e">
        <f t="shared" ca="1" si="1"/>
        <v>#VALUE!</v>
      </c>
    </row>
    <row r="13" spans="1:7">
      <c r="A13" t="s">
        <v>938</v>
      </c>
      <c r="B13" t="s">
        <v>939</v>
      </c>
      <c r="C13" t="s">
        <v>927</v>
      </c>
      <c r="D13" t="s">
        <v>159</v>
      </c>
      <c r="F13" s="10" t="str">
        <f t="shared" si="0"/>
        <v/>
      </c>
      <c r="G13" t="e">
        <f t="shared" ca="1" si="1"/>
        <v>#VALUE!</v>
      </c>
    </row>
    <row r="14" spans="1:7">
      <c r="A14" t="s">
        <v>949</v>
      </c>
      <c r="B14" t="s">
        <v>950</v>
      </c>
      <c r="C14" t="s">
        <v>927</v>
      </c>
      <c r="D14" t="s">
        <v>159</v>
      </c>
      <c r="F14" s="10" t="str">
        <f t="shared" si="0"/>
        <v/>
      </c>
      <c r="G14" t="e">
        <f t="shared" ca="1" si="1"/>
        <v>#VALUE!</v>
      </c>
    </row>
    <row r="15" spans="1:7">
      <c r="A15" t="s">
        <v>958</v>
      </c>
      <c r="B15" t="s">
        <v>959</v>
      </c>
      <c r="C15" t="s">
        <v>960</v>
      </c>
      <c r="D15" t="s">
        <v>159</v>
      </c>
      <c r="F15" s="10" t="str">
        <f t="shared" si="0"/>
        <v/>
      </c>
      <c r="G15" t="e">
        <f t="shared" ca="1" si="1"/>
        <v>#VALUE!</v>
      </c>
    </row>
    <row r="16" spans="1:7">
      <c r="A16" t="s">
        <v>963</v>
      </c>
      <c r="B16" t="s">
        <v>964</v>
      </c>
      <c r="C16" t="s">
        <v>924</v>
      </c>
      <c r="D16" t="s">
        <v>159</v>
      </c>
      <c r="F16" s="10" t="str">
        <f t="shared" si="0"/>
        <v/>
      </c>
      <c r="G16" t="e">
        <f t="shared" ca="1" si="1"/>
        <v>#VALUE!</v>
      </c>
    </row>
    <row r="17" spans="1:7">
      <c r="A17" t="s">
        <v>1023</v>
      </c>
      <c r="B17" t="s">
        <v>1024</v>
      </c>
      <c r="C17" t="s">
        <v>1025</v>
      </c>
      <c r="D17" t="s">
        <v>432</v>
      </c>
      <c r="F17" s="10" t="str">
        <f t="shared" si="0"/>
        <v/>
      </c>
      <c r="G17" t="e">
        <f t="shared" ca="1" si="1"/>
        <v>#VALUE!</v>
      </c>
    </row>
    <row r="18" spans="1:7">
      <c r="A18" t="s">
        <v>1026</v>
      </c>
      <c r="B18" t="s">
        <v>1027</v>
      </c>
      <c r="C18" t="s">
        <v>1025</v>
      </c>
      <c r="D18" t="s">
        <v>432</v>
      </c>
      <c r="F18" s="10" t="str">
        <f t="shared" si="0"/>
        <v/>
      </c>
      <c r="G18" t="e">
        <f t="shared" ca="1" si="1"/>
        <v>#VALUE!</v>
      </c>
    </row>
    <row r="19" spans="1:7">
      <c r="A19" t="s">
        <v>1028</v>
      </c>
      <c r="B19" t="s">
        <v>1029</v>
      </c>
      <c r="C19" t="s">
        <v>1030</v>
      </c>
      <c r="D19" t="s">
        <v>432</v>
      </c>
      <c r="F19" s="10" t="str">
        <f t="shared" si="0"/>
        <v/>
      </c>
      <c r="G19" t="e">
        <f t="shared" ca="1" si="1"/>
        <v>#VALUE!</v>
      </c>
    </row>
    <row r="20" spans="1:7">
      <c r="A20" t="s">
        <v>1031</v>
      </c>
      <c r="B20" t="s">
        <v>1032</v>
      </c>
      <c r="C20" t="s">
        <v>1030</v>
      </c>
      <c r="D20" t="s">
        <v>432</v>
      </c>
      <c r="F20" s="10" t="str">
        <f t="shared" si="0"/>
        <v/>
      </c>
      <c r="G20" t="e">
        <f t="shared" ca="1" si="1"/>
        <v>#VALUE!</v>
      </c>
    </row>
    <row r="21" spans="1:7" ht="15.75" customHeight="1">
      <c r="A21" t="s">
        <v>1033</v>
      </c>
      <c r="B21" t="s">
        <v>1034</v>
      </c>
      <c r="C21" t="s">
        <v>921</v>
      </c>
      <c r="D21" t="s">
        <v>432</v>
      </c>
      <c r="F21" s="10" t="str">
        <f t="shared" si="0"/>
        <v/>
      </c>
      <c r="G21" t="e">
        <f t="shared" ca="1" si="1"/>
        <v>#VALUE!</v>
      </c>
    </row>
    <row r="22" spans="1:7" ht="15.75" customHeight="1">
      <c r="A22" t="s">
        <v>1035</v>
      </c>
      <c r="B22" t="s">
        <v>1036</v>
      </c>
      <c r="C22" t="s">
        <v>1037</v>
      </c>
      <c r="D22" t="s">
        <v>432</v>
      </c>
      <c r="F22" s="10" t="str">
        <f t="shared" si="0"/>
        <v/>
      </c>
      <c r="G22" t="e">
        <f t="shared" ca="1" si="1"/>
        <v>#VALUE!</v>
      </c>
    </row>
    <row r="23" spans="1:7" ht="15.75" customHeight="1">
      <c r="A23" t="s">
        <v>1038</v>
      </c>
      <c r="B23" t="s">
        <v>1039</v>
      </c>
      <c r="C23" t="s">
        <v>1040</v>
      </c>
      <c r="D23" t="s">
        <v>432</v>
      </c>
      <c r="F23" s="10" t="str">
        <f t="shared" si="0"/>
        <v/>
      </c>
      <c r="G23" t="e">
        <f t="shared" ca="1" si="1"/>
        <v>#VALUE!</v>
      </c>
    </row>
    <row r="24" spans="1:7" ht="15.75" customHeight="1">
      <c r="A24" t="s">
        <v>1041</v>
      </c>
      <c r="B24" t="s">
        <v>1042</v>
      </c>
      <c r="C24" t="s">
        <v>1043</v>
      </c>
      <c r="D24" t="s">
        <v>432</v>
      </c>
      <c r="F24" s="10" t="str">
        <f t="shared" si="0"/>
        <v/>
      </c>
      <c r="G24" t="e">
        <f t="shared" ca="1" si="1"/>
        <v>#VALUE!</v>
      </c>
    </row>
    <row r="25" spans="1:7" ht="15.75" customHeight="1">
      <c r="A25" t="s">
        <v>1044</v>
      </c>
      <c r="B25" t="s">
        <v>1045</v>
      </c>
      <c r="C25" t="s">
        <v>1043</v>
      </c>
      <c r="D25" t="s">
        <v>432</v>
      </c>
      <c r="F25" s="10" t="str">
        <f t="shared" si="0"/>
        <v/>
      </c>
      <c r="G25" t="e">
        <f t="shared" ca="1" si="1"/>
        <v>#VALUE!</v>
      </c>
    </row>
    <row r="26" spans="1:7" ht="15.75" customHeight="1">
      <c r="A26" t="s">
        <v>1046</v>
      </c>
      <c r="B26" t="s">
        <v>1047</v>
      </c>
      <c r="C26" t="s">
        <v>1048</v>
      </c>
      <c r="D26" t="s">
        <v>432</v>
      </c>
      <c r="F26" s="10" t="str">
        <f t="shared" si="0"/>
        <v/>
      </c>
      <c r="G26" t="e">
        <f t="shared" ca="1" si="1"/>
        <v>#VALUE!</v>
      </c>
    </row>
    <row r="27" spans="1:7" ht="15.75" customHeight="1">
      <c r="A27" t="s">
        <v>1049</v>
      </c>
      <c r="B27" t="s">
        <v>1050</v>
      </c>
      <c r="C27" t="s">
        <v>1048</v>
      </c>
      <c r="D27" t="s">
        <v>432</v>
      </c>
      <c r="F27" s="10" t="str">
        <f t="shared" si="0"/>
        <v/>
      </c>
      <c r="G27" t="e">
        <f t="shared" ca="1" si="1"/>
        <v>#VALUE!</v>
      </c>
    </row>
    <row r="28" spans="1:7" ht="15.75" customHeight="1">
      <c r="A28" t="s">
        <v>1051</v>
      </c>
      <c r="B28" t="s">
        <v>1052</v>
      </c>
      <c r="C28" t="s">
        <v>1048</v>
      </c>
      <c r="D28" t="s">
        <v>432</v>
      </c>
      <c r="F28" s="10" t="str">
        <f t="shared" si="0"/>
        <v/>
      </c>
      <c r="G28" t="e">
        <f t="shared" ca="1" si="1"/>
        <v>#VALUE!</v>
      </c>
    </row>
    <row r="29" spans="1:7" ht="15.75" customHeight="1">
      <c r="A29" t="s">
        <v>1053</v>
      </c>
      <c r="B29" t="s">
        <v>1054</v>
      </c>
      <c r="C29" t="s">
        <v>1048</v>
      </c>
      <c r="D29" t="s">
        <v>432</v>
      </c>
      <c r="F29" s="10" t="str">
        <f t="shared" si="0"/>
        <v/>
      </c>
      <c r="G29" t="e">
        <f t="shared" ca="1" si="1"/>
        <v>#VALUE!</v>
      </c>
    </row>
    <row r="30" spans="1:7" ht="15.75" customHeight="1">
      <c r="A30" t="s">
        <v>1055</v>
      </c>
      <c r="B30" t="s">
        <v>1056</v>
      </c>
      <c r="C30" t="s">
        <v>1057</v>
      </c>
      <c r="D30" t="s">
        <v>432</v>
      </c>
      <c r="F30" s="10" t="str">
        <f t="shared" si="0"/>
        <v/>
      </c>
      <c r="G30" t="e">
        <f t="shared" ca="1" si="1"/>
        <v>#VALUE!</v>
      </c>
    </row>
    <row r="31" spans="1:7" ht="15.75" customHeight="1">
      <c r="A31" t="s">
        <v>1058</v>
      </c>
      <c r="B31" t="s">
        <v>1059</v>
      </c>
      <c r="C31" t="s">
        <v>1057</v>
      </c>
      <c r="D31" t="s">
        <v>432</v>
      </c>
      <c r="F31" s="10" t="str">
        <f t="shared" si="0"/>
        <v/>
      </c>
      <c r="G31" t="e">
        <f t="shared" ca="1" si="1"/>
        <v>#VALUE!</v>
      </c>
    </row>
    <row r="32" spans="1:7" ht="15.75" customHeight="1">
      <c r="A32" t="s">
        <v>1060</v>
      </c>
      <c r="B32" t="s">
        <v>1061</v>
      </c>
      <c r="C32" t="s">
        <v>1057</v>
      </c>
      <c r="D32" t="s">
        <v>432</v>
      </c>
      <c r="F32" s="10" t="str">
        <f t="shared" si="0"/>
        <v/>
      </c>
      <c r="G32" t="e">
        <f t="shared" ca="1" si="1"/>
        <v>#VALUE!</v>
      </c>
    </row>
    <row r="33" spans="1:7" ht="15.75" customHeight="1">
      <c r="A33" t="s">
        <v>1062</v>
      </c>
      <c r="B33" t="s">
        <v>1063</v>
      </c>
      <c r="C33" t="s">
        <v>1057</v>
      </c>
      <c r="D33" t="s">
        <v>432</v>
      </c>
      <c r="F33" s="10" t="str">
        <f t="shared" si="0"/>
        <v/>
      </c>
      <c r="G33" t="e">
        <f t="shared" ca="1" si="1"/>
        <v>#VALUE!</v>
      </c>
    </row>
    <row r="34" spans="1:7" ht="15.75" customHeight="1">
      <c r="A34" t="s">
        <v>1064</v>
      </c>
      <c r="B34" t="s">
        <v>1065</v>
      </c>
      <c r="C34" t="s">
        <v>1057</v>
      </c>
      <c r="D34" t="s">
        <v>432</v>
      </c>
      <c r="F34" s="10" t="str">
        <f t="shared" si="0"/>
        <v/>
      </c>
      <c r="G34" t="e">
        <f t="shared" ca="1" si="1"/>
        <v>#VALUE!</v>
      </c>
    </row>
    <row r="35" spans="1:7" ht="15.75" customHeight="1">
      <c r="A35" t="s">
        <v>1066</v>
      </c>
      <c r="B35" t="s">
        <v>1067</v>
      </c>
      <c r="C35" t="s">
        <v>1068</v>
      </c>
      <c r="D35" t="s">
        <v>432</v>
      </c>
      <c r="F35" s="10" t="str">
        <f t="shared" si="0"/>
        <v/>
      </c>
      <c r="G35" t="e">
        <f t="shared" ca="1" si="1"/>
        <v>#VALUE!</v>
      </c>
    </row>
    <row r="36" spans="1:7" ht="15.75" customHeight="1">
      <c r="A36" t="s">
        <v>1069</v>
      </c>
      <c r="B36" t="s">
        <v>1070</v>
      </c>
      <c r="C36" t="s">
        <v>1068</v>
      </c>
      <c r="D36" t="s">
        <v>432</v>
      </c>
      <c r="F36" s="10" t="str">
        <f t="shared" si="0"/>
        <v/>
      </c>
      <c r="G36" t="e">
        <f t="shared" ca="1" si="1"/>
        <v>#VALUE!</v>
      </c>
    </row>
    <row r="37" spans="1:7" ht="15.75" customHeight="1">
      <c r="A37" t="s">
        <v>1071</v>
      </c>
      <c r="B37" t="s">
        <v>1072</v>
      </c>
      <c r="C37" t="s">
        <v>1068</v>
      </c>
      <c r="D37" t="s">
        <v>432</v>
      </c>
      <c r="F37" s="10" t="str">
        <f t="shared" si="0"/>
        <v/>
      </c>
      <c r="G37" t="e">
        <f t="shared" ca="1" si="1"/>
        <v>#VALUE!</v>
      </c>
    </row>
    <row r="38" spans="1:7" ht="15.75" customHeight="1">
      <c r="A38" t="s">
        <v>1073</v>
      </c>
      <c r="B38" t="s">
        <v>1074</v>
      </c>
      <c r="C38" t="s">
        <v>1068</v>
      </c>
      <c r="D38" t="s">
        <v>432</v>
      </c>
      <c r="F38" s="10" t="str">
        <f t="shared" si="0"/>
        <v/>
      </c>
      <c r="G38" t="e">
        <f t="shared" ca="1" si="1"/>
        <v>#VALUE!</v>
      </c>
    </row>
    <row r="39" spans="1:7" ht="15.75" customHeight="1">
      <c r="A39" t="s">
        <v>1075</v>
      </c>
      <c r="B39" t="s">
        <v>1076</v>
      </c>
      <c r="C39" t="s">
        <v>1077</v>
      </c>
      <c r="D39" t="s">
        <v>432</v>
      </c>
      <c r="F39" s="10" t="str">
        <f t="shared" si="0"/>
        <v/>
      </c>
      <c r="G39" t="e">
        <f t="shared" ca="1" si="1"/>
        <v>#VALUE!</v>
      </c>
    </row>
    <row r="40" spans="1:7" ht="15.75" customHeight="1">
      <c r="A40" t="s">
        <v>1078</v>
      </c>
      <c r="B40" t="s">
        <v>1079</v>
      </c>
      <c r="C40" t="s">
        <v>1077</v>
      </c>
      <c r="D40" t="s">
        <v>432</v>
      </c>
      <c r="F40" s="10" t="str">
        <f t="shared" si="0"/>
        <v/>
      </c>
      <c r="G40" t="e">
        <f t="shared" ca="1" si="1"/>
        <v>#VALUE!</v>
      </c>
    </row>
    <row r="41" spans="1:7" ht="15.75" customHeight="1">
      <c r="A41" t="s">
        <v>1099</v>
      </c>
      <c r="B41" t="s">
        <v>1100</v>
      </c>
      <c r="C41" t="s">
        <v>1025</v>
      </c>
      <c r="D41" t="s">
        <v>432</v>
      </c>
      <c r="F41" s="10" t="str">
        <f t="shared" si="0"/>
        <v/>
      </c>
      <c r="G41" t="e">
        <f t="shared" ca="1" si="1"/>
        <v>#VALUE!</v>
      </c>
    </row>
    <row r="42" spans="1:7" ht="15.75" customHeight="1">
      <c r="A42" t="s">
        <v>1101</v>
      </c>
      <c r="B42" t="s">
        <v>1102</v>
      </c>
      <c r="C42" t="s">
        <v>1025</v>
      </c>
      <c r="D42" t="s">
        <v>432</v>
      </c>
      <c r="F42" s="10" t="str">
        <f t="shared" si="0"/>
        <v/>
      </c>
      <c r="G42" t="e">
        <f t="shared" ca="1" si="1"/>
        <v>#VALUE!</v>
      </c>
    </row>
    <row r="43" spans="1:7" ht="15.75" customHeight="1">
      <c r="A43" t="s">
        <v>1103</v>
      </c>
      <c r="B43" t="s">
        <v>1104</v>
      </c>
      <c r="C43" t="s">
        <v>1040</v>
      </c>
      <c r="D43" t="s">
        <v>432</v>
      </c>
      <c r="F43" s="10" t="str">
        <f t="shared" si="0"/>
        <v/>
      </c>
      <c r="G43" t="e">
        <f t="shared" ca="1" si="1"/>
        <v>#VALUE!</v>
      </c>
    </row>
    <row r="44" spans="1:7" ht="15.75" customHeight="1">
      <c r="A44" t="s">
        <v>1105</v>
      </c>
      <c r="B44" t="s">
        <v>1106</v>
      </c>
      <c r="C44" t="s">
        <v>1043</v>
      </c>
      <c r="D44" t="s">
        <v>432</v>
      </c>
      <c r="F44" s="10" t="str">
        <f t="shared" si="0"/>
        <v/>
      </c>
      <c r="G44" t="e">
        <f t="shared" ca="1" si="1"/>
        <v>#VALUE!</v>
      </c>
    </row>
    <row r="45" spans="1:7" ht="15.75" customHeight="1">
      <c r="A45" t="s">
        <v>1107</v>
      </c>
      <c r="B45" t="s">
        <v>1108</v>
      </c>
      <c r="C45" t="s">
        <v>1048</v>
      </c>
      <c r="D45" t="s">
        <v>432</v>
      </c>
      <c r="F45" s="10" t="str">
        <f t="shared" si="0"/>
        <v/>
      </c>
      <c r="G45" t="e">
        <f t="shared" ca="1" si="1"/>
        <v>#VALUE!</v>
      </c>
    </row>
    <row r="46" spans="1:7" ht="15.75" customHeight="1">
      <c r="A46" t="s">
        <v>1109</v>
      </c>
      <c r="B46" t="s">
        <v>1110</v>
      </c>
      <c r="C46" t="s">
        <v>1048</v>
      </c>
      <c r="D46" t="s">
        <v>432</v>
      </c>
      <c r="F46" s="10" t="str">
        <f t="shared" si="0"/>
        <v/>
      </c>
      <c r="G46" t="e">
        <f t="shared" ca="1" si="1"/>
        <v>#VALUE!</v>
      </c>
    </row>
    <row r="47" spans="1:7" ht="15.75" customHeight="1">
      <c r="A47" t="s">
        <v>1116</v>
      </c>
      <c r="B47" t="s">
        <v>1117</v>
      </c>
      <c r="C47" t="s">
        <v>1037</v>
      </c>
      <c r="D47" t="s">
        <v>432</v>
      </c>
      <c r="F47" s="10" t="str">
        <f t="shared" si="0"/>
        <v/>
      </c>
      <c r="G47" t="e">
        <f t="shared" ca="1" si="1"/>
        <v>#VALUE!</v>
      </c>
    </row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3:G47"/>
  <conditionalFormatting sqref="G4:G47">
    <cfRule type="cellIs" dxfId="43" priority="1" operator="equal">
      <formula>"Due"</formula>
    </cfRule>
  </conditionalFormatting>
  <conditionalFormatting sqref="G4:G47">
    <cfRule type="cellIs" dxfId="42" priority="2" operator="equal">
      <formula>"Due"</formula>
    </cfRule>
  </conditionalFormatting>
  <conditionalFormatting sqref="G4:G47">
    <cfRule type="cellIs" dxfId="41" priority="3" operator="equal">
      <formula>"Due"</formula>
    </cfRule>
  </conditionalFormatting>
  <conditionalFormatting sqref="G4:G47">
    <cfRule type="cellIs" dxfId="40" priority="4" operator="equal">
      <formula>"Due"</formula>
    </cfRule>
  </conditionalFormatting>
  <conditionalFormatting sqref="G4:G47">
    <cfRule type="cellIs" dxfId="39" priority="5" operator="equal">
      <formula>"Due"</formula>
    </cfRule>
  </conditionalFormatting>
  <conditionalFormatting sqref="G4:G47">
    <cfRule type="cellIs" dxfId="38" priority="6" operator="equal">
      <formula>"Due"</formula>
    </cfRule>
  </conditionalFormatting>
  <conditionalFormatting sqref="G4:G47">
    <cfRule type="cellIs" dxfId="37" priority="7" operator="equal">
      <formula>"Due"</formula>
    </cfRule>
  </conditionalFormatting>
  <conditionalFormatting sqref="G4:G47">
    <cfRule type="cellIs" dxfId="36" priority="8" operator="equal">
      <formula>"Due"</formula>
    </cfRule>
  </conditionalFormatting>
  <conditionalFormatting sqref="G4:G47">
    <cfRule type="cellIs" dxfId="35" priority="9" operator="equal">
      <formula>"Due"</formula>
    </cfRule>
  </conditionalFormatting>
  <conditionalFormatting sqref="G4:G47">
    <cfRule type="cellIs" dxfId="34" priority="10" operator="equal">
      <formula>"Due"</formula>
    </cfRule>
  </conditionalFormatting>
  <conditionalFormatting sqref="G4:G47">
    <cfRule type="cellIs" dxfId="33" priority="11" operator="equal">
      <formula>"Due"</formula>
    </cfRule>
  </conditionalFormatting>
  <conditionalFormatting sqref="G4:G47">
    <cfRule type="cellIs" dxfId="32" priority="12" operator="equal">
      <formula>"Due"</formula>
    </cfRule>
  </conditionalFormatting>
  <conditionalFormatting sqref="G4:G47">
    <cfRule type="cellIs" dxfId="31" priority="13" operator="equal">
      <formula>"Due"</formula>
    </cfRule>
  </conditionalFormatting>
  <conditionalFormatting sqref="G4:G47">
    <cfRule type="cellIs" dxfId="30" priority="14" operator="equal">
      <formula>"Due"</formula>
    </cfRule>
  </conditionalFormatting>
  <conditionalFormatting sqref="G4:G47">
    <cfRule type="cellIs" dxfId="29" priority="15" operator="equal">
      <formula>"Due"</formula>
    </cfRule>
  </conditionalFormatting>
  <conditionalFormatting sqref="G4:G47">
    <cfRule type="cellIs" dxfId="28" priority="16" operator="equal">
      <formula>"Due"</formula>
    </cfRule>
  </conditionalFormatting>
  <conditionalFormatting sqref="G4:G47">
    <cfRule type="cellIs" dxfId="27" priority="17" operator="equal">
      <formula>"Due"</formula>
    </cfRule>
  </conditionalFormatting>
  <conditionalFormatting sqref="G4:G47">
    <cfRule type="cellIs" dxfId="26" priority="18" operator="equal">
      <formula>"Due"</formula>
    </cfRule>
  </conditionalFormatting>
  <conditionalFormatting sqref="G4:G47">
    <cfRule type="cellIs" dxfId="25" priority="19" operator="equal">
      <formula>"Due"</formula>
    </cfRule>
  </conditionalFormatting>
  <conditionalFormatting sqref="G4:G47">
    <cfRule type="cellIs" dxfId="24" priority="20" operator="equal">
      <formula>"Due"</formula>
    </cfRule>
  </conditionalFormatting>
  <conditionalFormatting sqref="G4:G47">
    <cfRule type="cellIs" dxfId="23" priority="21" operator="equal">
      <formula>"Due"</formula>
    </cfRule>
  </conditionalFormatting>
  <conditionalFormatting sqref="G4:G47">
    <cfRule type="cellIs" dxfId="22" priority="22" operator="equal">
      <formula>"Due"</formula>
    </cfRule>
  </conditionalFormatting>
  <conditionalFormatting sqref="G4:G47">
    <cfRule type="cellIs" dxfId="21" priority="23" operator="equal">
      <formula>"Due"</formula>
    </cfRule>
  </conditionalFormatting>
  <conditionalFormatting sqref="G4:G47">
    <cfRule type="cellIs" dxfId="20" priority="24" operator="equal">
      <formula>"Due"</formula>
    </cfRule>
  </conditionalFormatting>
  <conditionalFormatting sqref="G4:G47">
    <cfRule type="cellIs" dxfId="19" priority="25" operator="equal">
      <formula>"Due"</formula>
    </cfRule>
  </conditionalFormatting>
  <conditionalFormatting sqref="G4:G47">
    <cfRule type="cellIs" dxfId="18" priority="26" operator="equal">
      <formula>"Due"</formula>
    </cfRule>
  </conditionalFormatting>
  <conditionalFormatting sqref="G4:G47">
    <cfRule type="cellIs" dxfId="17" priority="27" operator="equal">
      <formula>"Due"</formula>
    </cfRule>
  </conditionalFormatting>
  <conditionalFormatting sqref="G4:G47">
    <cfRule type="cellIs" dxfId="16" priority="28" operator="equal">
      <formula>"Due"</formula>
    </cfRule>
  </conditionalFormatting>
  <conditionalFormatting sqref="G4:G47">
    <cfRule type="cellIs" dxfId="15" priority="29" operator="equal">
      <formula>"Due"</formula>
    </cfRule>
  </conditionalFormatting>
  <conditionalFormatting sqref="G4:G47">
    <cfRule type="cellIs" dxfId="14" priority="30" operator="equal">
      <formula>"Due"</formula>
    </cfRule>
  </conditionalFormatting>
  <conditionalFormatting sqref="G4:G47">
    <cfRule type="cellIs" dxfId="13" priority="31" operator="equal">
      <formula>"Due"</formula>
    </cfRule>
  </conditionalFormatting>
  <conditionalFormatting sqref="G4:G47">
    <cfRule type="cellIs" dxfId="12" priority="32" operator="equal">
      <formula>"Due"</formula>
    </cfRule>
  </conditionalFormatting>
  <conditionalFormatting sqref="G4:G47">
    <cfRule type="cellIs" dxfId="11" priority="33" operator="equal">
      <formula>"Due"</formula>
    </cfRule>
  </conditionalFormatting>
  <conditionalFormatting sqref="G4:G47">
    <cfRule type="cellIs" dxfId="10" priority="34" operator="equal">
      <formula>"Due"</formula>
    </cfRule>
  </conditionalFormatting>
  <conditionalFormatting sqref="G4:G47">
    <cfRule type="cellIs" dxfId="9" priority="35" operator="equal">
      <formula>"Due"</formula>
    </cfRule>
  </conditionalFormatting>
  <conditionalFormatting sqref="G4:G47">
    <cfRule type="cellIs" dxfId="8" priority="36" operator="equal">
      <formula>"Due"</formula>
    </cfRule>
  </conditionalFormatting>
  <conditionalFormatting sqref="G4:G47">
    <cfRule type="cellIs" dxfId="7" priority="37" operator="equal">
      <formula>"Due"</formula>
    </cfRule>
  </conditionalFormatting>
  <conditionalFormatting sqref="G4:G47">
    <cfRule type="cellIs" dxfId="6" priority="38" operator="equal">
      <formula>"Due"</formula>
    </cfRule>
  </conditionalFormatting>
  <conditionalFormatting sqref="G4:G47">
    <cfRule type="cellIs" dxfId="5" priority="39" operator="equal">
      <formula>"Due"</formula>
    </cfRule>
  </conditionalFormatting>
  <conditionalFormatting sqref="G4:G47">
    <cfRule type="cellIs" dxfId="4" priority="40" operator="equal">
      <formula>"Due"</formula>
    </cfRule>
  </conditionalFormatting>
  <conditionalFormatting sqref="G4:G47">
    <cfRule type="cellIs" dxfId="3" priority="41" operator="equal">
      <formula>"Due"</formula>
    </cfRule>
  </conditionalFormatting>
  <conditionalFormatting sqref="G4:G47">
    <cfRule type="cellIs" dxfId="2" priority="42" operator="equal">
      <formula>"Due"</formula>
    </cfRule>
  </conditionalFormatting>
  <conditionalFormatting sqref="G4:G47">
    <cfRule type="cellIs" dxfId="1" priority="43" operator="equal">
      <formula>"Due"</formula>
    </cfRule>
  </conditionalFormatting>
  <conditionalFormatting sqref="G4:G47">
    <cfRule type="cellIs" dxfId="0" priority="44" operator="equal">
      <formula>"Due"</formula>
    </cfRule>
  </conditionalFormatting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5"/>
  <sheetViews>
    <sheetView workbookViewId="0"/>
  </sheetViews>
  <sheetFormatPr defaultColWidth="14.42578125" defaultRowHeight="15" customHeight="1"/>
  <cols>
    <col min="1" max="8" width="24.7109375" customWidth="1"/>
    <col min="9" max="11" width="8.7109375" customWidth="1"/>
  </cols>
  <sheetData>
    <row r="1" spans="1:8" ht="30" customHeight="1">
      <c r="A1" s="16" t="s">
        <v>8</v>
      </c>
    </row>
    <row r="3" spans="1:8" ht="24.75" customHeight="1">
      <c r="A3" s="17" t="s">
        <v>9</v>
      </c>
      <c r="B3" s="17" t="s">
        <v>10</v>
      </c>
      <c r="C3" s="17" t="s">
        <v>11</v>
      </c>
      <c r="D3" s="17" t="s">
        <v>12</v>
      </c>
      <c r="E3" s="17" t="s">
        <v>1147</v>
      </c>
      <c r="F3" s="17" t="s">
        <v>1148</v>
      </c>
      <c r="G3" s="17" t="s">
        <v>1149</v>
      </c>
      <c r="H3" s="17" t="s">
        <v>1150</v>
      </c>
    </row>
    <row r="4" spans="1:8">
      <c r="A4" t="s">
        <v>634</v>
      </c>
      <c r="B4" t="s">
        <v>1151</v>
      </c>
      <c r="C4" t="s">
        <v>146</v>
      </c>
      <c r="D4" t="s">
        <v>432</v>
      </c>
      <c r="E4" t="s">
        <v>1152</v>
      </c>
      <c r="F4" s="10">
        <v>45699</v>
      </c>
      <c r="G4" s="10">
        <v>45699</v>
      </c>
      <c r="H4">
        <v>1</v>
      </c>
    </row>
    <row r="5" spans="1:8">
      <c r="A5" t="s">
        <v>638</v>
      </c>
      <c r="B5" t="s">
        <v>1153</v>
      </c>
      <c r="C5" t="s">
        <v>146</v>
      </c>
      <c r="D5" t="s">
        <v>432</v>
      </c>
      <c r="E5" t="s">
        <v>1152</v>
      </c>
      <c r="F5" s="10">
        <v>45699</v>
      </c>
      <c r="G5" s="10">
        <v>45699</v>
      </c>
      <c r="H5">
        <v>1</v>
      </c>
    </row>
    <row r="6" spans="1:8">
      <c r="A6" t="s">
        <v>575</v>
      </c>
      <c r="B6" t="s">
        <v>1154</v>
      </c>
      <c r="C6" t="s">
        <v>146</v>
      </c>
      <c r="D6" t="s">
        <v>432</v>
      </c>
      <c r="E6" t="s">
        <v>1152</v>
      </c>
      <c r="F6" s="10">
        <v>45699</v>
      </c>
      <c r="G6" s="10">
        <v>45699</v>
      </c>
      <c r="H6">
        <v>1</v>
      </c>
    </row>
    <row r="7" spans="1:8">
      <c r="A7" t="s">
        <v>557</v>
      </c>
      <c r="B7" t="s">
        <v>1155</v>
      </c>
      <c r="C7" t="s">
        <v>46</v>
      </c>
      <c r="D7" t="s">
        <v>432</v>
      </c>
      <c r="E7" t="s">
        <v>1152</v>
      </c>
      <c r="F7" s="10">
        <v>45699</v>
      </c>
      <c r="G7" s="10">
        <v>45699</v>
      </c>
      <c r="H7">
        <v>1</v>
      </c>
    </row>
    <row r="8" spans="1:8">
      <c r="A8" t="s">
        <v>521</v>
      </c>
      <c r="B8" t="s">
        <v>1156</v>
      </c>
      <c r="C8" t="s">
        <v>100</v>
      </c>
      <c r="D8" t="s">
        <v>432</v>
      </c>
      <c r="E8" t="s">
        <v>1152</v>
      </c>
      <c r="F8" s="10">
        <v>45699</v>
      </c>
      <c r="G8" s="10">
        <v>45699</v>
      </c>
      <c r="H8">
        <v>1</v>
      </c>
    </row>
    <row r="9" spans="1:8">
      <c r="A9" t="s">
        <v>537</v>
      </c>
      <c r="B9" t="s">
        <v>1157</v>
      </c>
      <c r="C9" t="s">
        <v>468</v>
      </c>
      <c r="D9" t="s">
        <v>432</v>
      </c>
      <c r="E9" t="s">
        <v>1152</v>
      </c>
      <c r="F9" s="10">
        <v>45699</v>
      </c>
      <c r="G9" s="10">
        <v>45699</v>
      </c>
      <c r="H9">
        <v>1</v>
      </c>
    </row>
    <row r="10" spans="1:8">
      <c r="A10" t="s">
        <v>549</v>
      </c>
      <c r="B10" t="s">
        <v>1158</v>
      </c>
      <c r="C10" t="s">
        <v>46</v>
      </c>
      <c r="D10" t="s">
        <v>432</v>
      </c>
      <c r="E10" t="s">
        <v>1152</v>
      </c>
      <c r="F10" s="10">
        <v>45700</v>
      </c>
      <c r="G10" s="10">
        <v>45700</v>
      </c>
      <c r="H10">
        <v>1</v>
      </c>
    </row>
    <row r="11" spans="1:8">
      <c r="A11" t="s">
        <v>593</v>
      </c>
      <c r="B11" t="s">
        <v>1159</v>
      </c>
      <c r="C11" t="s">
        <v>71</v>
      </c>
      <c r="D11" t="s">
        <v>432</v>
      </c>
      <c r="E11" t="s">
        <v>1152</v>
      </c>
      <c r="F11" s="10">
        <v>45700</v>
      </c>
      <c r="G11" s="10">
        <v>45700</v>
      </c>
      <c r="H11">
        <v>1</v>
      </c>
    </row>
    <row r="12" spans="1:8">
      <c r="A12" t="s">
        <v>573</v>
      </c>
      <c r="B12" t="s">
        <v>1160</v>
      </c>
      <c r="C12" t="s">
        <v>146</v>
      </c>
      <c r="D12" t="s">
        <v>432</v>
      </c>
      <c r="E12" t="s">
        <v>1152</v>
      </c>
      <c r="F12" s="10">
        <v>45700</v>
      </c>
      <c r="G12" s="10">
        <v>45700</v>
      </c>
      <c r="H12">
        <v>1</v>
      </c>
    </row>
    <row r="13" spans="1:8">
      <c r="A13" t="s">
        <v>577</v>
      </c>
      <c r="B13" t="s">
        <v>1161</v>
      </c>
      <c r="C13" t="s">
        <v>146</v>
      </c>
      <c r="D13" t="s">
        <v>432</v>
      </c>
      <c r="E13" t="s">
        <v>1152</v>
      </c>
      <c r="F13" s="10">
        <v>45700</v>
      </c>
      <c r="G13" s="10">
        <v>45700</v>
      </c>
      <c r="H13">
        <v>1</v>
      </c>
    </row>
    <row r="14" spans="1:8">
      <c r="A14" t="s">
        <v>581</v>
      </c>
      <c r="B14" t="s">
        <v>1162</v>
      </c>
      <c r="C14" t="s">
        <v>146</v>
      </c>
      <c r="D14" t="s">
        <v>432</v>
      </c>
      <c r="E14" t="s">
        <v>1152</v>
      </c>
      <c r="F14" s="10">
        <v>45700</v>
      </c>
      <c r="G14" s="10">
        <v>45700</v>
      </c>
      <c r="H14">
        <v>1</v>
      </c>
    </row>
    <row r="15" spans="1:8">
      <c r="A15" t="s">
        <v>610</v>
      </c>
      <c r="B15" t="s">
        <v>1163</v>
      </c>
      <c r="C15" t="s">
        <v>22</v>
      </c>
      <c r="D15" t="s">
        <v>432</v>
      </c>
      <c r="E15" t="s">
        <v>1152</v>
      </c>
      <c r="F15" s="10">
        <v>45700</v>
      </c>
      <c r="G15" s="10">
        <v>45700</v>
      </c>
      <c r="H15">
        <v>1</v>
      </c>
    </row>
    <row r="16" spans="1:8">
      <c r="A16" t="s">
        <v>479</v>
      </c>
      <c r="B16" t="s">
        <v>1164</v>
      </c>
      <c r="C16" t="s">
        <v>468</v>
      </c>
      <c r="D16" t="s">
        <v>432</v>
      </c>
      <c r="E16" t="s">
        <v>1152</v>
      </c>
      <c r="F16" s="10">
        <v>45700</v>
      </c>
      <c r="G16" s="10">
        <v>45700</v>
      </c>
      <c r="H16">
        <v>1</v>
      </c>
    </row>
    <row r="17" spans="1:8">
      <c r="A17" t="s">
        <v>491</v>
      </c>
      <c r="B17" t="s">
        <v>1165</v>
      </c>
      <c r="C17" t="s">
        <v>468</v>
      </c>
      <c r="D17" t="s">
        <v>432</v>
      </c>
      <c r="E17" t="s">
        <v>1152</v>
      </c>
      <c r="F17" s="10">
        <v>45700</v>
      </c>
      <c r="G17" s="10">
        <v>45700</v>
      </c>
      <c r="H17">
        <v>1</v>
      </c>
    </row>
    <row r="18" spans="1:8">
      <c r="A18" t="s">
        <v>515</v>
      </c>
      <c r="B18" t="s">
        <v>1166</v>
      </c>
      <c r="C18" t="s">
        <v>468</v>
      </c>
      <c r="D18" t="s">
        <v>432</v>
      </c>
      <c r="E18" t="s">
        <v>1152</v>
      </c>
      <c r="F18" s="10">
        <v>45700</v>
      </c>
      <c r="G18" s="10">
        <v>45700</v>
      </c>
      <c r="H18">
        <v>1</v>
      </c>
    </row>
    <row r="19" spans="1:8">
      <c r="A19" t="s">
        <v>539</v>
      </c>
      <c r="B19" t="s">
        <v>1167</v>
      </c>
      <c r="C19" t="s">
        <v>468</v>
      </c>
      <c r="D19" t="s">
        <v>432</v>
      </c>
      <c r="E19" t="s">
        <v>1152</v>
      </c>
      <c r="F19" s="10">
        <v>45700</v>
      </c>
      <c r="G19" s="10">
        <v>45700</v>
      </c>
      <c r="H19">
        <v>1</v>
      </c>
    </row>
    <row r="20" spans="1:8">
      <c r="A20" t="s">
        <v>600</v>
      </c>
      <c r="B20" t="s">
        <v>1168</v>
      </c>
      <c r="C20" t="s">
        <v>175</v>
      </c>
      <c r="D20" t="s">
        <v>432</v>
      </c>
      <c r="E20" t="s">
        <v>1152</v>
      </c>
      <c r="F20" s="10">
        <v>45701</v>
      </c>
      <c r="G20" s="10">
        <v>45701</v>
      </c>
      <c r="H20">
        <v>1</v>
      </c>
    </row>
    <row r="21" spans="1:8" ht="15.75" customHeight="1">
      <c r="A21" t="s">
        <v>587</v>
      </c>
      <c r="B21" t="s">
        <v>1169</v>
      </c>
      <c r="C21" t="s">
        <v>146</v>
      </c>
      <c r="D21" t="s">
        <v>432</v>
      </c>
      <c r="E21" t="s">
        <v>1152</v>
      </c>
      <c r="F21" s="10">
        <v>45701</v>
      </c>
      <c r="G21" s="10">
        <v>45701</v>
      </c>
      <c r="H21">
        <v>1</v>
      </c>
    </row>
    <row r="22" spans="1:8" ht="15.75" customHeight="1">
      <c r="A22" t="s">
        <v>579</v>
      </c>
      <c r="B22" t="s">
        <v>1170</v>
      </c>
      <c r="C22" t="s">
        <v>146</v>
      </c>
      <c r="D22" t="s">
        <v>432</v>
      </c>
      <c r="E22" t="s">
        <v>1152</v>
      </c>
      <c r="F22" s="10">
        <v>45701</v>
      </c>
      <c r="G22" s="10">
        <v>45701</v>
      </c>
      <c r="H22">
        <v>1</v>
      </c>
    </row>
    <row r="23" spans="1:8" ht="15.75" customHeight="1">
      <c r="A23" t="s">
        <v>489</v>
      </c>
      <c r="B23" t="s">
        <v>1171</v>
      </c>
      <c r="C23" t="s">
        <v>468</v>
      </c>
      <c r="D23" t="s">
        <v>432</v>
      </c>
      <c r="E23" t="s">
        <v>1152</v>
      </c>
      <c r="F23" s="10">
        <v>45701</v>
      </c>
      <c r="G23" s="10">
        <v>45701</v>
      </c>
      <c r="H23">
        <v>1</v>
      </c>
    </row>
    <row r="24" spans="1:8" ht="15.75" customHeight="1">
      <c r="A24" t="s">
        <v>503</v>
      </c>
      <c r="B24" t="s">
        <v>1172</v>
      </c>
      <c r="C24" t="s">
        <v>468</v>
      </c>
      <c r="D24" t="s">
        <v>432</v>
      </c>
      <c r="E24" t="s">
        <v>1152</v>
      </c>
      <c r="F24" s="10">
        <v>45701</v>
      </c>
      <c r="G24" s="10">
        <v>45701</v>
      </c>
      <c r="H24">
        <v>1</v>
      </c>
    </row>
    <row r="25" spans="1:8" ht="15.75" customHeight="1">
      <c r="A25" t="s">
        <v>533</v>
      </c>
      <c r="B25" t="s">
        <v>1173</v>
      </c>
      <c r="C25" t="s">
        <v>468</v>
      </c>
      <c r="D25" t="s">
        <v>432</v>
      </c>
      <c r="E25" t="s">
        <v>1152</v>
      </c>
      <c r="F25" s="10">
        <v>45701</v>
      </c>
      <c r="G25" s="10">
        <v>45701</v>
      </c>
      <c r="H25">
        <v>1</v>
      </c>
    </row>
    <row r="26" spans="1:8" ht="15.75" customHeight="1">
      <c r="A26" t="s">
        <v>449</v>
      </c>
      <c r="B26" t="s">
        <v>1174</v>
      </c>
      <c r="C26" t="s">
        <v>451</v>
      </c>
      <c r="D26" t="s">
        <v>432</v>
      </c>
      <c r="E26" t="s">
        <v>1152</v>
      </c>
      <c r="F26" s="10">
        <v>45701</v>
      </c>
      <c r="G26" s="10">
        <v>45701</v>
      </c>
      <c r="H26">
        <v>1</v>
      </c>
    </row>
    <row r="27" spans="1:8" ht="15.75" customHeight="1">
      <c r="A27" t="s">
        <v>640</v>
      </c>
      <c r="B27" t="s">
        <v>1175</v>
      </c>
      <c r="C27" t="s">
        <v>175</v>
      </c>
      <c r="D27" t="s">
        <v>432</v>
      </c>
      <c r="E27" t="s">
        <v>1152</v>
      </c>
      <c r="F27" s="10">
        <v>45701</v>
      </c>
      <c r="G27" s="10">
        <v>45701</v>
      </c>
      <c r="H27">
        <v>1</v>
      </c>
    </row>
    <row r="28" spans="1:8" ht="15.75" customHeight="1">
      <c r="A28" t="s">
        <v>965</v>
      </c>
      <c r="B28" t="s">
        <v>966</v>
      </c>
      <c r="C28" t="s">
        <v>967</v>
      </c>
      <c r="D28" t="s">
        <v>432</v>
      </c>
      <c r="E28" t="s">
        <v>1152</v>
      </c>
      <c r="F28" s="10">
        <v>45701</v>
      </c>
      <c r="G28" s="10">
        <v>45701</v>
      </c>
      <c r="H28">
        <v>1</v>
      </c>
    </row>
    <row r="29" spans="1:8" ht="15.75" customHeight="1">
      <c r="A29" t="s">
        <v>621</v>
      </c>
      <c r="B29" t="s">
        <v>1176</v>
      </c>
      <c r="C29" t="s">
        <v>468</v>
      </c>
      <c r="D29" t="s">
        <v>432</v>
      </c>
      <c r="E29" t="s">
        <v>1152</v>
      </c>
      <c r="F29" s="10">
        <v>45701</v>
      </c>
      <c r="G29" s="10">
        <v>45701</v>
      </c>
      <c r="H29">
        <v>1</v>
      </c>
    </row>
    <row r="30" spans="1:8" ht="15.75" customHeight="1">
      <c r="A30" t="s">
        <v>649</v>
      </c>
      <c r="B30" t="s">
        <v>1177</v>
      </c>
      <c r="C30" t="s">
        <v>146</v>
      </c>
      <c r="D30" t="s">
        <v>432</v>
      </c>
      <c r="E30" t="s">
        <v>1152</v>
      </c>
      <c r="F30" s="10">
        <v>45701</v>
      </c>
      <c r="G30" s="10">
        <v>45701</v>
      </c>
      <c r="H30">
        <v>1</v>
      </c>
    </row>
    <row r="31" spans="1:8" ht="15.75" customHeight="1">
      <c r="A31" t="s">
        <v>1178</v>
      </c>
    </row>
    <row r="32" spans="1:8" ht="15.75" customHeight="1">
      <c r="A32" t="s">
        <v>591</v>
      </c>
      <c r="B32" t="s">
        <v>1179</v>
      </c>
      <c r="C32" t="s">
        <v>71</v>
      </c>
      <c r="D32" t="s">
        <v>432</v>
      </c>
      <c r="E32" t="s">
        <v>1180</v>
      </c>
      <c r="F32" s="10">
        <v>45888</v>
      </c>
      <c r="G32" s="10">
        <v>45888</v>
      </c>
      <c r="H32">
        <v>1</v>
      </c>
    </row>
    <row r="33" spans="1:8" ht="15.75" customHeight="1">
      <c r="A33" t="s">
        <v>559</v>
      </c>
      <c r="B33" t="s">
        <v>1181</v>
      </c>
      <c r="C33" t="s">
        <v>46</v>
      </c>
      <c r="D33" t="s">
        <v>432</v>
      </c>
      <c r="E33" t="s">
        <v>1180</v>
      </c>
      <c r="F33" s="10">
        <v>45888</v>
      </c>
      <c r="G33" s="10">
        <v>45888</v>
      </c>
      <c r="H33">
        <v>1</v>
      </c>
    </row>
    <row r="34" spans="1:8" ht="15.75" customHeight="1">
      <c r="A34" t="s">
        <v>555</v>
      </c>
      <c r="B34" t="s">
        <v>1182</v>
      </c>
      <c r="C34" t="s">
        <v>46</v>
      </c>
      <c r="D34" t="s">
        <v>432</v>
      </c>
      <c r="E34" t="s">
        <v>1180</v>
      </c>
      <c r="F34" s="10">
        <v>45888</v>
      </c>
      <c r="G34" s="10">
        <v>45888</v>
      </c>
      <c r="H34">
        <v>1</v>
      </c>
    </row>
    <row r="35" spans="1:8" ht="15.75" customHeight="1">
      <c r="A35" t="s">
        <v>1069</v>
      </c>
      <c r="B35" t="s">
        <v>1183</v>
      </c>
      <c r="C35" t="s">
        <v>1068</v>
      </c>
      <c r="D35" t="s">
        <v>432</v>
      </c>
      <c r="E35" t="s">
        <v>1180</v>
      </c>
      <c r="F35" s="10">
        <v>45888</v>
      </c>
      <c r="G35" s="10">
        <v>45888</v>
      </c>
      <c r="H35">
        <v>1</v>
      </c>
    </row>
    <row r="36" spans="1:8" ht="15.75" customHeight="1">
      <c r="A36" t="s">
        <v>466</v>
      </c>
      <c r="B36" t="s">
        <v>1184</v>
      </c>
      <c r="C36" t="s">
        <v>468</v>
      </c>
      <c r="D36" t="s">
        <v>432</v>
      </c>
      <c r="E36" t="s">
        <v>1180</v>
      </c>
      <c r="F36" s="10">
        <v>45888</v>
      </c>
      <c r="G36" s="10">
        <v>45888</v>
      </c>
      <c r="H36">
        <v>1</v>
      </c>
    </row>
    <row r="37" spans="1:8" ht="15.75" customHeight="1">
      <c r="A37" t="s">
        <v>1058</v>
      </c>
      <c r="B37" t="s">
        <v>1185</v>
      </c>
      <c r="C37" t="s">
        <v>1057</v>
      </c>
      <c r="D37" t="s">
        <v>432</v>
      </c>
      <c r="E37" t="s">
        <v>1180</v>
      </c>
      <c r="F37" s="10">
        <v>45888</v>
      </c>
      <c r="G37" s="10">
        <v>45888</v>
      </c>
      <c r="H37">
        <v>1</v>
      </c>
    </row>
    <row r="38" spans="1:8" ht="15.75" customHeight="1">
      <c r="A38" t="s">
        <v>485</v>
      </c>
      <c r="B38" t="s">
        <v>1186</v>
      </c>
      <c r="C38" t="s">
        <v>468</v>
      </c>
      <c r="D38" t="s">
        <v>432</v>
      </c>
      <c r="E38" t="s">
        <v>1180</v>
      </c>
      <c r="F38" s="10">
        <v>45888</v>
      </c>
      <c r="G38" s="10">
        <v>45888</v>
      </c>
      <c r="H38">
        <v>1</v>
      </c>
    </row>
    <row r="39" spans="1:8" ht="15.75" customHeight="1">
      <c r="A39" t="s">
        <v>489</v>
      </c>
      <c r="B39" t="s">
        <v>1171</v>
      </c>
      <c r="C39" t="s">
        <v>468</v>
      </c>
      <c r="D39" t="s">
        <v>432</v>
      </c>
      <c r="E39" t="s">
        <v>1180</v>
      </c>
      <c r="F39" s="10">
        <v>45888</v>
      </c>
      <c r="G39" s="10">
        <v>45888</v>
      </c>
      <c r="H39">
        <v>1</v>
      </c>
    </row>
    <row r="40" spans="1:8" ht="15.75" customHeight="1">
      <c r="A40" t="s">
        <v>499</v>
      </c>
      <c r="B40" t="s">
        <v>1187</v>
      </c>
      <c r="C40" t="s">
        <v>468</v>
      </c>
      <c r="D40" t="s">
        <v>432</v>
      </c>
      <c r="E40" t="s">
        <v>1180</v>
      </c>
      <c r="F40" s="10">
        <v>45888</v>
      </c>
      <c r="G40" s="10">
        <v>45888</v>
      </c>
      <c r="H40">
        <v>1</v>
      </c>
    </row>
    <row r="41" spans="1:8" ht="15.75" customHeight="1">
      <c r="A41" t="s">
        <v>507</v>
      </c>
      <c r="B41" t="s">
        <v>1188</v>
      </c>
      <c r="C41" t="s">
        <v>468</v>
      </c>
      <c r="D41" t="s">
        <v>432</v>
      </c>
      <c r="E41" t="s">
        <v>1180</v>
      </c>
      <c r="F41" s="10">
        <v>45888</v>
      </c>
      <c r="G41" s="10">
        <v>45888</v>
      </c>
      <c r="H41">
        <v>1</v>
      </c>
    </row>
    <row r="42" spans="1:8" ht="15.75" customHeight="1">
      <c r="A42" t="s">
        <v>525</v>
      </c>
      <c r="B42" t="s">
        <v>1189</v>
      </c>
      <c r="C42" t="s">
        <v>468</v>
      </c>
      <c r="D42" t="s">
        <v>432</v>
      </c>
      <c r="E42" t="s">
        <v>1180</v>
      </c>
      <c r="F42" s="10">
        <v>45888</v>
      </c>
      <c r="G42" s="10">
        <v>45888</v>
      </c>
      <c r="H42">
        <v>1</v>
      </c>
    </row>
    <row r="43" spans="1:8" ht="15.75" customHeight="1">
      <c r="A43" t="s">
        <v>537</v>
      </c>
      <c r="B43" t="s">
        <v>538</v>
      </c>
      <c r="C43" t="s">
        <v>468</v>
      </c>
      <c r="D43" t="s">
        <v>432</v>
      </c>
      <c r="E43" t="s">
        <v>1180</v>
      </c>
      <c r="F43" s="10">
        <v>45888</v>
      </c>
      <c r="G43" s="10">
        <v>45888</v>
      </c>
      <c r="H43">
        <v>1</v>
      </c>
    </row>
    <row r="44" spans="1:8" ht="15.75" customHeight="1">
      <c r="A44" t="s">
        <v>1190</v>
      </c>
      <c r="B44" t="s">
        <v>1191</v>
      </c>
      <c r="E44" t="s">
        <v>1180</v>
      </c>
      <c r="F44" s="10">
        <v>45888</v>
      </c>
      <c r="G44" s="10">
        <v>45888</v>
      </c>
      <c r="H44">
        <v>1</v>
      </c>
    </row>
    <row r="45" spans="1:8" ht="15.75" customHeight="1">
      <c r="A45" t="s">
        <v>1192</v>
      </c>
      <c r="B45" t="s">
        <v>1193</v>
      </c>
      <c r="E45" t="s">
        <v>1180</v>
      </c>
      <c r="F45" s="10">
        <v>45888</v>
      </c>
      <c r="G45" s="10">
        <v>45888</v>
      </c>
      <c r="H45">
        <v>1</v>
      </c>
    </row>
    <row r="46" spans="1:8" ht="15.75" customHeight="1">
      <c r="A46" t="s">
        <v>1194</v>
      </c>
      <c r="B46" t="s">
        <v>1195</v>
      </c>
      <c r="E46" t="s">
        <v>1180</v>
      </c>
      <c r="F46" s="10">
        <v>45888</v>
      </c>
      <c r="G46" s="10">
        <v>45888</v>
      </c>
      <c r="H46">
        <v>1</v>
      </c>
    </row>
    <row r="47" spans="1:8" ht="15.75" customHeight="1">
      <c r="A47" t="s">
        <v>1103</v>
      </c>
      <c r="B47" t="s">
        <v>1196</v>
      </c>
      <c r="C47" t="s">
        <v>1040</v>
      </c>
      <c r="D47" t="s">
        <v>432</v>
      </c>
      <c r="E47" t="s">
        <v>1180</v>
      </c>
      <c r="F47" s="10">
        <v>45888</v>
      </c>
      <c r="G47" s="10">
        <v>45888</v>
      </c>
      <c r="H47">
        <v>1</v>
      </c>
    </row>
    <row r="48" spans="1:8" ht="15.75" customHeight="1">
      <c r="A48" t="s">
        <v>615</v>
      </c>
      <c r="B48" t="s">
        <v>1197</v>
      </c>
      <c r="C48" t="s">
        <v>448</v>
      </c>
      <c r="D48" t="s">
        <v>432</v>
      </c>
      <c r="E48" t="s">
        <v>1180</v>
      </c>
      <c r="F48" s="10">
        <v>45888</v>
      </c>
      <c r="G48" s="10">
        <v>45888</v>
      </c>
      <c r="H48">
        <v>1</v>
      </c>
    </row>
    <row r="49" spans="1:8" ht="15.75" customHeight="1">
      <c r="A49" t="s">
        <v>1080</v>
      </c>
      <c r="B49" t="s">
        <v>1198</v>
      </c>
      <c r="C49" t="s">
        <v>967</v>
      </c>
      <c r="D49" t="s">
        <v>432</v>
      </c>
      <c r="E49" t="s">
        <v>1180</v>
      </c>
      <c r="F49" s="10">
        <v>45888</v>
      </c>
      <c r="G49" s="10">
        <v>45888</v>
      </c>
      <c r="H49">
        <v>1</v>
      </c>
    </row>
    <row r="50" spans="1:8" ht="15.75" customHeight="1">
      <c r="A50" t="s">
        <v>1007</v>
      </c>
      <c r="B50" t="s">
        <v>1008</v>
      </c>
      <c r="C50" t="s">
        <v>1009</v>
      </c>
      <c r="D50" t="s">
        <v>432</v>
      </c>
      <c r="E50" t="s">
        <v>1180</v>
      </c>
      <c r="F50" s="10">
        <v>45888</v>
      </c>
      <c r="G50" s="10">
        <v>45888</v>
      </c>
      <c r="H50">
        <v>1</v>
      </c>
    </row>
    <row r="51" spans="1:8" ht="15.75" customHeight="1">
      <c r="A51" t="s">
        <v>986</v>
      </c>
      <c r="B51" t="s">
        <v>987</v>
      </c>
      <c r="C51" t="s">
        <v>979</v>
      </c>
      <c r="D51" t="s">
        <v>432</v>
      </c>
      <c r="E51" t="s">
        <v>1180</v>
      </c>
      <c r="F51" s="10">
        <v>45888</v>
      </c>
      <c r="G51" s="10">
        <v>45888</v>
      </c>
      <c r="H51">
        <v>1</v>
      </c>
    </row>
    <row r="52" spans="1:8" ht="15.75" customHeight="1">
      <c r="A52" t="s">
        <v>600</v>
      </c>
      <c r="B52" t="s">
        <v>1168</v>
      </c>
      <c r="C52" t="s">
        <v>175</v>
      </c>
      <c r="D52" t="s">
        <v>432</v>
      </c>
      <c r="E52" t="s">
        <v>1180</v>
      </c>
      <c r="F52" s="10">
        <v>45889</v>
      </c>
      <c r="G52" s="10">
        <v>45889</v>
      </c>
      <c r="H52">
        <v>1</v>
      </c>
    </row>
    <row r="53" spans="1:8" ht="15.75" customHeight="1">
      <c r="A53" t="s">
        <v>589</v>
      </c>
      <c r="B53" t="s">
        <v>1199</v>
      </c>
      <c r="C53" t="s">
        <v>71</v>
      </c>
      <c r="D53" t="s">
        <v>432</v>
      </c>
      <c r="E53" t="s">
        <v>1180</v>
      </c>
      <c r="F53" s="10">
        <v>45889</v>
      </c>
      <c r="G53" s="10">
        <v>45889</v>
      </c>
      <c r="H53">
        <v>1</v>
      </c>
    </row>
    <row r="54" spans="1:8" ht="15.75" customHeight="1">
      <c r="A54" t="s">
        <v>581</v>
      </c>
      <c r="B54" t="s">
        <v>1162</v>
      </c>
      <c r="C54" t="s">
        <v>146</v>
      </c>
      <c r="D54" t="s">
        <v>432</v>
      </c>
      <c r="E54" t="s">
        <v>1180</v>
      </c>
      <c r="F54" s="10">
        <v>45889</v>
      </c>
      <c r="G54" s="10">
        <v>45889</v>
      </c>
      <c r="H54">
        <v>1</v>
      </c>
    </row>
    <row r="55" spans="1:8" ht="15.75" customHeight="1">
      <c r="A55" t="s">
        <v>553</v>
      </c>
      <c r="B55" t="s">
        <v>1200</v>
      </c>
      <c r="C55" t="s">
        <v>46</v>
      </c>
      <c r="D55" t="s">
        <v>432</v>
      </c>
      <c r="E55" t="s">
        <v>1180</v>
      </c>
      <c r="F55" s="10">
        <v>45889</v>
      </c>
      <c r="G55" s="10">
        <v>45889</v>
      </c>
      <c r="H55">
        <v>1</v>
      </c>
    </row>
    <row r="56" spans="1:8" ht="15.75" customHeight="1">
      <c r="A56" t="s">
        <v>469</v>
      </c>
      <c r="B56" t="s">
        <v>1201</v>
      </c>
      <c r="C56" t="s">
        <v>468</v>
      </c>
      <c r="D56" t="s">
        <v>432</v>
      </c>
      <c r="E56" t="s">
        <v>1180</v>
      </c>
      <c r="F56" s="10">
        <v>45889</v>
      </c>
      <c r="G56" s="10">
        <v>45889</v>
      </c>
      <c r="H56">
        <v>1</v>
      </c>
    </row>
    <row r="57" spans="1:8" ht="15.75" customHeight="1">
      <c r="A57" t="s">
        <v>509</v>
      </c>
      <c r="B57" t="s">
        <v>1202</v>
      </c>
      <c r="C57" t="s">
        <v>468</v>
      </c>
      <c r="D57" t="s">
        <v>432</v>
      </c>
      <c r="E57" t="s">
        <v>1180</v>
      </c>
      <c r="F57" s="10">
        <v>45889</v>
      </c>
      <c r="G57" s="10">
        <v>45889</v>
      </c>
      <c r="H57">
        <v>1</v>
      </c>
    </row>
    <row r="58" spans="1:8" ht="15.75" customHeight="1">
      <c r="A58" t="s">
        <v>541</v>
      </c>
      <c r="B58" t="s">
        <v>1203</v>
      </c>
      <c r="C58" t="s">
        <v>468</v>
      </c>
      <c r="D58" t="s">
        <v>432</v>
      </c>
      <c r="E58" t="s">
        <v>1180</v>
      </c>
      <c r="F58" s="10">
        <v>45889</v>
      </c>
      <c r="G58" s="10">
        <v>45889</v>
      </c>
      <c r="H58">
        <v>1</v>
      </c>
    </row>
    <row r="59" spans="1:8" ht="15.75" customHeight="1">
      <c r="A59" t="s">
        <v>460</v>
      </c>
      <c r="B59" t="s">
        <v>1204</v>
      </c>
      <c r="C59" t="s">
        <v>100</v>
      </c>
      <c r="D59" t="s">
        <v>432</v>
      </c>
      <c r="E59" t="s">
        <v>1180</v>
      </c>
      <c r="F59" s="10">
        <v>45889</v>
      </c>
      <c r="G59" s="10">
        <v>45889</v>
      </c>
      <c r="H59">
        <v>1</v>
      </c>
    </row>
    <row r="60" spans="1:8" ht="15.75" customHeight="1">
      <c r="A60" t="s">
        <v>1023</v>
      </c>
      <c r="B60" t="s">
        <v>1205</v>
      </c>
      <c r="C60" t="s">
        <v>1025</v>
      </c>
      <c r="D60" t="s">
        <v>432</v>
      </c>
      <c r="E60" t="s">
        <v>1180</v>
      </c>
      <c r="F60" s="10">
        <v>45889</v>
      </c>
      <c r="G60" s="10">
        <v>45889</v>
      </c>
      <c r="H60">
        <v>1</v>
      </c>
    </row>
    <row r="61" spans="1:8" ht="15.75" customHeight="1">
      <c r="A61" t="s">
        <v>1041</v>
      </c>
      <c r="B61" t="s">
        <v>1206</v>
      </c>
      <c r="C61" t="s">
        <v>1043</v>
      </c>
      <c r="D61" t="s">
        <v>432</v>
      </c>
      <c r="E61" t="s">
        <v>1180</v>
      </c>
      <c r="F61" s="10">
        <v>45889</v>
      </c>
      <c r="G61" s="10">
        <v>45889</v>
      </c>
      <c r="H61">
        <v>1</v>
      </c>
    </row>
    <row r="62" spans="1:8" ht="15.75" customHeight="1">
      <c r="A62" t="s">
        <v>456</v>
      </c>
      <c r="B62" t="s">
        <v>1207</v>
      </c>
      <c r="C62" t="s">
        <v>451</v>
      </c>
      <c r="D62" t="s">
        <v>432</v>
      </c>
      <c r="E62" t="s">
        <v>1180</v>
      </c>
      <c r="F62" s="10">
        <v>45889</v>
      </c>
      <c r="G62" s="10">
        <v>45889</v>
      </c>
      <c r="H62">
        <v>1</v>
      </c>
    </row>
    <row r="63" spans="1:8" ht="15.75" customHeight="1">
      <c r="A63" t="s">
        <v>1208</v>
      </c>
      <c r="B63" t="s">
        <v>1209</v>
      </c>
      <c r="E63" t="s">
        <v>1180</v>
      </c>
      <c r="F63" s="10">
        <v>45889</v>
      </c>
      <c r="G63" s="10">
        <v>45889</v>
      </c>
      <c r="H63">
        <v>1</v>
      </c>
    </row>
    <row r="64" spans="1:8" ht="15.75" customHeight="1">
      <c r="A64" t="s">
        <v>1210</v>
      </c>
      <c r="B64" t="s">
        <v>1211</v>
      </c>
      <c r="E64" t="s">
        <v>1180</v>
      </c>
      <c r="F64" s="10">
        <v>45889</v>
      </c>
      <c r="G64" s="10">
        <v>45889</v>
      </c>
      <c r="H64">
        <v>1</v>
      </c>
    </row>
    <row r="65" spans="1:8" ht="15.75" customHeight="1">
      <c r="A65" t="s">
        <v>1212</v>
      </c>
      <c r="B65" t="s">
        <v>1213</v>
      </c>
      <c r="E65" t="s">
        <v>1180</v>
      </c>
      <c r="F65" s="10">
        <v>45889</v>
      </c>
      <c r="G65" s="10">
        <v>45889</v>
      </c>
      <c r="H65">
        <v>1</v>
      </c>
    </row>
    <row r="66" spans="1:8" ht="15.75" customHeight="1">
      <c r="A66" t="s">
        <v>636</v>
      </c>
      <c r="B66" t="s">
        <v>1214</v>
      </c>
      <c r="C66" t="s">
        <v>146</v>
      </c>
      <c r="D66" t="s">
        <v>432</v>
      </c>
      <c r="E66" t="s">
        <v>1180</v>
      </c>
      <c r="F66" s="10">
        <v>45889</v>
      </c>
      <c r="G66" s="10">
        <v>45889</v>
      </c>
      <c r="H66">
        <v>1</v>
      </c>
    </row>
    <row r="67" spans="1:8" ht="15.75" customHeight="1">
      <c r="A67" t="s">
        <v>1002</v>
      </c>
      <c r="B67" t="s">
        <v>1003</v>
      </c>
      <c r="C67" t="s">
        <v>999</v>
      </c>
      <c r="D67" t="s">
        <v>432</v>
      </c>
      <c r="E67" t="s">
        <v>1180</v>
      </c>
      <c r="F67" s="10">
        <v>45889</v>
      </c>
      <c r="G67" s="10">
        <v>45889</v>
      </c>
      <c r="H67">
        <v>1</v>
      </c>
    </row>
    <row r="68" spans="1:8" ht="15.75" customHeight="1">
      <c r="A68" t="s">
        <v>982</v>
      </c>
      <c r="B68" t="s">
        <v>983</v>
      </c>
      <c r="C68" t="s">
        <v>979</v>
      </c>
      <c r="D68" t="s">
        <v>432</v>
      </c>
      <c r="E68" t="s">
        <v>1180</v>
      </c>
      <c r="F68" s="10">
        <v>45889</v>
      </c>
      <c r="G68" s="10">
        <v>45889</v>
      </c>
      <c r="H68">
        <v>1</v>
      </c>
    </row>
    <row r="69" spans="1:8" ht="15.75" customHeight="1">
      <c r="A69" t="s">
        <v>969</v>
      </c>
      <c r="B69" t="s">
        <v>1215</v>
      </c>
      <c r="C69" t="s">
        <v>971</v>
      </c>
      <c r="D69" t="s">
        <v>432</v>
      </c>
      <c r="E69" t="s">
        <v>1180</v>
      </c>
      <c r="F69" s="10">
        <v>45889</v>
      </c>
      <c r="G69" s="10">
        <v>45889</v>
      </c>
      <c r="H69">
        <v>1</v>
      </c>
    </row>
    <row r="70" spans="1:8" ht="15.75" customHeight="1">
      <c r="A70" t="s">
        <v>1082</v>
      </c>
      <c r="B70" t="s">
        <v>1216</v>
      </c>
      <c r="C70" t="s">
        <v>974</v>
      </c>
      <c r="D70" t="s">
        <v>432</v>
      </c>
      <c r="E70" t="s">
        <v>1180</v>
      </c>
      <c r="F70" s="10">
        <v>45889</v>
      </c>
      <c r="G70" s="10">
        <v>45889</v>
      </c>
      <c r="H70">
        <v>1</v>
      </c>
    </row>
    <row r="71" spans="1:8" ht="15.75" customHeight="1">
      <c r="A71" t="s">
        <v>595</v>
      </c>
      <c r="B71" t="s">
        <v>1217</v>
      </c>
      <c r="C71" t="s">
        <v>445</v>
      </c>
      <c r="D71" t="s">
        <v>432</v>
      </c>
      <c r="E71" t="s">
        <v>1180</v>
      </c>
      <c r="F71" s="10">
        <v>45890</v>
      </c>
      <c r="G71" s="10">
        <v>45890</v>
      </c>
      <c r="H71">
        <v>1</v>
      </c>
    </row>
    <row r="72" spans="1:8" ht="15.75" customHeight="1">
      <c r="A72" t="s">
        <v>567</v>
      </c>
      <c r="B72" t="s">
        <v>1218</v>
      </c>
      <c r="C72" t="s">
        <v>146</v>
      </c>
      <c r="D72" t="s">
        <v>432</v>
      </c>
      <c r="E72" t="s">
        <v>1180</v>
      </c>
      <c r="F72" s="10">
        <v>45890</v>
      </c>
      <c r="G72" s="10">
        <v>45890</v>
      </c>
      <c r="H72">
        <v>1</v>
      </c>
    </row>
    <row r="73" spans="1:8" ht="15.75" customHeight="1">
      <c r="A73" t="s">
        <v>571</v>
      </c>
      <c r="B73" t="s">
        <v>1219</v>
      </c>
      <c r="C73" t="s">
        <v>146</v>
      </c>
      <c r="D73" t="s">
        <v>432</v>
      </c>
      <c r="E73" t="s">
        <v>1180</v>
      </c>
      <c r="F73" s="10">
        <v>45890</v>
      </c>
      <c r="G73" s="10">
        <v>45890</v>
      </c>
      <c r="H73">
        <v>1</v>
      </c>
    </row>
    <row r="74" spans="1:8" ht="15.75" customHeight="1">
      <c r="A74" t="s">
        <v>573</v>
      </c>
      <c r="B74" t="s">
        <v>1160</v>
      </c>
      <c r="C74" t="s">
        <v>146</v>
      </c>
      <c r="D74" t="s">
        <v>432</v>
      </c>
      <c r="E74" t="s">
        <v>1180</v>
      </c>
      <c r="F74" s="10">
        <v>45890</v>
      </c>
      <c r="G74" s="10">
        <v>45890</v>
      </c>
      <c r="H74">
        <v>1</v>
      </c>
    </row>
    <row r="75" spans="1:8" ht="15.75" customHeight="1">
      <c r="A75" t="s">
        <v>577</v>
      </c>
      <c r="B75" t="s">
        <v>1161</v>
      </c>
      <c r="C75" t="s">
        <v>146</v>
      </c>
      <c r="D75" t="s">
        <v>432</v>
      </c>
      <c r="E75" t="s">
        <v>1180</v>
      </c>
      <c r="F75" s="10">
        <v>45890</v>
      </c>
      <c r="G75" s="10">
        <v>45890</v>
      </c>
      <c r="H75">
        <v>1</v>
      </c>
    </row>
    <row r="76" spans="1:8" ht="15.75" customHeight="1">
      <c r="A76" t="s">
        <v>673</v>
      </c>
      <c r="B76" t="s">
        <v>1220</v>
      </c>
      <c r="C76" t="s">
        <v>46</v>
      </c>
      <c r="D76" t="s">
        <v>432</v>
      </c>
      <c r="E76" t="s">
        <v>1180</v>
      </c>
      <c r="F76" s="10">
        <v>45890</v>
      </c>
      <c r="G76" s="10">
        <v>45890</v>
      </c>
      <c r="H76">
        <v>1</v>
      </c>
    </row>
    <row r="77" spans="1:8" ht="15.75" customHeight="1">
      <c r="A77" t="s">
        <v>1062</v>
      </c>
      <c r="B77" t="s">
        <v>1221</v>
      </c>
      <c r="C77" t="s">
        <v>1057</v>
      </c>
      <c r="D77" t="s">
        <v>432</v>
      </c>
      <c r="E77" t="s">
        <v>1180</v>
      </c>
      <c r="F77" s="10">
        <v>45890</v>
      </c>
      <c r="G77" s="10">
        <v>45890</v>
      </c>
      <c r="H77">
        <v>1</v>
      </c>
    </row>
    <row r="78" spans="1:8" ht="15.75" customHeight="1">
      <c r="A78" t="s">
        <v>497</v>
      </c>
      <c r="B78" t="s">
        <v>1222</v>
      </c>
      <c r="C78" t="s">
        <v>468</v>
      </c>
      <c r="D78" t="s">
        <v>432</v>
      </c>
      <c r="E78" t="s">
        <v>1180</v>
      </c>
      <c r="F78" s="10">
        <v>45890</v>
      </c>
      <c r="G78" s="10">
        <v>45890</v>
      </c>
      <c r="H78">
        <v>1</v>
      </c>
    </row>
    <row r="79" spans="1:8" ht="15.75" customHeight="1">
      <c r="A79" t="s">
        <v>505</v>
      </c>
      <c r="B79" t="s">
        <v>1223</v>
      </c>
      <c r="C79" t="s">
        <v>468</v>
      </c>
      <c r="D79" t="s">
        <v>432</v>
      </c>
      <c r="E79" t="s">
        <v>1180</v>
      </c>
      <c r="F79" s="10">
        <v>45890</v>
      </c>
      <c r="G79" s="10">
        <v>45890</v>
      </c>
      <c r="H79">
        <v>1</v>
      </c>
    </row>
    <row r="80" spans="1:8" ht="15.75" customHeight="1">
      <c r="A80" t="s">
        <v>452</v>
      </c>
      <c r="B80" t="s">
        <v>1224</v>
      </c>
      <c r="C80" t="s">
        <v>451</v>
      </c>
      <c r="D80" t="s">
        <v>432</v>
      </c>
      <c r="E80" t="s">
        <v>1180</v>
      </c>
      <c r="F80" s="10">
        <v>45890</v>
      </c>
      <c r="G80" s="10">
        <v>45890</v>
      </c>
      <c r="H80">
        <v>1</v>
      </c>
    </row>
    <row r="81" spans="1:8" ht="15.75" customHeight="1">
      <c r="A81" t="s">
        <v>1225</v>
      </c>
      <c r="B81" t="s">
        <v>1226</v>
      </c>
      <c r="E81" t="s">
        <v>1180</v>
      </c>
      <c r="F81" s="10">
        <v>45890</v>
      </c>
      <c r="G81" s="10">
        <v>45890</v>
      </c>
      <c r="H81">
        <v>1</v>
      </c>
    </row>
    <row r="82" spans="1:8" ht="15.75" customHeight="1">
      <c r="A82" t="s">
        <v>1227</v>
      </c>
      <c r="B82" t="s">
        <v>1228</v>
      </c>
      <c r="E82" t="s">
        <v>1180</v>
      </c>
      <c r="F82" s="10">
        <v>45890</v>
      </c>
      <c r="G82" s="10">
        <v>45890</v>
      </c>
      <c r="H82">
        <v>1</v>
      </c>
    </row>
    <row r="83" spans="1:8" ht="15.75" customHeight="1">
      <c r="A83" t="s">
        <v>1229</v>
      </c>
      <c r="B83" t="s">
        <v>1230</v>
      </c>
      <c r="E83" t="s">
        <v>1180</v>
      </c>
      <c r="F83" s="10">
        <v>45890</v>
      </c>
      <c r="G83" s="10">
        <v>45890</v>
      </c>
      <c r="H83">
        <v>1</v>
      </c>
    </row>
    <row r="84" spans="1:8" ht="15.75" customHeight="1">
      <c r="A84" t="s">
        <v>628</v>
      </c>
      <c r="B84" t="s">
        <v>1231</v>
      </c>
      <c r="C84" t="s">
        <v>468</v>
      </c>
      <c r="D84" t="s">
        <v>432</v>
      </c>
      <c r="E84" t="s">
        <v>1180</v>
      </c>
      <c r="F84" s="10">
        <v>45890</v>
      </c>
      <c r="G84" s="10">
        <v>45890</v>
      </c>
      <c r="H84">
        <v>1</v>
      </c>
    </row>
    <row r="85" spans="1:8" ht="15.75" customHeight="1">
      <c r="A85" t="s">
        <v>1109</v>
      </c>
      <c r="B85" t="s">
        <v>1232</v>
      </c>
      <c r="C85" t="s">
        <v>1048</v>
      </c>
      <c r="D85" t="s">
        <v>432</v>
      </c>
      <c r="E85" t="s">
        <v>1180</v>
      </c>
      <c r="F85" s="10">
        <v>45890</v>
      </c>
      <c r="G85" s="10">
        <v>45890</v>
      </c>
      <c r="H85">
        <v>1</v>
      </c>
    </row>
    <row r="86" spans="1:8" ht="15.75" customHeight="1">
      <c r="A86" t="s">
        <v>984</v>
      </c>
      <c r="B86" t="s">
        <v>1233</v>
      </c>
      <c r="C86" t="s">
        <v>979</v>
      </c>
      <c r="D86" t="s">
        <v>432</v>
      </c>
      <c r="E86" t="s">
        <v>1180</v>
      </c>
      <c r="F86" s="10">
        <v>45890</v>
      </c>
      <c r="G86" s="10">
        <v>45890</v>
      </c>
      <c r="H86">
        <v>1</v>
      </c>
    </row>
    <row r="87" spans="1:8" ht="15.75" customHeight="1">
      <c r="A87" t="s">
        <v>980</v>
      </c>
      <c r="B87" t="s">
        <v>981</v>
      </c>
      <c r="C87" t="s">
        <v>979</v>
      </c>
      <c r="D87" t="s">
        <v>432</v>
      </c>
      <c r="E87" t="s">
        <v>1180</v>
      </c>
      <c r="F87" s="10">
        <v>45890</v>
      </c>
      <c r="G87" s="10">
        <v>45890</v>
      </c>
      <c r="H87">
        <v>1</v>
      </c>
    </row>
    <row r="88" spans="1:8" ht="15.75" customHeight="1">
      <c r="A88" t="s">
        <v>602</v>
      </c>
      <c r="B88" t="s">
        <v>1234</v>
      </c>
      <c r="C88" t="s">
        <v>599</v>
      </c>
      <c r="D88" t="s">
        <v>432</v>
      </c>
      <c r="E88" t="s">
        <v>1180</v>
      </c>
      <c r="F88" s="10">
        <v>45891</v>
      </c>
      <c r="G88" s="10">
        <v>45891</v>
      </c>
      <c r="H88">
        <v>1</v>
      </c>
    </row>
    <row r="89" spans="1:8" ht="15.75" customHeight="1">
      <c r="A89" t="s">
        <v>549</v>
      </c>
      <c r="B89" t="s">
        <v>1158</v>
      </c>
      <c r="C89" t="s">
        <v>46</v>
      </c>
      <c r="D89" t="s">
        <v>432</v>
      </c>
      <c r="E89" t="s">
        <v>1180</v>
      </c>
      <c r="F89" s="10">
        <v>45891</v>
      </c>
      <c r="G89" s="10">
        <v>45891</v>
      </c>
      <c r="H89">
        <v>1</v>
      </c>
    </row>
    <row r="90" spans="1:8" ht="15.75" customHeight="1">
      <c r="A90" t="s">
        <v>1235</v>
      </c>
      <c r="B90" t="s">
        <v>1236</v>
      </c>
      <c r="E90" t="s">
        <v>1180</v>
      </c>
      <c r="F90" s="10">
        <v>45891</v>
      </c>
      <c r="G90" s="10">
        <v>45891</v>
      </c>
      <c r="H90">
        <v>1</v>
      </c>
    </row>
    <row r="91" spans="1:8" ht="15.75" customHeight="1">
      <c r="A91" t="s">
        <v>565</v>
      </c>
      <c r="B91" t="s">
        <v>1237</v>
      </c>
      <c r="C91" t="s">
        <v>146</v>
      </c>
      <c r="D91" t="s">
        <v>432</v>
      </c>
      <c r="E91" t="s">
        <v>1180</v>
      </c>
      <c r="F91" s="10">
        <v>45891</v>
      </c>
      <c r="G91" s="10">
        <v>45891</v>
      </c>
      <c r="H91">
        <v>1</v>
      </c>
    </row>
    <row r="92" spans="1:8" ht="15.75" customHeight="1">
      <c r="A92" t="s">
        <v>585</v>
      </c>
      <c r="B92" t="s">
        <v>1238</v>
      </c>
      <c r="C92" t="s">
        <v>146</v>
      </c>
      <c r="D92" t="s">
        <v>432</v>
      </c>
      <c r="E92" t="s">
        <v>1180</v>
      </c>
      <c r="F92" s="10">
        <v>45891</v>
      </c>
      <c r="G92" s="10">
        <v>45891</v>
      </c>
      <c r="H92">
        <v>1</v>
      </c>
    </row>
    <row r="93" spans="1:8" ht="15.75" customHeight="1">
      <c r="A93" t="s">
        <v>579</v>
      </c>
      <c r="B93" t="s">
        <v>1170</v>
      </c>
      <c r="C93" t="s">
        <v>146</v>
      </c>
      <c r="D93" t="s">
        <v>432</v>
      </c>
      <c r="E93" t="s">
        <v>1180</v>
      </c>
      <c r="F93" s="10">
        <v>45891</v>
      </c>
      <c r="G93" s="10">
        <v>45891</v>
      </c>
      <c r="H93">
        <v>1</v>
      </c>
    </row>
    <row r="94" spans="1:8" ht="15.75" customHeight="1">
      <c r="A94" t="s">
        <v>561</v>
      </c>
      <c r="B94" t="s">
        <v>1239</v>
      </c>
      <c r="C94" t="s">
        <v>46</v>
      </c>
      <c r="D94" t="s">
        <v>432</v>
      </c>
      <c r="E94" t="s">
        <v>1180</v>
      </c>
      <c r="F94" s="10">
        <v>45891</v>
      </c>
      <c r="G94" s="10">
        <v>45891</v>
      </c>
      <c r="H94">
        <v>1</v>
      </c>
    </row>
    <row r="95" spans="1:8" ht="15.75" customHeight="1">
      <c r="A95" t="s">
        <v>473</v>
      </c>
      <c r="B95" t="s">
        <v>1240</v>
      </c>
      <c r="C95" t="s">
        <v>468</v>
      </c>
      <c r="D95" t="s">
        <v>432</v>
      </c>
      <c r="E95" t="s">
        <v>1180</v>
      </c>
      <c r="F95" s="10">
        <v>45891</v>
      </c>
      <c r="G95" s="10">
        <v>45891</v>
      </c>
      <c r="H95">
        <v>1</v>
      </c>
    </row>
    <row r="96" spans="1:8" ht="15.75" customHeight="1">
      <c r="A96" t="s">
        <v>529</v>
      </c>
      <c r="B96" t="s">
        <v>1241</v>
      </c>
      <c r="C96" t="s">
        <v>468</v>
      </c>
      <c r="D96" t="s">
        <v>432</v>
      </c>
      <c r="E96" t="s">
        <v>1180</v>
      </c>
      <c r="F96" s="10">
        <v>45891</v>
      </c>
      <c r="G96" s="10">
        <v>45891</v>
      </c>
      <c r="H96">
        <v>1</v>
      </c>
    </row>
    <row r="97" spans="1:8" ht="15.75" customHeight="1">
      <c r="A97" t="s">
        <v>533</v>
      </c>
      <c r="B97" t="s">
        <v>1173</v>
      </c>
      <c r="C97" t="s">
        <v>468</v>
      </c>
      <c r="D97" t="s">
        <v>432</v>
      </c>
      <c r="E97" t="s">
        <v>1180</v>
      </c>
      <c r="F97" s="10">
        <v>45891</v>
      </c>
      <c r="G97" s="10">
        <v>45891</v>
      </c>
      <c r="H97">
        <v>1</v>
      </c>
    </row>
    <row r="98" spans="1:8" ht="15.75" customHeight="1">
      <c r="A98" t="s">
        <v>1031</v>
      </c>
      <c r="B98" t="s">
        <v>1242</v>
      </c>
      <c r="C98" t="s">
        <v>1030</v>
      </c>
      <c r="D98" t="s">
        <v>432</v>
      </c>
      <c r="E98" t="s">
        <v>1180</v>
      </c>
      <c r="F98" s="10">
        <v>45891</v>
      </c>
      <c r="G98" s="10">
        <v>45891</v>
      </c>
      <c r="H98">
        <v>1</v>
      </c>
    </row>
    <row r="99" spans="1:8" ht="15.75" customHeight="1">
      <c r="A99" t="s">
        <v>454</v>
      </c>
      <c r="B99" t="s">
        <v>1243</v>
      </c>
      <c r="C99" t="s">
        <v>451</v>
      </c>
      <c r="D99" t="s">
        <v>432</v>
      </c>
      <c r="E99" t="s">
        <v>1180</v>
      </c>
      <c r="F99" s="10">
        <v>45891</v>
      </c>
      <c r="G99" s="10">
        <v>45891</v>
      </c>
      <c r="H99">
        <v>1</v>
      </c>
    </row>
    <row r="100" spans="1:8" ht="15.75" customHeight="1">
      <c r="A100" t="s">
        <v>1244</v>
      </c>
      <c r="B100" t="s">
        <v>1245</v>
      </c>
      <c r="E100" t="s">
        <v>1180</v>
      </c>
      <c r="F100" s="10">
        <v>45891</v>
      </c>
      <c r="G100" s="10">
        <v>45891</v>
      </c>
      <c r="H100">
        <v>1</v>
      </c>
    </row>
    <row r="101" spans="1:8" ht="15.75" customHeight="1">
      <c r="A101" t="s">
        <v>1246</v>
      </c>
      <c r="B101" t="s">
        <v>1247</v>
      </c>
      <c r="E101" t="s">
        <v>1180</v>
      </c>
      <c r="F101" s="10">
        <v>45891</v>
      </c>
      <c r="G101" s="10">
        <v>45891</v>
      </c>
      <c r="H101">
        <v>1</v>
      </c>
    </row>
    <row r="102" spans="1:8" ht="15.75" customHeight="1">
      <c r="A102" t="s">
        <v>1248</v>
      </c>
      <c r="B102" t="s">
        <v>1249</v>
      </c>
      <c r="E102" t="s">
        <v>1180</v>
      </c>
      <c r="F102" s="10">
        <v>45891</v>
      </c>
      <c r="G102" s="10">
        <v>45891</v>
      </c>
      <c r="H102">
        <v>1</v>
      </c>
    </row>
    <row r="103" spans="1:8" ht="15.75" customHeight="1">
      <c r="A103" t="s">
        <v>1101</v>
      </c>
      <c r="B103" t="s">
        <v>1250</v>
      </c>
      <c r="C103" t="s">
        <v>1025</v>
      </c>
      <c r="D103" t="s">
        <v>432</v>
      </c>
      <c r="E103" t="s">
        <v>1180</v>
      </c>
      <c r="F103" s="10">
        <v>45891</v>
      </c>
      <c r="G103" s="10">
        <v>45891</v>
      </c>
      <c r="H103">
        <v>1</v>
      </c>
    </row>
    <row r="104" spans="1:8" ht="15.75" customHeight="1">
      <c r="A104" t="s">
        <v>977</v>
      </c>
      <c r="B104" t="s">
        <v>978</v>
      </c>
      <c r="C104" t="s">
        <v>979</v>
      </c>
      <c r="D104" t="s">
        <v>432</v>
      </c>
      <c r="E104" t="s">
        <v>1180</v>
      </c>
      <c r="F104" s="10">
        <v>45891</v>
      </c>
      <c r="G104" s="10">
        <v>45891</v>
      </c>
      <c r="H104">
        <v>1</v>
      </c>
    </row>
    <row r="105" spans="1:8" ht="15.75" customHeight="1">
      <c r="A105" t="s">
        <v>965</v>
      </c>
      <c r="B105" t="s">
        <v>1251</v>
      </c>
      <c r="C105" t="s">
        <v>967</v>
      </c>
      <c r="D105" t="s">
        <v>432</v>
      </c>
      <c r="E105" t="s">
        <v>1180</v>
      </c>
      <c r="F105" s="10">
        <v>45891</v>
      </c>
      <c r="G105" s="10">
        <v>45891</v>
      </c>
      <c r="H105">
        <v>1</v>
      </c>
    </row>
    <row r="106" spans="1:8" ht="15.75" customHeight="1">
      <c r="A106" t="s">
        <v>1084</v>
      </c>
      <c r="B106" t="s">
        <v>1252</v>
      </c>
      <c r="C106" t="s">
        <v>979</v>
      </c>
      <c r="D106" t="s">
        <v>432</v>
      </c>
      <c r="E106" t="s">
        <v>1180</v>
      </c>
      <c r="F106" s="10">
        <v>45891</v>
      </c>
      <c r="G106" s="10">
        <v>45891</v>
      </c>
      <c r="H106">
        <v>1</v>
      </c>
    </row>
    <row r="107" spans="1:8" ht="15.75" customHeight="1">
      <c r="A107" t="s">
        <v>597</v>
      </c>
      <c r="B107" t="s">
        <v>1253</v>
      </c>
      <c r="C107" t="s">
        <v>599</v>
      </c>
      <c r="D107" t="s">
        <v>432</v>
      </c>
      <c r="E107" t="s">
        <v>1180</v>
      </c>
      <c r="F107" s="10">
        <v>45892</v>
      </c>
      <c r="G107" s="10">
        <v>45892</v>
      </c>
      <c r="H107">
        <v>1</v>
      </c>
    </row>
    <row r="108" spans="1:8" ht="15.75" customHeight="1">
      <c r="A108" t="s">
        <v>547</v>
      </c>
      <c r="B108" t="s">
        <v>1254</v>
      </c>
      <c r="C108" t="s">
        <v>46</v>
      </c>
      <c r="D108" t="s">
        <v>432</v>
      </c>
      <c r="E108" t="s">
        <v>1180</v>
      </c>
      <c r="F108" s="10">
        <v>45892</v>
      </c>
      <c r="G108" s="10">
        <v>45892</v>
      </c>
      <c r="H108">
        <v>1</v>
      </c>
    </row>
    <row r="109" spans="1:8" ht="15.75" customHeight="1">
      <c r="A109" t="s">
        <v>634</v>
      </c>
      <c r="B109" t="s">
        <v>1151</v>
      </c>
      <c r="C109" t="s">
        <v>146</v>
      </c>
      <c r="D109" t="s">
        <v>432</v>
      </c>
      <c r="E109" t="s">
        <v>1180</v>
      </c>
      <c r="F109" s="10">
        <v>45892</v>
      </c>
      <c r="G109" s="10">
        <v>45892</v>
      </c>
      <c r="H109">
        <v>1</v>
      </c>
    </row>
    <row r="110" spans="1:8" ht="15.75" customHeight="1">
      <c r="A110" t="s">
        <v>126</v>
      </c>
      <c r="B110" t="s">
        <v>1255</v>
      </c>
      <c r="C110" t="s">
        <v>71</v>
      </c>
      <c r="D110" t="s">
        <v>19</v>
      </c>
      <c r="E110" t="s">
        <v>1180</v>
      </c>
      <c r="F110" s="10">
        <v>45892</v>
      </c>
      <c r="G110" s="10">
        <v>45892</v>
      </c>
      <c r="H110">
        <v>1</v>
      </c>
    </row>
    <row r="111" spans="1:8" ht="15.75" customHeight="1">
      <c r="A111" t="s">
        <v>551</v>
      </c>
      <c r="B111" t="s">
        <v>1256</v>
      </c>
      <c r="C111" t="s">
        <v>46</v>
      </c>
      <c r="D111" t="s">
        <v>432</v>
      </c>
      <c r="E111" t="s">
        <v>1180</v>
      </c>
      <c r="F111" s="10">
        <v>45892</v>
      </c>
      <c r="G111" s="10">
        <v>45892</v>
      </c>
      <c r="H111">
        <v>1</v>
      </c>
    </row>
    <row r="112" spans="1:8" ht="15.75" customHeight="1">
      <c r="A112" t="s">
        <v>483</v>
      </c>
      <c r="B112" t="s">
        <v>1257</v>
      </c>
      <c r="C112" t="s">
        <v>468</v>
      </c>
      <c r="D112" t="s">
        <v>432</v>
      </c>
      <c r="E112" t="s">
        <v>1180</v>
      </c>
      <c r="F112" s="10">
        <v>45892</v>
      </c>
      <c r="G112" s="10">
        <v>45892</v>
      </c>
      <c r="H112">
        <v>1</v>
      </c>
    </row>
    <row r="113" spans="1:8" ht="15.75" customHeight="1">
      <c r="A113" t="s">
        <v>493</v>
      </c>
      <c r="B113" t="s">
        <v>1258</v>
      </c>
      <c r="C113" t="s">
        <v>468</v>
      </c>
      <c r="D113" t="s">
        <v>432</v>
      </c>
      <c r="E113" t="s">
        <v>1180</v>
      </c>
      <c r="F113" s="10">
        <v>45892</v>
      </c>
      <c r="G113" s="10">
        <v>45892</v>
      </c>
      <c r="H113">
        <v>1</v>
      </c>
    </row>
    <row r="114" spans="1:8" ht="15.75" customHeight="1">
      <c r="A114" t="s">
        <v>495</v>
      </c>
      <c r="B114" t="s">
        <v>1259</v>
      </c>
      <c r="C114" t="s">
        <v>468</v>
      </c>
      <c r="D114" t="s">
        <v>432</v>
      </c>
      <c r="E114" t="s">
        <v>1180</v>
      </c>
      <c r="F114" s="10">
        <v>45892</v>
      </c>
      <c r="G114" s="10">
        <v>45892</v>
      </c>
      <c r="H114">
        <v>1</v>
      </c>
    </row>
    <row r="115" spans="1:8" ht="15.75" customHeight="1">
      <c r="A115" t="s">
        <v>519</v>
      </c>
      <c r="B115" t="s">
        <v>1260</v>
      </c>
      <c r="C115" t="s">
        <v>468</v>
      </c>
      <c r="D115" t="s">
        <v>432</v>
      </c>
      <c r="E115" t="s">
        <v>1180</v>
      </c>
      <c r="F115" s="10">
        <v>45892</v>
      </c>
      <c r="G115" s="10">
        <v>45892</v>
      </c>
      <c r="H115">
        <v>1</v>
      </c>
    </row>
    <row r="116" spans="1:8" ht="15.75" customHeight="1">
      <c r="A116" t="s">
        <v>531</v>
      </c>
      <c r="B116" t="s">
        <v>1261</v>
      </c>
      <c r="C116" t="s">
        <v>468</v>
      </c>
      <c r="D116" t="s">
        <v>432</v>
      </c>
      <c r="E116" t="s">
        <v>1180</v>
      </c>
      <c r="F116" s="10">
        <v>45892</v>
      </c>
      <c r="G116" s="10">
        <v>45892</v>
      </c>
      <c r="H116">
        <v>1</v>
      </c>
    </row>
    <row r="117" spans="1:8" ht="15.75" customHeight="1">
      <c r="A117" t="s">
        <v>1049</v>
      </c>
      <c r="B117" t="s">
        <v>1262</v>
      </c>
      <c r="C117" t="s">
        <v>1048</v>
      </c>
      <c r="D117" t="s">
        <v>432</v>
      </c>
      <c r="E117" t="s">
        <v>1180</v>
      </c>
      <c r="F117" s="10">
        <v>45892</v>
      </c>
      <c r="G117" s="10">
        <v>45892</v>
      </c>
      <c r="H117">
        <v>1</v>
      </c>
    </row>
    <row r="118" spans="1:8" ht="15.75" customHeight="1">
      <c r="A118" t="s">
        <v>1263</v>
      </c>
      <c r="B118" t="s">
        <v>1264</v>
      </c>
      <c r="E118" t="s">
        <v>1180</v>
      </c>
      <c r="F118" s="10">
        <v>45892</v>
      </c>
      <c r="G118" s="10">
        <v>45892</v>
      </c>
      <c r="H118">
        <v>1</v>
      </c>
    </row>
    <row r="119" spans="1:8" ht="15.75" customHeight="1">
      <c r="A119" t="s">
        <v>1265</v>
      </c>
      <c r="B119" t="s">
        <v>1266</v>
      </c>
      <c r="E119" t="s">
        <v>1180</v>
      </c>
      <c r="F119" s="10">
        <v>45892</v>
      </c>
      <c r="G119" s="10">
        <v>45892</v>
      </c>
      <c r="H119">
        <v>1</v>
      </c>
    </row>
    <row r="120" spans="1:8" ht="15.75" customHeight="1">
      <c r="A120" t="s">
        <v>1267</v>
      </c>
      <c r="B120" t="s">
        <v>1268</v>
      </c>
      <c r="E120" t="s">
        <v>1180</v>
      </c>
      <c r="F120" s="10">
        <v>45892</v>
      </c>
      <c r="G120" s="10">
        <v>45892</v>
      </c>
      <c r="H120">
        <v>1</v>
      </c>
    </row>
    <row r="121" spans="1:8" ht="15.75" customHeight="1">
      <c r="A121" t="s">
        <v>626</v>
      </c>
      <c r="B121" t="s">
        <v>627</v>
      </c>
      <c r="C121" t="s">
        <v>468</v>
      </c>
      <c r="D121" t="s">
        <v>432</v>
      </c>
      <c r="E121" t="s">
        <v>1180</v>
      </c>
      <c r="F121" s="10">
        <v>45892</v>
      </c>
      <c r="G121" s="10">
        <v>45892</v>
      </c>
      <c r="H121">
        <v>1</v>
      </c>
    </row>
    <row r="122" spans="1:8" ht="15.75" customHeight="1">
      <c r="A122" t="s">
        <v>1099</v>
      </c>
      <c r="B122" t="s">
        <v>1269</v>
      </c>
      <c r="C122" t="s">
        <v>1025</v>
      </c>
      <c r="D122" t="s">
        <v>432</v>
      </c>
      <c r="E122" t="s">
        <v>1180</v>
      </c>
      <c r="F122" s="10">
        <v>45892</v>
      </c>
      <c r="G122" s="10">
        <v>45892</v>
      </c>
      <c r="H122">
        <v>1</v>
      </c>
    </row>
    <row r="123" spans="1:8" ht="15.75" customHeight="1">
      <c r="A123" t="s">
        <v>988</v>
      </c>
      <c r="B123" t="s">
        <v>1270</v>
      </c>
      <c r="C123" t="s">
        <v>990</v>
      </c>
      <c r="D123" t="s">
        <v>432</v>
      </c>
      <c r="E123" t="s">
        <v>1180</v>
      </c>
      <c r="F123" s="10">
        <v>45892</v>
      </c>
      <c r="G123" s="10">
        <v>45892</v>
      </c>
      <c r="H123">
        <v>1</v>
      </c>
    </row>
    <row r="124" spans="1:8" ht="15.75" customHeight="1">
      <c r="A124" t="s">
        <v>1000</v>
      </c>
      <c r="B124" t="s">
        <v>1271</v>
      </c>
      <c r="C124" t="s">
        <v>999</v>
      </c>
      <c r="D124" t="s">
        <v>432</v>
      </c>
      <c r="E124" t="s">
        <v>1180</v>
      </c>
      <c r="F124" s="10">
        <v>45892</v>
      </c>
      <c r="G124" s="10">
        <v>45892</v>
      </c>
      <c r="H124">
        <v>1</v>
      </c>
    </row>
    <row r="125" spans="1:8" ht="15.75" customHeight="1">
      <c r="A125" t="s">
        <v>972</v>
      </c>
      <c r="B125" t="s">
        <v>1272</v>
      </c>
      <c r="C125" t="s">
        <v>974</v>
      </c>
      <c r="D125" t="s">
        <v>432</v>
      </c>
      <c r="E125" t="s">
        <v>1180</v>
      </c>
      <c r="F125" s="10">
        <v>45892</v>
      </c>
      <c r="G125" s="10">
        <v>45892</v>
      </c>
      <c r="H125">
        <v>1</v>
      </c>
    </row>
    <row r="126" spans="1:8" ht="15.75" customHeight="1">
      <c r="A126" t="s">
        <v>1035</v>
      </c>
      <c r="B126" t="s">
        <v>1273</v>
      </c>
      <c r="C126" t="s">
        <v>1037</v>
      </c>
      <c r="D126" t="s">
        <v>432</v>
      </c>
      <c r="E126" t="s">
        <v>1180</v>
      </c>
      <c r="F126" s="10">
        <v>45902</v>
      </c>
      <c r="G126" s="10">
        <v>45902</v>
      </c>
      <c r="H126">
        <v>1</v>
      </c>
    </row>
    <row r="127" spans="1:8" ht="15.75" customHeight="1">
      <c r="A127" t="s">
        <v>1033</v>
      </c>
      <c r="B127" t="s">
        <v>1274</v>
      </c>
      <c r="C127" t="s">
        <v>921</v>
      </c>
      <c r="D127" t="s">
        <v>432</v>
      </c>
      <c r="E127" t="s">
        <v>1180</v>
      </c>
      <c r="F127" s="10">
        <v>45902</v>
      </c>
      <c r="G127" s="10">
        <v>45902</v>
      </c>
      <c r="H127">
        <v>1</v>
      </c>
    </row>
    <row r="128" spans="1:8" ht="15.75" customHeight="1">
      <c r="A128" t="s">
        <v>593</v>
      </c>
      <c r="B128" t="s">
        <v>1159</v>
      </c>
      <c r="C128" t="s">
        <v>71</v>
      </c>
      <c r="D128" t="s">
        <v>432</v>
      </c>
      <c r="E128" t="s">
        <v>1180</v>
      </c>
      <c r="F128" s="10">
        <v>45902</v>
      </c>
      <c r="G128" s="10">
        <v>45902</v>
      </c>
      <c r="H128">
        <v>1</v>
      </c>
    </row>
    <row r="129" spans="1:8" ht="15.75" customHeight="1">
      <c r="A129" t="s">
        <v>438</v>
      </c>
      <c r="B129" t="s">
        <v>1275</v>
      </c>
      <c r="C129" t="s">
        <v>146</v>
      </c>
      <c r="D129" t="s">
        <v>432</v>
      </c>
      <c r="E129" t="s">
        <v>1180</v>
      </c>
      <c r="F129" s="10">
        <v>45902</v>
      </c>
      <c r="G129" s="10">
        <v>45902</v>
      </c>
      <c r="H129">
        <v>1</v>
      </c>
    </row>
    <row r="130" spans="1:8" ht="15.75" customHeight="1">
      <c r="A130" t="s">
        <v>575</v>
      </c>
      <c r="B130" t="s">
        <v>1154</v>
      </c>
      <c r="C130" t="s">
        <v>146</v>
      </c>
      <c r="D130" t="s">
        <v>432</v>
      </c>
      <c r="E130" t="s">
        <v>1180</v>
      </c>
      <c r="F130" s="10">
        <v>45902</v>
      </c>
      <c r="G130" s="10">
        <v>45902</v>
      </c>
      <c r="H130">
        <v>1</v>
      </c>
    </row>
    <row r="131" spans="1:8" ht="15.75" customHeight="1">
      <c r="A131" t="s">
        <v>563</v>
      </c>
      <c r="B131" t="s">
        <v>1276</v>
      </c>
      <c r="C131" t="s">
        <v>46</v>
      </c>
      <c r="D131" t="s">
        <v>432</v>
      </c>
      <c r="E131" t="s">
        <v>1180</v>
      </c>
      <c r="F131" s="10">
        <v>45902</v>
      </c>
      <c r="G131" s="10">
        <v>45902</v>
      </c>
      <c r="H131">
        <v>1</v>
      </c>
    </row>
    <row r="132" spans="1:8" ht="15.75" customHeight="1">
      <c r="A132" t="s">
        <v>1028</v>
      </c>
      <c r="B132" t="s">
        <v>1277</v>
      </c>
      <c r="C132" t="s">
        <v>1030</v>
      </c>
      <c r="D132" t="s">
        <v>432</v>
      </c>
      <c r="E132" t="s">
        <v>1180</v>
      </c>
      <c r="F132" s="10">
        <v>45902</v>
      </c>
      <c r="G132" s="10">
        <v>45902</v>
      </c>
      <c r="H132">
        <v>1</v>
      </c>
    </row>
    <row r="133" spans="1:8" ht="15.75" customHeight="1">
      <c r="A133" t="s">
        <v>523</v>
      </c>
      <c r="B133" t="s">
        <v>1278</v>
      </c>
      <c r="C133" t="s">
        <v>468</v>
      </c>
      <c r="D133" t="s">
        <v>432</v>
      </c>
      <c r="E133" t="s">
        <v>1180</v>
      </c>
      <c r="F133" s="10">
        <v>45902</v>
      </c>
      <c r="G133" s="10">
        <v>45902</v>
      </c>
      <c r="H133">
        <v>1</v>
      </c>
    </row>
    <row r="134" spans="1:8" ht="15.75" customHeight="1">
      <c r="A134" t="s">
        <v>539</v>
      </c>
      <c r="B134" t="s">
        <v>1167</v>
      </c>
      <c r="C134" t="s">
        <v>468</v>
      </c>
      <c r="D134" t="s">
        <v>432</v>
      </c>
      <c r="E134" t="s">
        <v>1180</v>
      </c>
      <c r="F134" s="10">
        <v>45902</v>
      </c>
      <c r="G134" s="10">
        <v>45902</v>
      </c>
      <c r="H134">
        <v>1</v>
      </c>
    </row>
    <row r="135" spans="1:8" ht="15.75" customHeight="1">
      <c r="A135" t="s">
        <v>543</v>
      </c>
      <c r="B135" t="s">
        <v>1279</v>
      </c>
      <c r="C135" t="s">
        <v>468</v>
      </c>
      <c r="D135" t="s">
        <v>432</v>
      </c>
      <c r="E135" t="s">
        <v>1180</v>
      </c>
      <c r="F135" s="10">
        <v>45902</v>
      </c>
      <c r="G135" s="10">
        <v>45902</v>
      </c>
      <c r="H135">
        <v>1</v>
      </c>
    </row>
    <row r="136" spans="1:8" ht="15.75" customHeight="1">
      <c r="A136" t="s">
        <v>1265</v>
      </c>
      <c r="B136" t="s">
        <v>1280</v>
      </c>
      <c r="E136" t="s">
        <v>1180</v>
      </c>
      <c r="F136" s="10">
        <v>45902</v>
      </c>
      <c r="G136" s="10">
        <v>45902</v>
      </c>
      <c r="H136">
        <v>1</v>
      </c>
    </row>
    <row r="137" spans="1:8" ht="15.75" customHeight="1">
      <c r="A137" t="s">
        <v>1265</v>
      </c>
      <c r="B137" t="s">
        <v>1281</v>
      </c>
      <c r="E137" t="s">
        <v>1180</v>
      </c>
      <c r="F137" s="10">
        <v>45902</v>
      </c>
      <c r="G137" s="10">
        <v>45902</v>
      </c>
      <c r="H137">
        <v>1</v>
      </c>
    </row>
    <row r="138" spans="1:8" ht="15.75" customHeight="1">
      <c r="A138" t="s">
        <v>1265</v>
      </c>
      <c r="B138" t="s">
        <v>616</v>
      </c>
      <c r="E138" t="s">
        <v>1180</v>
      </c>
      <c r="F138" s="10">
        <v>45902</v>
      </c>
      <c r="G138" s="10">
        <v>45902</v>
      </c>
      <c r="H138">
        <v>1</v>
      </c>
    </row>
    <row r="139" spans="1:8" ht="15.75" customHeight="1">
      <c r="A139" t="s">
        <v>1265</v>
      </c>
      <c r="B139" t="s">
        <v>1282</v>
      </c>
      <c r="E139" t="s">
        <v>1180</v>
      </c>
      <c r="F139" s="10">
        <v>45902</v>
      </c>
      <c r="G139" s="10">
        <v>45902</v>
      </c>
      <c r="H139">
        <v>1</v>
      </c>
    </row>
    <row r="140" spans="1:8" ht="15.75" customHeight="1">
      <c r="A140" t="s">
        <v>632</v>
      </c>
      <c r="B140" t="s">
        <v>1283</v>
      </c>
      <c r="C140" t="s">
        <v>46</v>
      </c>
      <c r="D140" t="s">
        <v>432</v>
      </c>
      <c r="E140" t="s">
        <v>1180</v>
      </c>
      <c r="F140" s="10">
        <v>45902</v>
      </c>
      <c r="G140" s="10">
        <v>45902</v>
      </c>
      <c r="H140">
        <v>1</v>
      </c>
    </row>
    <row r="141" spans="1:8" ht="15.75" customHeight="1">
      <c r="A141" t="s">
        <v>640</v>
      </c>
      <c r="B141" t="s">
        <v>1175</v>
      </c>
      <c r="C141" t="s">
        <v>175</v>
      </c>
      <c r="D141" t="s">
        <v>432</v>
      </c>
      <c r="E141" t="s">
        <v>1180</v>
      </c>
      <c r="F141" s="10">
        <v>45902</v>
      </c>
      <c r="G141" s="10">
        <v>45902</v>
      </c>
      <c r="H141">
        <v>1</v>
      </c>
    </row>
    <row r="142" spans="1:8" ht="15.75" customHeight="1">
      <c r="A142" t="s">
        <v>606</v>
      </c>
      <c r="B142" t="s">
        <v>1284</v>
      </c>
      <c r="C142" t="s">
        <v>71</v>
      </c>
      <c r="D142" t="s">
        <v>432</v>
      </c>
      <c r="E142" t="s">
        <v>1180</v>
      </c>
      <c r="F142" s="10">
        <v>45903</v>
      </c>
      <c r="G142" s="10">
        <v>45903</v>
      </c>
      <c r="H142">
        <v>1</v>
      </c>
    </row>
    <row r="143" spans="1:8" ht="15.75" customHeight="1">
      <c r="A143" t="s">
        <v>1071</v>
      </c>
      <c r="B143" t="s">
        <v>1285</v>
      </c>
      <c r="C143" t="s">
        <v>1068</v>
      </c>
      <c r="D143" t="s">
        <v>432</v>
      </c>
      <c r="E143" t="s">
        <v>1180</v>
      </c>
      <c r="F143" s="10">
        <v>45903</v>
      </c>
      <c r="G143" s="10">
        <v>45903</v>
      </c>
      <c r="H143">
        <v>1</v>
      </c>
    </row>
    <row r="144" spans="1:8" ht="15.75" customHeight="1">
      <c r="A144" t="s">
        <v>569</v>
      </c>
      <c r="B144" t="s">
        <v>1286</v>
      </c>
      <c r="C144" t="s">
        <v>146</v>
      </c>
      <c r="D144" t="s">
        <v>432</v>
      </c>
      <c r="E144" t="s">
        <v>1180</v>
      </c>
      <c r="F144" s="10">
        <v>45903</v>
      </c>
      <c r="G144" s="10">
        <v>45903</v>
      </c>
      <c r="H144">
        <v>1</v>
      </c>
    </row>
    <row r="145" spans="1:8" ht="15.75" customHeight="1">
      <c r="A145" t="s">
        <v>671</v>
      </c>
      <c r="B145" t="s">
        <v>1287</v>
      </c>
      <c r="C145" t="s">
        <v>46</v>
      </c>
      <c r="D145" t="s">
        <v>432</v>
      </c>
      <c r="E145" t="s">
        <v>1180</v>
      </c>
      <c r="F145" s="10">
        <v>45903</v>
      </c>
      <c r="G145" s="10">
        <v>45903</v>
      </c>
      <c r="H145">
        <v>1</v>
      </c>
    </row>
    <row r="146" spans="1:8" ht="15.75" customHeight="1">
      <c r="A146" t="s">
        <v>610</v>
      </c>
      <c r="B146" t="s">
        <v>1163</v>
      </c>
      <c r="C146" t="s">
        <v>22</v>
      </c>
      <c r="D146" t="s">
        <v>432</v>
      </c>
      <c r="E146" t="s">
        <v>1180</v>
      </c>
      <c r="F146" s="10">
        <v>45903</v>
      </c>
      <c r="G146" s="10">
        <v>45903</v>
      </c>
      <c r="H146">
        <v>1</v>
      </c>
    </row>
    <row r="147" spans="1:8" ht="15.75" customHeight="1">
      <c r="A147" t="s">
        <v>471</v>
      </c>
      <c r="B147" t="s">
        <v>1288</v>
      </c>
      <c r="C147" t="s">
        <v>468</v>
      </c>
      <c r="D147" t="s">
        <v>432</v>
      </c>
      <c r="E147" t="s">
        <v>1180</v>
      </c>
      <c r="F147" s="10">
        <v>45903</v>
      </c>
      <c r="G147" s="10">
        <v>45903</v>
      </c>
      <c r="H147">
        <v>1</v>
      </c>
    </row>
    <row r="148" spans="1:8" ht="15.75" customHeight="1">
      <c r="A148" t="s">
        <v>1055</v>
      </c>
      <c r="B148" t="s">
        <v>1289</v>
      </c>
      <c r="C148" t="s">
        <v>1057</v>
      </c>
      <c r="D148" t="s">
        <v>432</v>
      </c>
      <c r="E148" t="s">
        <v>1180</v>
      </c>
      <c r="F148" s="10">
        <v>45903</v>
      </c>
      <c r="G148" s="10">
        <v>45903</v>
      </c>
      <c r="H148">
        <v>1</v>
      </c>
    </row>
    <row r="149" spans="1:8" ht="15.75" customHeight="1">
      <c r="A149" t="s">
        <v>475</v>
      </c>
      <c r="B149" t="s">
        <v>1290</v>
      </c>
      <c r="C149" t="s">
        <v>468</v>
      </c>
      <c r="D149" t="s">
        <v>432</v>
      </c>
      <c r="E149" t="s">
        <v>1180</v>
      </c>
      <c r="F149" s="10">
        <v>45903</v>
      </c>
      <c r="G149" s="10">
        <v>45903</v>
      </c>
      <c r="H149">
        <v>1</v>
      </c>
    </row>
    <row r="150" spans="1:8" ht="15.75" customHeight="1">
      <c r="A150" t="s">
        <v>481</v>
      </c>
      <c r="B150" t="s">
        <v>1291</v>
      </c>
      <c r="C150" t="s">
        <v>468</v>
      </c>
      <c r="D150" t="s">
        <v>432</v>
      </c>
      <c r="E150" t="s">
        <v>1180</v>
      </c>
      <c r="F150" s="10">
        <v>45903</v>
      </c>
      <c r="G150" s="10">
        <v>45903</v>
      </c>
      <c r="H150">
        <v>1</v>
      </c>
    </row>
    <row r="151" spans="1:8" ht="15.75" customHeight="1">
      <c r="A151" t="s">
        <v>535</v>
      </c>
      <c r="B151" t="s">
        <v>1292</v>
      </c>
      <c r="C151" t="s">
        <v>468</v>
      </c>
      <c r="D151" t="s">
        <v>432</v>
      </c>
      <c r="E151" t="s">
        <v>1180</v>
      </c>
      <c r="F151" s="10">
        <v>45903</v>
      </c>
      <c r="G151" s="10">
        <v>45903</v>
      </c>
      <c r="H151">
        <v>1</v>
      </c>
    </row>
    <row r="152" spans="1:8" ht="15.75" customHeight="1">
      <c r="A152" t="s">
        <v>1051</v>
      </c>
      <c r="B152" t="s">
        <v>1293</v>
      </c>
      <c r="C152" t="s">
        <v>1048</v>
      </c>
      <c r="D152" t="s">
        <v>432</v>
      </c>
      <c r="E152" t="s">
        <v>1180</v>
      </c>
      <c r="F152" s="10">
        <v>45903</v>
      </c>
      <c r="G152" s="10">
        <v>45903</v>
      </c>
      <c r="H152">
        <v>1</v>
      </c>
    </row>
    <row r="153" spans="1:8" ht="15.75" customHeight="1">
      <c r="A153" t="s">
        <v>464</v>
      </c>
      <c r="B153" t="s">
        <v>1294</v>
      </c>
      <c r="C153" t="s">
        <v>100</v>
      </c>
      <c r="D153" t="s">
        <v>432</v>
      </c>
      <c r="E153" t="s">
        <v>1180</v>
      </c>
      <c r="F153" s="10">
        <v>45903</v>
      </c>
      <c r="G153" s="10">
        <v>45903</v>
      </c>
      <c r="H153">
        <v>1</v>
      </c>
    </row>
    <row r="154" spans="1:8" ht="15.75" customHeight="1">
      <c r="A154" t="s">
        <v>1295</v>
      </c>
      <c r="B154" t="s">
        <v>1296</v>
      </c>
      <c r="E154" t="s">
        <v>1180</v>
      </c>
      <c r="F154" s="10">
        <v>45903</v>
      </c>
      <c r="G154" s="10">
        <v>45903</v>
      </c>
      <c r="H154">
        <v>1</v>
      </c>
    </row>
    <row r="155" spans="1:8" ht="15.75" customHeight="1">
      <c r="A155" t="s">
        <v>1297</v>
      </c>
      <c r="B155" t="s">
        <v>1298</v>
      </c>
      <c r="E155" t="s">
        <v>1180</v>
      </c>
      <c r="F155" s="10">
        <v>45903</v>
      </c>
      <c r="G155" s="10">
        <v>45903</v>
      </c>
      <c r="H155">
        <v>1</v>
      </c>
    </row>
    <row r="156" spans="1:8" ht="15.75" customHeight="1">
      <c r="A156" t="s">
        <v>1299</v>
      </c>
      <c r="B156" t="s">
        <v>1300</v>
      </c>
      <c r="E156" t="s">
        <v>1180</v>
      </c>
      <c r="F156" s="10">
        <v>45903</v>
      </c>
      <c r="G156" s="10">
        <v>45903</v>
      </c>
      <c r="H156">
        <v>1</v>
      </c>
    </row>
    <row r="157" spans="1:8" ht="15.75" customHeight="1">
      <c r="A157" t="s">
        <v>1265</v>
      </c>
      <c r="B157" t="s">
        <v>1301</v>
      </c>
      <c r="E157" t="s">
        <v>1180</v>
      </c>
      <c r="F157" s="10">
        <v>45903</v>
      </c>
      <c r="G157" s="10">
        <v>45903</v>
      </c>
      <c r="H157">
        <v>1</v>
      </c>
    </row>
    <row r="158" spans="1:8" ht="15.75" customHeight="1">
      <c r="A158" t="s">
        <v>1107</v>
      </c>
      <c r="B158" t="s">
        <v>1302</v>
      </c>
      <c r="C158" t="s">
        <v>1048</v>
      </c>
      <c r="D158" t="s">
        <v>432</v>
      </c>
      <c r="E158" t="s">
        <v>1180</v>
      </c>
      <c r="F158" s="10">
        <v>45903</v>
      </c>
      <c r="G158" s="10">
        <v>45903</v>
      </c>
      <c r="H158">
        <v>1</v>
      </c>
    </row>
    <row r="159" spans="1:8" ht="15.75" customHeight="1">
      <c r="A159" t="s">
        <v>1073</v>
      </c>
      <c r="B159" t="s">
        <v>1303</v>
      </c>
      <c r="C159" t="s">
        <v>1068</v>
      </c>
      <c r="D159" t="s">
        <v>432</v>
      </c>
      <c r="E159" t="s">
        <v>1180</v>
      </c>
      <c r="F159" s="10">
        <v>45904</v>
      </c>
      <c r="G159" s="10">
        <v>45904</v>
      </c>
      <c r="H159">
        <v>1</v>
      </c>
    </row>
    <row r="160" spans="1:8" ht="15.75" customHeight="1">
      <c r="A160" t="s">
        <v>557</v>
      </c>
      <c r="B160" t="s">
        <v>1155</v>
      </c>
      <c r="C160" t="s">
        <v>46</v>
      </c>
      <c r="D160" t="s">
        <v>432</v>
      </c>
      <c r="E160" t="s">
        <v>1180</v>
      </c>
      <c r="F160" s="10">
        <v>45904</v>
      </c>
      <c r="G160" s="10">
        <v>45904</v>
      </c>
      <c r="H160">
        <v>1</v>
      </c>
    </row>
    <row r="161" spans="1:8" ht="15.75" customHeight="1">
      <c r="A161" t="s">
        <v>1066</v>
      </c>
      <c r="B161" t="s">
        <v>1304</v>
      </c>
      <c r="C161" t="s">
        <v>1068</v>
      </c>
      <c r="D161" t="s">
        <v>432</v>
      </c>
      <c r="E161" t="s">
        <v>1180</v>
      </c>
      <c r="F161" s="10">
        <v>45904</v>
      </c>
      <c r="G161" s="10">
        <v>45904</v>
      </c>
      <c r="H161">
        <v>1</v>
      </c>
    </row>
    <row r="162" spans="1:8" ht="15.75" customHeight="1">
      <c r="A162" t="s">
        <v>501</v>
      </c>
      <c r="B162" t="s">
        <v>1305</v>
      </c>
      <c r="C162" t="s">
        <v>468</v>
      </c>
      <c r="D162" t="s">
        <v>432</v>
      </c>
      <c r="E162" t="s">
        <v>1180</v>
      </c>
      <c r="F162" s="10">
        <v>45904</v>
      </c>
      <c r="G162" s="10">
        <v>45904</v>
      </c>
      <c r="H162">
        <v>1</v>
      </c>
    </row>
    <row r="163" spans="1:8" ht="15.75" customHeight="1">
      <c r="A163" t="s">
        <v>1306</v>
      </c>
      <c r="B163" t="s">
        <v>1307</v>
      </c>
      <c r="E163" t="s">
        <v>1180</v>
      </c>
      <c r="F163" s="10">
        <v>45904</v>
      </c>
      <c r="G163" s="10">
        <v>45904</v>
      </c>
      <c r="H163">
        <v>1</v>
      </c>
    </row>
    <row r="164" spans="1:8" ht="15.75" customHeight="1">
      <c r="A164" t="s">
        <v>515</v>
      </c>
      <c r="B164" t="s">
        <v>1166</v>
      </c>
      <c r="C164" t="s">
        <v>468</v>
      </c>
      <c r="D164" t="s">
        <v>432</v>
      </c>
      <c r="E164" t="s">
        <v>1180</v>
      </c>
      <c r="F164" s="10">
        <v>45904</v>
      </c>
      <c r="G164" s="10">
        <v>45904</v>
      </c>
      <c r="H164">
        <v>1</v>
      </c>
    </row>
    <row r="165" spans="1:8" ht="15.75" customHeight="1">
      <c r="A165" t="s">
        <v>517</v>
      </c>
      <c r="B165" t="s">
        <v>1308</v>
      </c>
      <c r="C165" t="s">
        <v>468</v>
      </c>
      <c r="D165" t="s">
        <v>432</v>
      </c>
      <c r="E165" t="s">
        <v>1180</v>
      </c>
      <c r="F165" s="10">
        <v>45904</v>
      </c>
      <c r="G165" s="10">
        <v>45904</v>
      </c>
      <c r="H165">
        <v>1</v>
      </c>
    </row>
    <row r="166" spans="1:8" ht="15.75" customHeight="1">
      <c r="A166" t="s">
        <v>527</v>
      </c>
      <c r="B166" t="s">
        <v>1309</v>
      </c>
      <c r="C166" t="s">
        <v>468</v>
      </c>
      <c r="D166" t="s">
        <v>432</v>
      </c>
      <c r="E166" t="s">
        <v>1180</v>
      </c>
      <c r="F166" s="10">
        <v>45904</v>
      </c>
      <c r="G166" s="10">
        <v>45904</v>
      </c>
      <c r="H166">
        <v>1</v>
      </c>
    </row>
    <row r="167" spans="1:8" ht="15.75" customHeight="1">
      <c r="A167" t="s">
        <v>1053</v>
      </c>
      <c r="B167" t="s">
        <v>1310</v>
      </c>
      <c r="C167" t="s">
        <v>1048</v>
      </c>
      <c r="D167" t="s">
        <v>432</v>
      </c>
      <c r="E167" t="s">
        <v>1180</v>
      </c>
      <c r="F167" s="10">
        <v>45904</v>
      </c>
      <c r="G167" s="10">
        <v>45904</v>
      </c>
      <c r="H167">
        <v>1</v>
      </c>
    </row>
    <row r="168" spans="1:8" ht="15.75" customHeight="1">
      <c r="A168" t="s">
        <v>449</v>
      </c>
      <c r="B168" t="s">
        <v>1174</v>
      </c>
      <c r="C168" t="s">
        <v>451</v>
      </c>
      <c r="D168" t="s">
        <v>432</v>
      </c>
      <c r="E168" t="s">
        <v>1180</v>
      </c>
      <c r="F168" s="10">
        <v>45904</v>
      </c>
      <c r="G168" s="10">
        <v>45904</v>
      </c>
      <c r="H168">
        <v>1</v>
      </c>
    </row>
    <row r="169" spans="1:8" ht="15.75" customHeight="1">
      <c r="A169" t="s">
        <v>1311</v>
      </c>
      <c r="B169" t="s">
        <v>1312</v>
      </c>
      <c r="E169" t="s">
        <v>1180</v>
      </c>
      <c r="F169" s="10">
        <v>45904</v>
      </c>
      <c r="G169" s="10">
        <v>45904</v>
      </c>
      <c r="H169">
        <v>1</v>
      </c>
    </row>
    <row r="170" spans="1:8" ht="15.75" customHeight="1">
      <c r="A170" t="s">
        <v>1313</v>
      </c>
      <c r="B170" t="s">
        <v>1314</v>
      </c>
      <c r="E170" t="s">
        <v>1180</v>
      </c>
      <c r="F170" s="10">
        <v>45904</v>
      </c>
      <c r="G170" s="10">
        <v>45904</v>
      </c>
      <c r="H170">
        <v>1</v>
      </c>
    </row>
    <row r="171" spans="1:8" ht="15.75" customHeight="1">
      <c r="A171" t="s">
        <v>1315</v>
      </c>
      <c r="B171" t="s">
        <v>1316</v>
      </c>
      <c r="E171" t="s">
        <v>1180</v>
      </c>
      <c r="F171" s="10">
        <v>45904</v>
      </c>
      <c r="G171" s="10">
        <v>45904</v>
      </c>
      <c r="H171">
        <v>1</v>
      </c>
    </row>
    <row r="172" spans="1:8" ht="15.75" customHeight="1">
      <c r="A172" t="s">
        <v>623</v>
      </c>
      <c r="B172" t="s">
        <v>1317</v>
      </c>
      <c r="C172" t="s">
        <v>468</v>
      </c>
      <c r="D172" t="s">
        <v>432</v>
      </c>
      <c r="E172" t="s">
        <v>1180</v>
      </c>
      <c r="F172" s="10">
        <v>45904</v>
      </c>
      <c r="G172" s="10">
        <v>45904</v>
      </c>
      <c r="H172">
        <v>1</v>
      </c>
    </row>
    <row r="173" spans="1:8" ht="15.75" customHeight="1">
      <c r="A173" t="s">
        <v>479</v>
      </c>
      <c r="B173" t="s">
        <v>480</v>
      </c>
      <c r="C173" t="s">
        <v>468</v>
      </c>
      <c r="D173" t="s">
        <v>432</v>
      </c>
      <c r="E173" t="s">
        <v>1180</v>
      </c>
      <c r="F173" s="10">
        <v>45904</v>
      </c>
      <c r="G173" s="10">
        <v>45904</v>
      </c>
      <c r="H173">
        <v>1</v>
      </c>
    </row>
    <row r="174" spans="1:8" ht="15.75" customHeight="1">
      <c r="A174" t="s">
        <v>621</v>
      </c>
      <c r="B174" t="s">
        <v>1318</v>
      </c>
      <c r="C174" t="s">
        <v>468</v>
      </c>
      <c r="D174" t="s">
        <v>432</v>
      </c>
      <c r="E174" t="s">
        <v>1180</v>
      </c>
      <c r="F174" s="10">
        <v>45904</v>
      </c>
      <c r="G174" s="10">
        <v>45904</v>
      </c>
      <c r="H174">
        <v>1</v>
      </c>
    </row>
    <row r="175" spans="1:8" ht="15.75" customHeight="1">
      <c r="A175" t="s">
        <v>619</v>
      </c>
      <c r="B175" t="s">
        <v>1319</v>
      </c>
      <c r="C175" t="s">
        <v>468</v>
      </c>
      <c r="D175" t="s">
        <v>432</v>
      </c>
      <c r="E175" t="s">
        <v>1180</v>
      </c>
      <c r="F175" s="10">
        <v>45904</v>
      </c>
      <c r="G175" s="10">
        <v>45904</v>
      </c>
      <c r="H175">
        <v>1</v>
      </c>
    </row>
    <row r="176" spans="1:8" ht="15.75" customHeight="1">
      <c r="A176" t="s">
        <v>587</v>
      </c>
      <c r="B176" t="s">
        <v>1169</v>
      </c>
      <c r="C176" t="s">
        <v>146</v>
      </c>
      <c r="D176" t="s">
        <v>432</v>
      </c>
      <c r="E176" t="s">
        <v>1180</v>
      </c>
      <c r="F176" s="10">
        <v>45905</v>
      </c>
      <c r="G176" s="10">
        <v>45905</v>
      </c>
      <c r="H176">
        <v>1</v>
      </c>
    </row>
    <row r="177" spans="1:8" ht="15.75" customHeight="1">
      <c r="A177" t="s">
        <v>583</v>
      </c>
      <c r="B177" t="s">
        <v>1320</v>
      </c>
      <c r="C177" t="s">
        <v>146</v>
      </c>
      <c r="D177" t="s">
        <v>432</v>
      </c>
      <c r="E177" t="s">
        <v>1180</v>
      </c>
      <c r="F177" s="10">
        <v>45905</v>
      </c>
      <c r="G177" s="10">
        <v>45905</v>
      </c>
      <c r="H177">
        <v>1</v>
      </c>
    </row>
    <row r="178" spans="1:8" ht="15.75" customHeight="1">
      <c r="A178" t="s">
        <v>1060</v>
      </c>
      <c r="B178" t="s">
        <v>1321</v>
      </c>
      <c r="C178" t="s">
        <v>1057</v>
      </c>
      <c r="D178" t="s">
        <v>432</v>
      </c>
      <c r="E178" t="s">
        <v>1180</v>
      </c>
      <c r="F178" s="10">
        <v>45905</v>
      </c>
      <c r="G178" s="10">
        <v>45905</v>
      </c>
      <c r="H178">
        <v>1</v>
      </c>
    </row>
    <row r="179" spans="1:8" ht="15.75" customHeight="1">
      <c r="A179" t="s">
        <v>491</v>
      </c>
      <c r="B179" t="s">
        <v>1165</v>
      </c>
      <c r="C179" t="s">
        <v>468</v>
      </c>
      <c r="D179" t="s">
        <v>432</v>
      </c>
      <c r="E179" t="s">
        <v>1180</v>
      </c>
      <c r="F179" s="10">
        <v>45905</v>
      </c>
      <c r="G179" s="10">
        <v>45905</v>
      </c>
      <c r="H179">
        <v>1</v>
      </c>
    </row>
    <row r="180" spans="1:8" ht="15.75" customHeight="1">
      <c r="A180" t="s">
        <v>513</v>
      </c>
      <c r="B180" t="s">
        <v>1322</v>
      </c>
      <c r="C180" t="s">
        <v>468</v>
      </c>
      <c r="D180" t="s">
        <v>432</v>
      </c>
      <c r="E180" t="s">
        <v>1180</v>
      </c>
      <c r="F180" s="10">
        <v>45905</v>
      </c>
      <c r="G180" s="10">
        <v>45905</v>
      </c>
      <c r="H180">
        <v>1</v>
      </c>
    </row>
    <row r="181" spans="1:8" ht="15.75" customHeight="1">
      <c r="A181" t="s">
        <v>521</v>
      </c>
      <c r="B181" t="s">
        <v>1156</v>
      </c>
      <c r="C181" t="s">
        <v>100</v>
      </c>
      <c r="D181" t="s">
        <v>432</v>
      </c>
      <c r="E181" t="s">
        <v>1180</v>
      </c>
      <c r="F181" s="10">
        <v>45905</v>
      </c>
      <c r="G181" s="10">
        <v>45905</v>
      </c>
      <c r="H181">
        <v>1</v>
      </c>
    </row>
    <row r="182" spans="1:8" ht="15.75" customHeight="1">
      <c r="A182" t="s">
        <v>462</v>
      </c>
      <c r="B182" t="s">
        <v>1323</v>
      </c>
      <c r="C182" t="s">
        <v>100</v>
      </c>
      <c r="D182" t="s">
        <v>432</v>
      </c>
      <c r="E182" t="s">
        <v>1180</v>
      </c>
      <c r="F182" s="10">
        <v>45905</v>
      </c>
      <c r="G182" s="10">
        <v>45905</v>
      </c>
      <c r="H182">
        <v>1</v>
      </c>
    </row>
    <row r="183" spans="1:8" ht="15.75" customHeight="1">
      <c r="A183" t="s">
        <v>1026</v>
      </c>
      <c r="B183" t="s">
        <v>1324</v>
      </c>
      <c r="C183" t="s">
        <v>1025</v>
      </c>
      <c r="D183" t="s">
        <v>432</v>
      </c>
      <c r="E183" t="s">
        <v>1180</v>
      </c>
      <c r="F183" s="10">
        <v>45905</v>
      </c>
      <c r="G183" s="10">
        <v>45905</v>
      </c>
      <c r="H183">
        <v>1</v>
      </c>
    </row>
    <row r="184" spans="1:8" ht="15.75" customHeight="1">
      <c r="A184" t="s">
        <v>1046</v>
      </c>
      <c r="B184" t="s">
        <v>1325</v>
      </c>
      <c r="C184" t="s">
        <v>1048</v>
      </c>
      <c r="D184" t="s">
        <v>432</v>
      </c>
      <c r="E184" t="s">
        <v>1180</v>
      </c>
      <c r="F184" s="10">
        <v>45905</v>
      </c>
      <c r="G184" s="10">
        <v>45905</v>
      </c>
      <c r="H184">
        <v>1</v>
      </c>
    </row>
    <row r="185" spans="1:8" ht="15.75" customHeight="1">
      <c r="A185" t="s">
        <v>458</v>
      </c>
      <c r="B185" t="s">
        <v>1326</v>
      </c>
      <c r="C185" t="s">
        <v>451</v>
      </c>
      <c r="D185" t="s">
        <v>432</v>
      </c>
      <c r="E185" t="s">
        <v>1180</v>
      </c>
      <c r="F185" s="10">
        <v>45905</v>
      </c>
      <c r="G185" s="10">
        <v>45905</v>
      </c>
      <c r="H185">
        <v>1</v>
      </c>
    </row>
    <row r="186" spans="1:8" ht="15.75" customHeight="1">
      <c r="A186" t="s">
        <v>1327</v>
      </c>
      <c r="B186" t="s">
        <v>1328</v>
      </c>
      <c r="E186" t="s">
        <v>1180</v>
      </c>
      <c r="F186" s="10">
        <v>45905</v>
      </c>
      <c r="G186" s="10">
        <v>45905</v>
      </c>
      <c r="H186">
        <v>1</v>
      </c>
    </row>
    <row r="187" spans="1:8" ht="15.75" customHeight="1">
      <c r="A187" t="s">
        <v>1265</v>
      </c>
      <c r="B187" t="s">
        <v>1329</v>
      </c>
      <c r="E187" t="s">
        <v>1180</v>
      </c>
      <c r="F187" s="10">
        <v>45905</v>
      </c>
      <c r="G187" s="10">
        <v>45905</v>
      </c>
      <c r="H187">
        <v>1</v>
      </c>
    </row>
    <row r="188" spans="1:8" ht="15.75" customHeight="1">
      <c r="A188" t="s">
        <v>1330</v>
      </c>
      <c r="B188" t="s">
        <v>1331</v>
      </c>
      <c r="E188" t="s">
        <v>1180</v>
      </c>
      <c r="F188" s="10">
        <v>45905</v>
      </c>
      <c r="G188" s="10">
        <v>45905</v>
      </c>
      <c r="H188">
        <v>1</v>
      </c>
    </row>
    <row r="189" spans="1:8" ht="15.75" customHeight="1">
      <c r="A189" t="s">
        <v>1332</v>
      </c>
      <c r="B189" t="s">
        <v>1333</v>
      </c>
      <c r="E189" t="s">
        <v>1180</v>
      </c>
      <c r="F189" s="10">
        <v>45905</v>
      </c>
      <c r="G189" s="10">
        <v>45905</v>
      </c>
      <c r="H189">
        <v>1</v>
      </c>
    </row>
    <row r="190" spans="1:8" ht="15.75" customHeight="1">
      <c r="A190" t="s">
        <v>617</v>
      </c>
      <c r="B190" t="s">
        <v>1334</v>
      </c>
      <c r="C190" t="s">
        <v>468</v>
      </c>
      <c r="D190" t="s">
        <v>432</v>
      </c>
      <c r="E190" t="s">
        <v>1180</v>
      </c>
      <c r="F190" s="10">
        <v>45905</v>
      </c>
      <c r="G190" s="10">
        <v>45905</v>
      </c>
      <c r="H190">
        <v>1</v>
      </c>
    </row>
    <row r="191" spans="1:8" ht="15.75" customHeight="1">
      <c r="A191" t="s">
        <v>1105</v>
      </c>
      <c r="B191" t="s">
        <v>1335</v>
      </c>
      <c r="C191" t="s">
        <v>1043</v>
      </c>
      <c r="D191" t="s">
        <v>432</v>
      </c>
      <c r="E191" t="s">
        <v>1180</v>
      </c>
      <c r="F191" s="10">
        <v>45905</v>
      </c>
      <c r="G191" s="10">
        <v>45905</v>
      </c>
      <c r="H191">
        <v>1</v>
      </c>
    </row>
    <row r="192" spans="1:8" ht="15.75" customHeight="1">
      <c r="A192" t="s">
        <v>1064</v>
      </c>
      <c r="B192" t="s">
        <v>1336</v>
      </c>
      <c r="C192" t="s">
        <v>1057</v>
      </c>
      <c r="D192" t="s">
        <v>432</v>
      </c>
      <c r="E192" t="s">
        <v>1180</v>
      </c>
      <c r="F192" s="10">
        <v>45906</v>
      </c>
      <c r="G192" s="10">
        <v>45906</v>
      </c>
      <c r="H192">
        <v>1</v>
      </c>
    </row>
    <row r="193" spans="1:8" ht="15.75" customHeight="1">
      <c r="A193" t="s">
        <v>477</v>
      </c>
      <c r="B193" t="s">
        <v>1337</v>
      </c>
      <c r="C193" t="s">
        <v>468</v>
      </c>
      <c r="D193" t="s">
        <v>432</v>
      </c>
      <c r="E193" t="s">
        <v>1180</v>
      </c>
      <c r="F193" s="10">
        <v>45906</v>
      </c>
      <c r="G193" s="10">
        <v>45906</v>
      </c>
      <c r="H193">
        <v>1</v>
      </c>
    </row>
    <row r="194" spans="1:8" ht="15.75" customHeight="1">
      <c r="A194" t="s">
        <v>487</v>
      </c>
      <c r="B194" t="s">
        <v>1338</v>
      </c>
      <c r="C194" t="s">
        <v>468</v>
      </c>
      <c r="D194" t="s">
        <v>432</v>
      </c>
      <c r="E194" t="s">
        <v>1180</v>
      </c>
      <c r="F194" s="10">
        <v>45906</v>
      </c>
      <c r="G194" s="10">
        <v>45906</v>
      </c>
      <c r="H194">
        <v>1</v>
      </c>
    </row>
    <row r="195" spans="1:8" ht="15.75" customHeight="1">
      <c r="A195" t="s">
        <v>1339</v>
      </c>
      <c r="B195" t="s">
        <v>1340</v>
      </c>
      <c r="E195" t="s">
        <v>1180</v>
      </c>
      <c r="F195" s="10">
        <v>45906</v>
      </c>
      <c r="G195" s="10">
        <v>45906</v>
      </c>
      <c r="H195">
        <v>1</v>
      </c>
    </row>
    <row r="196" spans="1:8" ht="15.75" customHeight="1">
      <c r="A196" t="s">
        <v>503</v>
      </c>
      <c r="B196" t="s">
        <v>1172</v>
      </c>
      <c r="C196" t="s">
        <v>468</v>
      </c>
      <c r="D196" t="s">
        <v>432</v>
      </c>
      <c r="E196" t="s">
        <v>1180</v>
      </c>
      <c r="F196" s="10">
        <v>45906</v>
      </c>
      <c r="G196" s="10">
        <v>45906</v>
      </c>
      <c r="H196">
        <v>1</v>
      </c>
    </row>
    <row r="197" spans="1:8" ht="15.75" customHeight="1">
      <c r="A197" t="s">
        <v>446</v>
      </c>
      <c r="B197" t="s">
        <v>1341</v>
      </c>
      <c r="C197" t="s">
        <v>448</v>
      </c>
      <c r="D197" t="s">
        <v>432</v>
      </c>
      <c r="E197" t="s">
        <v>1180</v>
      </c>
      <c r="F197" s="10">
        <v>45906</v>
      </c>
      <c r="G197" s="10">
        <v>45906</v>
      </c>
      <c r="H197">
        <v>1</v>
      </c>
    </row>
    <row r="198" spans="1:8" ht="15.75" customHeight="1">
      <c r="A198" t="s">
        <v>1044</v>
      </c>
      <c r="B198" t="s">
        <v>1342</v>
      </c>
      <c r="C198" t="s">
        <v>1043</v>
      </c>
      <c r="D198" t="s">
        <v>432</v>
      </c>
      <c r="E198" t="s">
        <v>1180</v>
      </c>
      <c r="F198" s="10">
        <v>45906</v>
      </c>
      <c r="G198" s="10">
        <v>45906</v>
      </c>
      <c r="H198">
        <v>1</v>
      </c>
    </row>
    <row r="199" spans="1:8" ht="15.75" customHeight="1">
      <c r="A199" t="s">
        <v>1038</v>
      </c>
      <c r="B199" t="s">
        <v>1343</v>
      </c>
      <c r="C199" t="s">
        <v>1040</v>
      </c>
      <c r="D199" t="s">
        <v>432</v>
      </c>
      <c r="E199" t="s">
        <v>1180</v>
      </c>
      <c r="F199" s="10">
        <v>45906</v>
      </c>
      <c r="G199" s="10">
        <v>45906</v>
      </c>
      <c r="H199">
        <v>1</v>
      </c>
    </row>
    <row r="200" spans="1:8" ht="15.75" customHeight="1">
      <c r="A200" t="s">
        <v>1265</v>
      </c>
      <c r="B200" t="s">
        <v>1344</v>
      </c>
      <c r="E200" t="s">
        <v>1180</v>
      </c>
      <c r="F200" s="10">
        <v>45906</v>
      </c>
      <c r="G200" s="10">
        <v>45906</v>
      </c>
      <c r="H200">
        <v>1</v>
      </c>
    </row>
    <row r="201" spans="1:8" ht="15.75" customHeight="1">
      <c r="A201" t="s">
        <v>1265</v>
      </c>
      <c r="B201" t="s">
        <v>1345</v>
      </c>
      <c r="E201" t="s">
        <v>1180</v>
      </c>
      <c r="F201" s="10">
        <v>45906</v>
      </c>
      <c r="G201" s="10">
        <v>45906</v>
      </c>
      <c r="H201">
        <v>1</v>
      </c>
    </row>
    <row r="202" spans="1:8" ht="15.75" customHeight="1">
      <c r="A202" t="s">
        <v>1265</v>
      </c>
      <c r="B202" t="s">
        <v>1346</v>
      </c>
      <c r="E202" t="s">
        <v>1180</v>
      </c>
      <c r="F202" s="10">
        <v>45906</v>
      </c>
      <c r="G202" s="10">
        <v>45906</v>
      </c>
      <c r="H202">
        <v>1</v>
      </c>
    </row>
    <row r="203" spans="1:8" ht="15.75" customHeight="1">
      <c r="A203" t="s">
        <v>1265</v>
      </c>
      <c r="B203" t="s">
        <v>1347</v>
      </c>
      <c r="E203" t="s">
        <v>1180</v>
      </c>
      <c r="F203" s="10">
        <v>45906</v>
      </c>
      <c r="G203" s="10">
        <v>45906</v>
      </c>
      <c r="H203">
        <v>1</v>
      </c>
    </row>
    <row r="204" spans="1:8" ht="15.75" customHeight="1">
      <c r="A204" t="s">
        <v>1265</v>
      </c>
      <c r="B204" t="s">
        <v>1348</v>
      </c>
      <c r="E204" t="s">
        <v>1180</v>
      </c>
      <c r="F204" s="10">
        <v>45906</v>
      </c>
      <c r="G204" s="10">
        <v>45906</v>
      </c>
      <c r="H204">
        <v>1</v>
      </c>
    </row>
    <row r="205" spans="1:8" ht="15.75" customHeight="1">
      <c r="A205" t="s">
        <v>139</v>
      </c>
      <c r="B205" t="s">
        <v>1349</v>
      </c>
      <c r="C205" t="s">
        <v>100</v>
      </c>
      <c r="D205" t="s">
        <v>138</v>
      </c>
      <c r="E205" t="s">
        <v>1180</v>
      </c>
      <c r="F205" s="10">
        <v>45906</v>
      </c>
      <c r="G205" s="10">
        <v>45906</v>
      </c>
      <c r="H205">
        <v>1</v>
      </c>
    </row>
    <row r="206" spans="1:8" ht="15.75" customHeight="1">
      <c r="A206" t="s">
        <v>638</v>
      </c>
      <c r="B206" t="s">
        <v>1153</v>
      </c>
      <c r="C206" t="s">
        <v>146</v>
      </c>
      <c r="D206" t="s">
        <v>432</v>
      </c>
      <c r="E206" t="s">
        <v>1180</v>
      </c>
      <c r="F206" s="10">
        <v>45906</v>
      </c>
      <c r="G206" s="10">
        <v>45906</v>
      </c>
      <c r="H206">
        <v>1</v>
      </c>
    </row>
    <row r="207" spans="1:8" ht="15.75" customHeight="1">
      <c r="A207" t="s">
        <v>1350</v>
      </c>
      <c r="B207" t="s">
        <v>1351</v>
      </c>
      <c r="E207" t="s">
        <v>1180</v>
      </c>
      <c r="F207" s="10">
        <v>45906</v>
      </c>
      <c r="G207" s="10">
        <v>45906</v>
      </c>
      <c r="H207">
        <v>1</v>
      </c>
    </row>
    <row r="208" spans="1:8" ht="15.75" customHeight="1">
      <c r="A208" t="s">
        <v>1178</v>
      </c>
    </row>
    <row r="209" spans="1:8" ht="15.75" customHeight="1">
      <c r="A209" t="s">
        <v>547</v>
      </c>
      <c r="B209" t="s">
        <v>1254</v>
      </c>
      <c r="C209" t="s">
        <v>46</v>
      </c>
      <c r="D209" t="s">
        <v>432</v>
      </c>
      <c r="E209" t="s">
        <v>1352</v>
      </c>
      <c r="F209" s="10">
        <v>45937</v>
      </c>
      <c r="G209" s="10">
        <v>45937</v>
      </c>
      <c r="H209">
        <v>1</v>
      </c>
    </row>
    <row r="210" spans="1:8" ht="15.75" customHeight="1">
      <c r="A210" t="s">
        <v>585</v>
      </c>
      <c r="B210" t="s">
        <v>1238</v>
      </c>
      <c r="C210" t="s">
        <v>146</v>
      </c>
      <c r="D210" t="s">
        <v>432</v>
      </c>
      <c r="E210" t="s">
        <v>1352</v>
      </c>
      <c r="F210" s="10">
        <v>45937</v>
      </c>
      <c r="G210" s="10">
        <v>45937</v>
      </c>
      <c r="H210">
        <v>1</v>
      </c>
    </row>
    <row r="211" spans="1:8" ht="15.75" customHeight="1">
      <c r="A211" t="s">
        <v>671</v>
      </c>
      <c r="B211" t="s">
        <v>1287</v>
      </c>
      <c r="C211" t="s">
        <v>46</v>
      </c>
      <c r="D211" t="s">
        <v>432</v>
      </c>
      <c r="E211" t="s">
        <v>1352</v>
      </c>
      <c r="F211" s="10">
        <v>45937</v>
      </c>
      <c r="G211" s="10">
        <v>45937</v>
      </c>
      <c r="H211">
        <v>1</v>
      </c>
    </row>
    <row r="212" spans="1:8" ht="15.75" customHeight="1">
      <c r="A212" t="s">
        <v>553</v>
      </c>
      <c r="B212" t="s">
        <v>1200</v>
      </c>
      <c r="C212" t="s">
        <v>46</v>
      </c>
      <c r="D212" t="s">
        <v>432</v>
      </c>
      <c r="E212" t="s">
        <v>1352</v>
      </c>
      <c r="F212" s="10">
        <v>45937</v>
      </c>
      <c r="G212" s="10">
        <v>45937</v>
      </c>
      <c r="H212">
        <v>1</v>
      </c>
    </row>
    <row r="213" spans="1:8" ht="15.75" customHeight="1">
      <c r="A213" t="s">
        <v>495</v>
      </c>
      <c r="B213" t="s">
        <v>1259</v>
      </c>
      <c r="C213" t="s">
        <v>468</v>
      </c>
      <c r="D213" t="s">
        <v>432</v>
      </c>
      <c r="E213" t="s">
        <v>1352</v>
      </c>
      <c r="F213" s="10">
        <v>45937</v>
      </c>
      <c r="G213" s="10">
        <v>45937</v>
      </c>
      <c r="H213">
        <v>1</v>
      </c>
    </row>
    <row r="214" spans="1:8" ht="15.75" customHeight="1">
      <c r="A214" t="s">
        <v>460</v>
      </c>
      <c r="B214" t="s">
        <v>1204</v>
      </c>
      <c r="C214" t="s">
        <v>100</v>
      </c>
      <c r="D214" t="s">
        <v>432</v>
      </c>
      <c r="E214" t="s">
        <v>1352</v>
      </c>
      <c r="F214" s="10">
        <v>45938</v>
      </c>
      <c r="G214" s="10">
        <v>45938</v>
      </c>
      <c r="H214">
        <v>1</v>
      </c>
    </row>
    <row r="215" spans="1:8" ht="15.75" customHeight="1">
      <c r="A215" t="s">
        <v>565</v>
      </c>
      <c r="B215" t="s">
        <v>1237</v>
      </c>
      <c r="C215" t="s">
        <v>146</v>
      </c>
      <c r="D215" t="s">
        <v>432</v>
      </c>
      <c r="E215" t="s">
        <v>1352</v>
      </c>
      <c r="F215" s="10">
        <v>45938</v>
      </c>
      <c r="G215" s="10">
        <v>45938</v>
      </c>
      <c r="H215">
        <v>1</v>
      </c>
    </row>
    <row r="216" spans="1:8" ht="15.75" customHeight="1">
      <c r="A216" t="s">
        <v>551</v>
      </c>
      <c r="B216" t="s">
        <v>1256</v>
      </c>
      <c r="C216" t="s">
        <v>46</v>
      </c>
      <c r="D216" t="s">
        <v>432</v>
      </c>
      <c r="E216" t="s">
        <v>1352</v>
      </c>
      <c r="F216" s="10">
        <v>45938</v>
      </c>
      <c r="G216" s="10">
        <v>45938</v>
      </c>
      <c r="H216">
        <v>1</v>
      </c>
    </row>
    <row r="217" spans="1:8" ht="15.75" customHeight="1">
      <c r="A217" t="s">
        <v>438</v>
      </c>
      <c r="B217" t="s">
        <v>1275</v>
      </c>
      <c r="C217" t="s">
        <v>146</v>
      </c>
      <c r="D217" t="s">
        <v>432</v>
      </c>
      <c r="E217" t="s">
        <v>1352</v>
      </c>
      <c r="F217" s="10">
        <v>45938</v>
      </c>
      <c r="G217" s="10">
        <v>45938</v>
      </c>
      <c r="H217">
        <v>1</v>
      </c>
    </row>
    <row r="218" spans="1:8" ht="15.75" customHeight="1">
      <c r="A218" t="s">
        <v>673</v>
      </c>
      <c r="B218" t="s">
        <v>1353</v>
      </c>
      <c r="C218" t="s">
        <v>46</v>
      </c>
      <c r="D218" t="s">
        <v>432</v>
      </c>
      <c r="E218" t="s">
        <v>1352</v>
      </c>
      <c r="F218" s="10">
        <v>45938</v>
      </c>
      <c r="G218" s="10">
        <v>45938</v>
      </c>
      <c r="H218">
        <v>1</v>
      </c>
    </row>
    <row r="219" spans="1:8" ht="15.75" customHeight="1">
      <c r="A219" t="s">
        <v>491</v>
      </c>
      <c r="B219" t="s">
        <v>1165</v>
      </c>
      <c r="C219" t="s">
        <v>468</v>
      </c>
      <c r="D219" t="s">
        <v>432</v>
      </c>
      <c r="E219" t="s">
        <v>1352</v>
      </c>
      <c r="F219" s="10">
        <v>45938</v>
      </c>
      <c r="G219" s="10">
        <v>45938</v>
      </c>
      <c r="H219">
        <v>1</v>
      </c>
    </row>
    <row r="220" spans="1:8" ht="15.75" customHeight="1">
      <c r="A220" t="s">
        <v>563</v>
      </c>
      <c r="B220" t="s">
        <v>1276</v>
      </c>
      <c r="C220" t="s">
        <v>46</v>
      </c>
      <c r="D220" t="s">
        <v>432</v>
      </c>
      <c r="E220" t="s">
        <v>1352</v>
      </c>
      <c r="F220" s="10">
        <v>45939</v>
      </c>
      <c r="G220" s="10">
        <v>45939</v>
      </c>
      <c r="H220">
        <v>1</v>
      </c>
    </row>
    <row r="221" spans="1:8" ht="15.75" customHeight="1">
      <c r="A221" t="s">
        <v>577</v>
      </c>
      <c r="B221" t="s">
        <v>1161</v>
      </c>
      <c r="C221" t="s">
        <v>146</v>
      </c>
      <c r="D221" t="s">
        <v>432</v>
      </c>
      <c r="E221" t="s">
        <v>1352</v>
      </c>
      <c r="F221" s="10">
        <v>45939</v>
      </c>
      <c r="G221" s="10">
        <v>45939</v>
      </c>
      <c r="H221">
        <v>1</v>
      </c>
    </row>
    <row r="222" spans="1:8" ht="15.75" customHeight="1">
      <c r="A222" t="s">
        <v>489</v>
      </c>
      <c r="B222" t="s">
        <v>1171</v>
      </c>
      <c r="C222" t="s">
        <v>468</v>
      </c>
      <c r="D222" t="s">
        <v>432</v>
      </c>
      <c r="E222" t="s">
        <v>1352</v>
      </c>
      <c r="F222" s="10">
        <v>45939</v>
      </c>
      <c r="G222" s="10">
        <v>45939</v>
      </c>
      <c r="H222">
        <v>1</v>
      </c>
    </row>
    <row r="223" spans="1:8" ht="15.75" customHeight="1">
      <c r="A223" t="s">
        <v>610</v>
      </c>
      <c r="B223" t="s">
        <v>1163</v>
      </c>
      <c r="C223" t="s">
        <v>22</v>
      </c>
      <c r="D223" t="s">
        <v>432</v>
      </c>
      <c r="E223" t="s">
        <v>1352</v>
      </c>
      <c r="F223" s="10">
        <v>45939</v>
      </c>
      <c r="G223" s="10">
        <v>45939</v>
      </c>
      <c r="H223">
        <v>1</v>
      </c>
    </row>
    <row r="224" spans="1:8" ht="15.75" customHeight="1">
      <c r="A224" t="s">
        <v>515</v>
      </c>
      <c r="B224" t="s">
        <v>1166</v>
      </c>
      <c r="C224" t="s">
        <v>468</v>
      </c>
      <c r="D224" t="s">
        <v>432</v>
      </c>
      <c r="E224" t="s">
        <v>1352</v>
      </c>
      <c r="F224" s="10">
        <v>45939</v>
      </c>
      <c r="G224" s="10">
        <v>45939</v>
      </c>
      <c r="H224">
        <v>1</v>
      </c>
    </row>
    <row r="225" spans="1:8" ht="15.75" customHeight="1">
      <c r="A225" t="s">
        <v>549</v>
      </c>
      <c r="B225" t="s">
        <v>1158</v>
      </c>
      <c r="C225" t="s">
        <v>46</v>
      </c>
      <c r="D225" t="s">
        <v>432</v>
      </c>
      <c r="E225" t="s">
        <v>1352</v>
      </c>
      <c r="F225" s="10">
        <v>45939</v>
      </c>
      <c r="G225" s="10">
        <v>45939</v>
      </c>
      <c r="H225">
        <v>1</v>
      </c>
    </row>
    <row r="226" spans="1:8" ht="15.75" customHeight="1">
      <c r="A226" t="s">
        <v>587</v>
      </c>
      <c r="B226" t="s">
        <v>1169</v>
      </c>
      <c r="C226" t="s">
        <v>146</v>
      </c>
      <c r="D226" t="s">
        <v>432</v>
      </c>
      <c r="E226" t="s">
        <v>1352</v>
      </c>
      <c r="F226" s="10">
        <v>45940</v>
      </c>
      <c r="G226" s="10">
        <v>45940</v>
      </c>
      <c r="H226">
        <v>1</v>
      </c>
    </row>
    <row r="227" spans="1:8" ht="15.75" customHeight="1">
      <c r="A227" t="s">
        <v>579</v>
      </c>
      <c r="B227" t="s">
        <v>1170</v>
      </c>
      <c r="C227" t="s">
        <v>146</v>
      </c>
      <c r="D227" t="s">
        <v>432</v>
      </c>
      <c r="E227" t="s">
        <v>1352</v>
      </c>
      <c r="F227" s="10">
        <v>45940</v>
      </c>
      <c r="G227" s="10">
        <v>45940</v>
      </c>
      <c r="H227">
        <v>1</v>
      </c>
    </row>
    <row r="228" spans="1:8" ht="15.75" customHeight="1">
      <c r="A228" t="s">
        <v>555</v>
      </c>
      <c r="B228" t="s">
        <v>1182</v>
      </c>
      <c r="C228" t="s">
        <v>46</v>
      </c>
      <c r="D228" t="s">
        <v>432</v>
      </c>
      <c r="E228" t="s">
        <v>1352</v>
      </c>
      <c r="F228" s="10">
        <v>45940</v>
      </c>
      <c r="G228" s="10">
        <v>45940</v>
      </c>
      <c r="H228">
        <v>1</v>
      </c>
    </row>
    <row r="229" spans="1:8" ht="15.75" customHeight="1">
      <c r="A229" t="s">
        <v>466</v>
      </c>
      <c r="B229" t="s">
        <v>1184</v>
      </c>
      <c r="C229" t="s">
        <v>468</v>
      </c>
      <c r="D229" t="s">
        <v>432</v>
      </c>
      <c r="E229" t="s">
        <v>1352</v>
      </c>
      <c r="F229" s="10">
        <v>45940</v>
      </c>
      <c r="G229" s="10">
        <v>45940</v>
      </c>
      <c r="H229">
        <v>1</v>
      </c>
    </row>
    <row r="230" spans="1:8" ht="15.75" customHeight="1">
      <c r="A230" t="s">
        <v>531</v>
      </c>
      <c r="B230" t="s">
        <v>1261</v>
      </c>
      <c r="C230" t="s">
        <v>468</v>
      </c>
      <c r="D230" t="s">
        <v>432</v>
      </c>
      <c r="E230" t="s">
        <v>1352</v>
      </c>
      <c r="F230" s="10">
        <v>45940</v>
      </c>
      <c r="G230" s="10">
        <v>45940</v>
      </c>
      <c r="H230">
        <v>1</v>
      </c>
    </row>
    <row r="231" spans="1:8" ht="15.75" customHeight="1">
      <c r="A231" t="s">
        <v>597</v>
      </c>
      <c r="B231" t="s">
        <v>1253</v>
      </c>
      <c r="C231" t="s">
        <v>599</v>
      </c>
      <c r="D231" t="s">
        <v>432</v>
      </c>
      <c r="E231" t="s">
        <v>1352</v>
      </c>
      <c r="F231" s="10">
        <v>45941</v>
      </c>
      <c r="G231" s="10">
        <v>45941</v>
      </c>
      <c r="H231">
        <v>1</v>
      </c>
    </row>
    <row r="232" spans="1:8" ht="15.75" customHeight="1">
      <c r="A232" t="s">
        <v>471</v>
      </c>
      <c r="B232" t="s">
        <v>1288</v>
      </c>
      <c r="C232" t="s">
        <v>468</v>
      </c>
      <c r="D232" t="s">
        <v>432</v>
      </c>
      <c r="E232" t="s">
        <v>1352</v>
      </c>
      <c r="F232" s="10">
        <v>45941</v>
      </c>
      <c r="G232" s="10">
        <v>45941</v>
      </c>
      <c r="H232">
        <v>1</v>
      </c>
    </row>
    <row r="233" spans="1:8" ht="15.75" customHeight="1">
      <c r="A233" t="s">
        <v>473</v>
      </c>
      <c r="B233" t="s">
        <v>1240</v>
      </c>
      <c r="C233" t="s">
        <v>468</v>
      </c>
      <c r="D233" t="s">
        <v>432</v>
      </c>
      <c r="E233" t="s">
        <v>1352</v>
      </c>
      <c r="F233" s="10">
        <v>45941</v>
      </c>
      <c r="G233" s="10">
        <v>45941</v>
      </c>
      <c r="H233">
        <v>1</v>
      </c>
    </row>
    <row r="234" spans="1:8" ht="15.75" customHeight="1">
      <c r="A234" t="s">
        <v>477</v>
      </c>
      <c r="B234" t="s">
        <v>1337</v>
      </c>
      <c r="C234" t="s">
        <v>468</v>
      </c>
      <c r="D234" t="s">
        <v>432</v>
      </c>
      <c r="E234" t="s">
        <v>1352</v>
      </c>
      <c r="F234" s="10">
        <v>45941</v>
      </c>
      <c r="G234" s="10">
        <v>45941</v>
      </c>
      <c r="H234">
        <v>1</v>
      </c>
    </row>
    <row r="235" spans="1:8" ht="15.75" customHeight="1">
      <c r="A235" t="s">
        <v>535</v>
      </c>
      <c r="B235" t="s">
        <v>1292</v>
      </c>
      <c r="C235" t="s">
        <v>468</v>
      </c>
      <c r="D235" t="s">
        <v>432</v>
      </c>
      <c r="E235" t="s">
        <v>1352</v>
      </c>
      <c r="F235" s="10">
        <v>45941</v>
      </c>
      <c r="G235" s="10">
        <v>45941</v>
      </c>
      <c r="H235">
        <v>1</v>
      </c>
    </row>
    <row r="236" spans="1:8" ht="15.75" customHeight="1">
      <c r="A236" t="s">
        <v>454</v>
      </c>
      <c r="B236" t="s">
        <v>1243</v>
      </c>
      <c r="C236" t="s">
        <v>451</v>
      </c>
      <c r="D236" t="s">
        <v>432</v>
      </c>
      <c r="E236" t="s">
        <v>1352</v>
      </c>
      <c r="F236" s="10">
        <v>45941</v>
      </c>
      <c r="G236" s="10">
        <v>45941</v>
      </c>
      <c r="H236">
        <v>1</v>
      </c>
    </row>
    <row r="237" spans="1:8" ht="15.75" customHeight="1">
      <c r="A237" t="s">
        <v>525</v>
      </c>
      <c r="B237" t="s">
        <v>1189</v>
      </c>
      <c r="C237" t="s">
        <v>468</v>
      </c>
      <c r="D237" t="s">
        <v>432</v>
      </c>
      <c r="E237" t="s">
        <v>1352</v>
      </c>
      <c r="F237" s="10">
        <v>45941</v>
      </c>
      <c r="G237" s="10">
        <v>45941</v>
      </c>
      <c r="H237">
        <v>1</v>
      </c>
    </row>
    <row r="238" spans="1:8" ht="15.75" customHeight="1">
      <c r="A238" t="s">
        <v>527</v>
      </c>
      <c r="B238" t="s">
        <v>1309</v>
      </c>
      <c r="C238" t="s">
        <v>468</v>
      </c>
      <c r="D238" t="s">
        <v>432</v>
      </c>
      <c r="E238" t="s">
        <v>1352</v>
      </c>
      <c r="F238" s="10">
        <v>45941</v>
      </c>
      <c r="G238" s="10">
        <v>45941</v>
      </c>
      <c r="H238">
        <v>1</v>
      </c>
    </row>
    <row r="239" spans="1:8" ht="15.75" customHeight="1">
      <c r="A239" t="s">
        <v>458</v>
      </c>
      <c r="B239" t="s">
        <v>1326</v>
      </c>
      <c r="C239" t="s">
        <v>451</v>
      </c>
      <c r="D239" t="s">
        <v>432</v>
      </c>
      <c r="E239" t="s">
        <v>1352</v>
      </c>
      <c r="F239" s="10">
        <v>45941</v>
      </c>
      <c r="G239" s="10">
        <v>45941</v>
      </c>
      <c r="H239">
        <v>1</v>
      </c>
    </row>
    <row r="240" spans="1:8" ht="15.75" customHeight="1">
      <c r="A240" t="s">
        <v>452</v>
      </c>
      <c r="B240" t="s">
        <v>1224</v>
      </c>
      <c r="C240" t="s">
        <v>451</v>
      </c>
      <c r="D240" t="s">
        <v>432</v>
      </c>
      <c r="E240" t="s">
        <v>1352</v>
      </c>
      <c r="F240" s="10">
        <v>45942</v>
      </c>
      <c r="G240" s="10">
        <v>45942</v>
      </c>
      <c r="H240">
        <v>1</v>
      </c>
    </row>
    <row r="241" spans="1:8" ht="15.75" customHeight="1">
      <c r="A241" t="s">
        <v>499</v>
      </c>
      <c r="B241" t="s">
        <v>1187</v>
      </c>
      <c r="C241" t="s">
        <v>468</v>
      </c>
      <c r="D241" t="s">
        <v>432</v>
      </c>
      <c r="E241" t="s">
        <v>1352</v>
      </c>
      <c r="F241" s="10">
        <v>45942</v>
      </c>
      <c r="G241" s="10">
        <v>45942</v>
      </c>
      <c r="H241">
        <v>1</v>
      </c>
    </row>
    <row r="242" spans="1:8" ht="15.75" customHeight="1">
      <c r="A242" t="s">
        <v>505</v>
      </c>
      <c r="B242" t="s">
        <v>1223</v>
      </c>
      <c r="C242" t="s">
        <v>468</v>
      </c>
      <c r="D242" t="s">
        <v>432</v>
      </c>
      <c r="E242" t="s">
        <v>1352</v>
      </c>
      <c r="F242" s="10">
        <v>45942</v>
      </c>
      <c r="G242" s="10">
        <v>45942</v>
      </c>
      <c r="H242">
        <v>1</v>
      </c>
    </row>
    <row r="243" spans="1:8" ht="15.75" customHeight="1">
      <c r="A243" t="s">
        <v>523</v>
      </c>
      <c r="B243" t="s">
        <v>1278</v>
      </c>
      <c r="C243" t="s">
        <v>468</v>
      </c>
      <c r="D243" t="s">
        <v>432</v>
      </c>
      <c r="E243" t="s">
        <v>1352</v>
      </c>
      <c r="F243" s="10">
        <v>45942</v>
      </c>
      <c r="G243" s="10">
        <v>45942</v>
      </c>
      <c r="H243">
        <v>1</v>
      </c>
    </row>
    <row r="244" spans="1:8" ht="15.75" customHeight="1">
      <c r="A244" t="s">
        <v>464</v>
      </c>
      <c r="B244" t="s">
        <v>1294</v>
      </c>
      <c r="C244" t="s">
        <v>100</v>
      </c>
      <c r="D244" t="s">
        <v>432</v>
      </c>
      <c r="E244" t="s">
        <v>1352</v>
      </c>
      <c r="F244" s="10">
        <v>45942</v>
      </c>
      <c r="G244" s="10">
        <v>45942</v>
      </c>
      <c r="H244">
        <v>1</v>
      </c>
    </row>
    <row r="245" spans="1:8" ht="15.75" customHeight="1">
      <c r="A245" t="s">
        <v>537</v>
      </c>
      <c r="B245" t="s">
        <v>1157</v>
      </c>
      <c r="C245" t="s">
        <v>468</v>
      </c>
      <c r="D245" t="s">
        <v>432</v>
      </c>
      <c r="E245" t="s">
        <v>1352</v>
      </c>
      <c r="F245" s="10">
        <v>45942</v>
      </c>
      <c r="G245" s="10">
        <v>45942</v>
      </c>
      <c r="H245">
        <v>1</v>
      </c>
    </row>
    <row r="246" spans="1:8" ht="15.75" customHeight="1">
      <c r="A246" t="s">
        <v>529</v>
      </c>
      <c r="B246" t="s">
        <v>1241</v>
      </c>
      <c r="C246" t="s">
        <v>468</v>
      </c>
      <c r="D246" t="s">
        <v>432</v>
      </c>
      <c r="E246" t="s">
        <v>1352</v>
      </c>
      <c r="F246" s="10">
        <v>45942</v>
      </c>
      <c r="G246" s="10">
        <v>45942</v>
      </c>
      <c r="H246">
        <v>1</v>
      </c>
    </row>
    <row r="247" spans="1:8" ht="15.75" customHeight="1">
      <c r="A247" t="s">
        <v>513</v>
      </c>
      <c r="B247" t="s">
        <v>1322</v>
      </c>
      <c r="C247" t="s">
        <v>468</v>
      </c>
      <c r="D247" t="s">
        <v>432</v>
      </c>
      <c r="E247" t="s">
        <v>1352</v>
      </c>
      <c r="F247" s="10">
        <v>45942</v>
      </c>
      <c r="G247" s="10">
        <v>45942</v>
      </c>
      <c r="H247">
        <v>1</v>
      </c>
    </row>
    <row r="248" spans="1:8" ht="15.75" customHeight="1">
      <c r="A248" t="s">
        <v>602</v>
      </c>
      <c r="B248" t="s">
        <v>1354</v>
      </c>
      <c r="C248" t="s">
        <v>599</v>
      </c>
      <c r="D248" t="s">
        <v>432</v>
      </c>
      <c r="E248" t="s">
        <v>1352</v>
      </c>
      <c r="F248" s="10">
        <v>45943</v>
      </c>
      <c r="G248" s="10">
        <v>45943</v>
      </c>
      <c r="H248">
        <v>1</v>
      </c>
    </row>
    <row r="249" spans="1:8" ht="15.75" customHeight="1">
      <c r="A249" t="s">
        <v>487</v>
      </c>
      <c r="B249" t="s">
        <v>1338</v>
      </c>
      <c r="C249" t="s">
        <v>468</v>
      </c>
      <c r="D249" t="s">
        <v>432</v>
      </c>
      <c r="E249" t="s">
        <v>1352</v>
      </c>
      <c r="F249" s="10">
        <v>45943</v>
      </c>
      <c r="G249" s="10">
        <v>45943</v>
      </c>
      <c r="H249">
        <v>1</v>
      </c>
    </row>
    <row r="250" spans="1:8" ht="15.75" customHeight="1">
      <c r="A250" t="s">
        <v>511</v>
      </c>
      <c r="B250" t="s">
        <v>1307</v>
      </c>
      <c r="C250" t="s">
        <v>468</v>
      </c>
      <c r="D250" t="s">
        <v>432</v>
      </c>
      <c r="E250" t="s">
        <v>1352</v>
      </c>
      <c r="F250" s="10">
        <v>45943</v>
      </c>
      <c r="G250" s="10">
        <v>45943</v>
      </c>
      <c r="H250">
        <v>1</v>
      </c>
    </row>
    <row r="251" spans="1:8" ht="15.75" customHeight="1">
      <c r="A251" t="s">
        <v>501</v>
      </c>
      <c r="B251" t="s">
        <v>1305</v>
      </c>
      <c r="C251" t="s">
        <v>468</v>
      </c>
      <c r="D251" t="s">
        <v>432</v>
      </c>
      <c r="E251" t="s">
        <v>1352</v>
      </c>
      <c r="F251" s="10">
        <v>45943</v>
      </c>
      <c r="G251" s="10">
        <v>45943</v>
      </c>
      <c r="H251">
        <v>1</v>
      </c>
    </row>
    <row r="252" spans="1:8" ht="15.75" customHeight="1">
      <c r="A252" t="s">
        <v>517</v>
      </c>
      <c r="B252" t="s">
        <v>1308</v>
      </c>
      <c r="C252" t="s">
        <v>468</v>
      </c>
      <c r="D252" t="s">
        <v>432</v>
      </c>
      <c r="E252" t="s">
        <v>1352</v>
      </c>
      <c r="F252" s="10">
        <v>45943</v>
      </c>
      <c r="G252" s="10">
        <v>45943</v>
      </c>
      <c r="H252">
        <v>1</v>
      </c>
    </row>
    <row r="253" spans="1:8" ht="15.75" customHeight="1">
      <c r="A253" t="s">
        <v>521</v>
      </c>
      <c r="B253" t="s">
        <v>1156</v>
      </c>
      <c r="C253" t="s">
        <v>100</v>
      </c>
      <c r="D253" t="s">
        <v>432</v>
      </c>
      <c r="E253" t="s">
        <v>1352</v>
      </c>
      <c r="F253" s="10">
        <v>45943</v>
      </c>
      <c r="G253" s="10">
        <v>45943</v>
      </c>
      <c r="H253">
        <v>1</v>
      </c>
    </row>
    <row r="254" spans="1:8" ht="15.75" customHeight="1">
      <c r="A254" t="s">
        <v>456</v>
      </c>
      <c r="B254" t="s">
        <v>1207</v>
      </c>
      <c r="C254" t="s">
        <v>451</v>
      </c>
      <c r="D254" t="s">
        <v>432</v>
      </c>
      <c r="E254" t="s">
        <v>1352</v>
      </c>
      <c r="F254" s="10">
        <v>45943</v>
      </c>
      <c r="G254" s="10">
        <v>45943</v>
      </c>
      <c r="H254">
        <v>1</v>
      </c>
    </row>
    <row r="255" spans="1:8" ht="15.75" customHeight="1">
      <c r="A255" t="s">
        <v>543</v>
      </c>
      <c r="B255" t="s">
        <v>1355</v>
      </c>
      <c r="C255" t="s">
        <v>468</v>
      </c>
      <c r="D255" t="s">
        <v>432</v>
      </c>
      <c r="E255" t="s">
        <v>1352</v>
      </c>
      <c r="F255" s="10">
        <v>45943</v>
      </c>
      <c r="G255" s="10">
        <v>45943</v>
      </c>
      <c r="H255">
        <v>1</v>
      </c>
    </row>
  </sheetData>
  <autoFilter ref="A3:H255"/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ColWidth="14.42578125" defaultRowHeight="15" customHeight="1"/>
  <cols>
    <col min="1" max="10" width="24.7109375" customWidth="1"/>
    <col min="11" max="11" width="8.7109375" customWidth="1"/>
  </cols>
  <sheetData>
    <row r="1" spans="1:10" ht="30" customHeight="1">
      <c r="A1" s="18" t="s">
        <v>8</v>
      </c>
    </row>
    <row r="3" spans="1:10" ht="24.75" customHeight="1">
      <c r="A3" s="13" t="s">
        <v>9</v>
      </c>
      <c r="B3" s="13" t="s">
        <v>10</v>
      </c>
      <c r="C3" s="13" t="s">
        <v>11</v>
      </c>
      <c r="D3" s="13" t="s">
        <v>12</v>
      </c>
      <c r="E3" s="13" t="s">
        <v>1356</v>
      </c>
      <c r="F3" s="13" t="s">
        <v>1357</v>
      </c>
      <c r="G3" s="13" t="s">
        <v>1358</v>
      </c>
      <c r="H3" s="13" t="s">
        <v>1148</v>
      </c>
      <c r="I3" s="13" t="s">
        <v>1149</v>
      </c>
      <c r="J3" s="13" t="s">
        <v>1359</v>
      </c>
    </row>
    <row r="4" spans="1:10">
      <c r="A4" t="s">
        <v>466</v>
      </c>
      <c r="B4" t="s">
        <v>1360</v>
      </c>
      <c r="C4" t="s">
        <v>468</v>
      </c>
      <c r="D4" t="s">
        <v>432</v>
      </c>
      <c r="E4" t="s">
        <v>1361</v>
      </c>
      <c r="F4" t="s">
        <v>1362</v>
      </c>
      <c r="G4" t="s">
        <v>1363</v>
      </c>
      <c r="H4" s="10">
        <v>45157</v>
      </c>
      <c r="I4" s="10">
        <v>45163</v>
      </c>
      <c r="J4">
        <v>7</v>
      </c>
    </row>
    <row r="5" spans="1:10">
      <c r="A5" t="s">
        <v>469</v>
      </c>
      <c r="B5" t="s">
        <v>1364</v>
      </c>
      <c r="C5" t="s">
        <v>468</v>
      </c>
      <c r="D5" t="s">
        <v>432</v>
      </c>
      <c r="E5" t="s">
        <v>1361</v>
      </c>
      <c r="F5" t="s">
        <v>1362</v>
      </c>
      <c r="G5" t="s">
        <v>1363</v>
      </c>
      <c r="H5" s="10">
        <v>45157</v>
      </c>
      <c r="I5" s="10">
        <v>45163</v>
      </c>
      <c r="J5">
        <v>7</v>
      </c>
    </row>
    <row r="6" spans="1:10">
      <c r="A6" t="s">
        <v>473</v>
      </c>
      <c r="B6" t="s">
        <v>474</v>
      </c>
      <c r="C6" t="s">
        <v>468</v>
      </c>
      <c r="D6" t="s">
        <v>432</v>
      </c>
      <c r="E6" t="s">
        <v>1361</v>
      </c>
      <c r="F6" t="s">
        <v>1362</v>
      </c>
      <c r="G6" t="s">
        <v>1363</v>
      </c>
      <c r="H6" s="10">
        <v>45157</v>
      </c>
      <c r="I6" s="10">
        <v>45163</v>
      </c>
      <c r="J6">
        <v>7</v>
      </c>
    </row>
    <row r="7" spans="1:10">
      <c r="A7" t="s">
        <v>475</v>
      </c>
      <c r="B7" t="s">
        <v>1365</v>
      </c>
      <c r="C7" t="s">
        <v>468</v>
      </c>
      <c r="D7" t="s">
        <v>432</v>
      </c>
      <c r="E7" t="s">
        <v>1361</v>
      </c>
      <c r="F7" t="s">
        <v>1362</v>
      </c>
      <c r="G7" t="s">
        <v>1363</v>
      </c>
      <c r="H7" s="10">
        <v>45157</v>
      </c>
      <c r="I7" s="10">
        <v>45163</v>
      </c>
      <c r="J7">
        <v>7</v>
      </c>
    </row>
    <row r="8" spans="1:10">
      <c r="A8" t="s">
        <v>477</v>
      </c>
      <c r="B8" t="s">
        <v>1337</v>
      </c>
      <c r="C8" t="s">
        <v>468</v>
      </c>
      <c r="D8" t="s">
        <v>432</v>
      </c>
      <c r="E8" t="s">
        <v>1361</v>
      </c>
      <c r="F8" t="s">
        <v>1362</v>
      </c>
      <c r="G8" t="s">
        <v>1363</v>
      </c>
      <c r="H8" s="10">
        <v>45157</v>
      </c>
      <c r="I8" s="10">
        <v>45163</v>
      </c>
      <c r="J8">
        <v>7</v>
      </c>
    </row>
    <row r="9" spans="1:10">
      <c r="A9" t="s">
        <v>481</v>
      </c>
      <c r="B9" t="s">
        <v>1366</v>
      </c>
      <c r="C9" t="s">
        <v>468</v>
      </c>
      <c r="D9" t="s">
        <v>432</v>
      </c>
      <c r="E9" t="s">
        <v>1361</v>
      </c>
      <c r="F9" t="s">
        <v>1362</v>
      </c>
      <c r="G9" t="s">
        <v>1363</v>
      </c>
      <c r="H9" s="10">
        <v>45157</v>
      </c>
      <c r="I9" s="10">
        <v>45163</v>
      </c>
      <c r="J9">
        <v>7</v>
      </c>
    </row>
    <row r="10" spans="1:10">
      <c r="A10" t="s">
        <v>483</v>
      </c>
      <c r="B10" t="s">
        <v>484</v>
      </c>
      <c r="C10" t="s">
        <v>468</v>
      </c>
      <c r="D10" t="s">
        <v>432</v>
      </c>
      <c r="E10" t="s">
        <v>1361</v>
      </c>
      <c r="F10" t="s">
        <v>1362</v>
      </c>
      <c r="G10" t="s">
        <v>1363</v>
      </c>
      <c r="H10" s="10">
        <v>45157</v>
      </c>
      <c r="I10" s="10">
        <v>45163</v>
      </c>
      <c r="J10">
        <v>7</v>
      </c>
    </row>
    <row r="11" spans="1:10">
      <c r="A11" t="s">
        <v>485</v>
      </c>
      <c r="B11" t="s">
        <v>1367</v>
      </c>
      <c r="C11" t="s">
        <v>468</v>
      </c>
      <c r="D11" t="s">
        <v>432</v>
      </c>
      <c r="E11" t="s">
        <v>1361</v>
      </c>
      <c r="F11" t="s">
        <v>1362</v>
      </c>
      <c r="G11" t="s">
        <v>1363</v>
      </c>
      <c r="H11" s="10">
        <v>45157</v>
      </c>
      <c r="I11" s="10">
        <v>45163</v>
      </c>
      <c r="J11">
        <v>7</v>
      </c>
    </row>
    <row r="12" spans="1:10">
      <c r="A12" t="s">
        <v>487</v>
      </c>
      <c r="B12" t="s">
        <v>1368</v>
      </c>
      <c r="C12" t="s">
        <v>468</v>
      </c>
      <c r="D12" t="s">
        <v>432</v>
      </c>
      <c r="E12" t="s">
        <v>1361</v>
      </c>
      <c r="F12" t="s">
        <v>1362</v>
      </c>
      <c r="G12" t="s">
        <v>1363</v>
      </c>
      <c r="H12" s="10">
        <v>45157</v>
      </c>
      <c r="I12" s="10">
        <v>45163</v>
      </c>
      <c r="J12">
        <v>7</v>
      </c>
    </row>
    <row r="13" spans="1:10">
      <c r="A13" t="s">
        <v>610</v>
      </c>
      <c r="B13" t="s">
        <v>1369</v>
      </c>
      <c r="C13" t="s">
        <v>22</v>
      </c>
      <c r="D13" t="s">
        <v>432</v>
      </c>
      <c r="E13" t="s">
        <v>1361</v>
      </c>
      <c r="F13" t="s">
        <v>1362</v>
      </c>
      <c r="G13" t="s">
        <v>1363</v>
      </c>
      <c r="H13" s="10">
        <v>45157</v>
      </c>
      <c r="I13" s="10">
        <v>45163</v>
      </c>
      <c r="J13">
        <v>7</v>
      </c>
    </row>
    <row r="14" spans="1:10">
      <c r="A14" t="s">
        <v>621</v>
      </c>
      <c r="B14" t="s">
        <v>622</v>
      </c>
      <c r="C14" t="s">
        <v>468</v>
      </c>
      <c r="D14" t="s">
        <v>432</v>
      </c>
      <c r="E14" t="s">
        <v>1361</v>
      </c>
      <c r="F14" t="s">
        <v>1362</v>
      </c>
      <c r="G14" t="s">
        <v>1363</v>
      </c>
      <c r="H14" s="10">
        <v>45157</v>
      </c>
      <c r="I14" s="10">
        <v>45163</v>
      </c>
      <c r="J14">
        <v>7</v>
      </c>
    </row>
    <row r="15" spans="1:10">
      <c r="A15" t="s">
        <v>1370</v>
      </c>
      <c r="B15" t="s">
        <v>1371</v>
      </c>
      <c r="E15" t="s">
        <v>1361</v>
      </c>
      <c r="F15" t="s">
        <v>1362</v>
      </c>
      <c r="G15" t="s">
        <v>1372</v>
      </c>
      <c r="H15" s="10">
        <v>45493</v>
      </c>
      <c r="I15" s="10">
        <v>45499</v>
      </c>
      <c r="J15">
        <v>7</v>
      </c>
    </row>
    <row r="16" spans="1:10">
      <c r="A16" t="s">
        <v>489</v>
      </c>
      <c r="B16" t="s">
        <v>1373</v>
      </c>
      <c r="C16" t="s">
        <v>468</v>
      </c>
      <c r="D16" t="s">
        <v>432</v>
      </c>
      <c r="E16" t="s">
        <v>1361</v>
      </c>
      <c r="F16" t="s">
        <v>1362</v>
      </c>
      <c r="G16" t="s">
        <v>1372</v>
      </c>
      <c r="H16" s="10">
        <v>45493</v>
      </c>
      <c r="I16" s="10">
        <v>45499</v>
      </c>
      <c r="J16">
        <v>7</v>
      </c>
    </row>
    <row r="17" spans="1:10">
      <c r="A17" t="s">
        <v>549</v>
      </c>
      <c r="B17" t="s">
        <v>1374</v>
      </c>
      <c r="C17" t="s">
        <v>46</v>
      </c>
      <c r="D17" t="s">
        <v>432</v>
      </c>
      <c r="E17" t="s">
        <v>1361</v>
      </c>
      <c r="F17" t="s">
        <v>1362</v>
      </c>
      <c r="G17" t="s">
        <v>1372</v>
      </c>
      <c r="H17" s="10">
        <v>45493</v>
      </c>
      <c r="I17" s="10">
        <v>45499</v>
      </c>
      <c r="J17">
        <v>7</v>
      </c>
    </row>
    <row r="18" spans="1:10">
      <c r="A18" t="s">
        <v>493</v>
      </c>
      <c r="B18" t="s">
        <v>1258</v>
      </c>
      <c r="C18" t="s">
        <v>468</v>
      </c>
      <c r="D18" t="s">
        <v>432</v>
      </c>
      <c r="E18" t="s">
        <v>1361</v>
      </c>
      <c r="F18" t="s">
        <v>1362</v>
      </c>
      <c r="G18" t="s">
        <v>1372</v>
      </c>
      <c r="H18" s="10">
        <v>45493</v>
      </c>
      <c r="I18" s="10">
        <v>45499</v>
      </c>
      <c r="J18">
        <v>7</v>
      </c>
    </row>
    <row r="19" spans="1:10">
      <c r="A19" t="s">
        <v>1339</v>
      </c>
      <c r="B19" t="s">
        <v>1375</v>
      </c>
      <c r="E19" t="s">
        <v>1361</v>
      </c>
      <c r="F19" t="s">
        <v>1362</v>
      </c>
      <c r="G19" t="s">
        <v>1372</v>
      </c>
      <c r="H19" s="10">
        <v>45493</v>
      </c>
      <c r="I19" s="10">
        <v>45499</v>
      </c>
      <c r="J19">
        <v>7</v>
      </c>
    </row>
    <row r="20" spans="1:10">
      <c r="A20" t="s">
        <v>617</v>
      </c>
      <c r="B20" t="s">
        <v>1334</v>
      </c>
      <c r="C20" t="s">
        <v>468</v>
      </c>
      <c r="D20" t="s">
        <v>432</v>
      </c>
      <c r="E20" t="s">
        <v>1361</v>
      </c>
      <c r="F20" t="s">
        <v>1362</v>
      </c>
      <c r="G20" t="s">
        <v>1372</v>
      </c>
      <c r="H20" s="10">
        <v>45493</v>
      </c>
      <c r="I20" s="10">
        <v>45499</v>
      </c>
      <c r="J20">
        <v>7</v>
      </c>
    </row>
    <row r="21" spans="1:10" ht="15.75" customHeight="1">
      <c r="A21" t="s">
        <v>619</v>
      </c>
      <c r="B21" t="s">
        <v>1376</v>
      </c>
      <c r="C21" t="s">
        <v>468</v>
      </c>
      <c r="D21" t="s">
        <v>432</v>
      </c>
      <c r="E21" t="s">
        <v>1361</v>
      </c>
      <c r="F21" t="s">
        <v>1362</v>
      </c>
      <c r="G21" t="s">
        <v>1372</v>
      </c>
      <c r="H21" s="10">
        <v>45496</v>
      </c>
      <c r="I21" s="10">
        <v>45502</v>
      </c>
      <c r="J21">
        <v>7</v>
      </c>
    </row>
    <row r="22" spans="1:10" ht="15.75" customHeight="1">
      <c r="A22" t="s">
        <v>495</v>
      </c>
      <c r="B22" t="s">
        <v>1377</v>
      </c>
      <c r="C22" t="s">
        <v>468</v>
      </c>
      <c r="D22" t="s">
        <v>432</v>
      </c>
      <c r="E22" t="s">
        <v>1361</v>
      </c>
      <c r="F22" t="s">
        <v>1362</v>
      </c>
      <c r="G22" t="s">
        <v>1372</v>
      </c>
      <c r="H22" s="10">
        <v>45496</v>
      </c>
      <c r="I22" s="10">
        <v>45502</v>
      </c>
      <c r="J22">
        <v>7</v>
      </c>
    </row>
    <row r="23" spans="1:10" ht="15.75" customHeight="1">
      <c r="A23" t="s">
        <v>497</v>
      </c>
      <c r="B23" t="s">
        <v>498</v>
      </c>
      <c r="C23" t="s">
        <v>468</v>
      </c>
      <c r="D23" t="s">
        <v>432</v>
      </c>
      <c r="E23" t="s">
        <v>1361</v>
      </c>
      <c r="F23" t="s">
        <v>1362</v>
      </c>
      <c r="G23" t="s">
        <v>1372</v>
      </c>
      <c r="H23" s="10">
        <v>45496</v>
      </c>
      <c r="I23" s="10">
        <v>45502</v>
      </c>
      <c r="J23">
        <v>7</v>
      </c>
    </row>
    <row r="24" spans="1:10" ht="15.75" customHeight="1">
      <c r="A24" t="s">
        <v>499</v>
      </c>
      <c r="B24" t="s">
        <v>1378</v>
      </c>
      <c r="C24" t="s">
        <v>468</v>
      </c>
      <c r="D24" t="s">
        <v>432</v>
      </c>
      <c r="E24" t="s">
        <v>1361</v>
      </c>
      <c r="F24" t="s">
        <v>1362</v>
      </c>
      <c r="G24" t="s">
        <v>1372</v>
      </c>
      <c r="H24" s="10">
        <v>45496</v>
      </c>
      <c r="I24" s="10">
        <v>45502</v>
      </c>
      <c r="J24">
        <v>7</v>
      </c>
    </row>
    <row r="25" spans="1:10" ht="15.75" customHeight="1">
      <c r="A25" t="s">
        <v>501</v>
      </c>
      <c r="B25" t="s">
        <v>1379</v>
      </c>
      <c r="C25" t="s">
        <v>468</v>
      </c>
      <c r="D25" t="s">
        <v>432</v>
      </c>
      <c r="E25" t="s">
        <v>1361</v>
      </c>
      <c r="F25" t="s">
        <v>1362</v>
      </c>
      <c r="G25" t="s">
        <v>1372</v>
      </c>
      <c r="H25" s="10">
        <v>45496</v>
      </c>
      <c r="I25" s="10">
        <v>45502</v>
      </c>
      <c r="J25">
        <v>7</v>
      </c>
    </row>
    <row r="26" spans="1:10" ht="15.75" customHeight="1">
      <c r="A26" t="s">
        <v>626</v>
      </c>
      <c r="B26" t="s">
        <v>627</v>
      </c>
      <c r="C26" t="s">
        <v>468</v>
      </c>
      <c r="D26" t="s">
        <v>432</v>
      </c>
      <c r="E26" t="s">
        <v>1361</v>
      </c>
      <c r="F26" t="s">
        <v>1362</v>
      </c>
      <c r="G26" t="s">
        <v>1372</v>
      </c>
      <c r="H26" s="10">
        <v>45496</v>
      </c>
      <c r="I26" s="10">
        <v>45502</v>
      </c>
      <c r="J26">
        <v>7</v>
      </c>
    </row>
    <row r="27" spans="1:10" ht="15.75" customHeight="1">
      <c r="A27" t="s">
        <v>1028</v>
      </c>
      <c r="B27" t="s">
        <v>1380</v>
      </c>
      <c r="C27" t="s">
        <v>1030</v>
      </c>
      <c r="D27" t="s">
        <v>432</v>
      </c>
      <c r="E27" t="s">
        <v>1381</v>
      </c>
      <c r="F27" t="s">
        <v>1382</v>
      </c>
      <c r="G27" t="s">
        <v>1383</v>
      </c>
      <c r="H27" s="10">
        <v>45488</v>
      </c>
      <c r="I27" s="10">
        <v>45500</v>
      </c>
      <c r="J27">
        <v>13</v>
      </c>
    </row>
    <row r="28" spans="1:10" ht="15.75" customHeight="1">
      <c r="A28" t="s">
        <v>523</v>
      </c>
      <c r="B28" t="s">
        <v>1384</v>
      </c>
      <c r="C28" t="s">
        <v>468</v>
      </c>
      <c r="D28" t="s">
        <v>432</v>
      </c>
      <c r="E28" t="s">
        <v>1361</v>
      </c>
      <c r="F28" t="s">
        <v>1362</v>
      </c>
      <c r="G28" t="s">
        <v>1372</v>
      </c>
      <c r="H28" s="10">
        <v>45850</v>
      </c>
      <c r="I28" s="10">
        <v>45856</v>
      </c>
      <c r="J28">
        <v>7</v>
      </c>
    </row>
    <row r="29" spans="1:10" ht="15.75" customHeight="1">
      <c r="A29" t="s">
        <v>527</v>
      </c>
      <c r="B29" t="s">
        <v>1385</v>
      </c>
      <c r="C29" t="s">
        <v>468</v>
      </c>
      <c r="D29" t="s">
        <v>432</v>
      </c>
      <c r="E29" t="s">
        <v>1361</v>
      </c>
      <c r="F29" t="s">
        <v>1362</v>
      </c>
      <c r="G29" t="s">
        <v>1372</v>
      </c>
      <c r="H29" s="10">
        <v>45850</v>
      </c>
      <c r="I29" s="10">
        <v>45856</v>
      </c>
      <c r="J29">
        <v>7</v>
      </c>
    </row>
    <row r="30" spans="1:10" ht="15.75" customHeight="1">
      <c r="A30" t="s">
        <v>505</v>
      </c>
      <c r="B30" t="s">
        <v>1386</v>
      </c>
      <c r="C30" t="s">
        <v>468</v>
      </c>
      <c r="D30" t="s">
        <v>432</v>
      </c>
      <c r="E30" t="s">
        <v>1361</v>
      </c>
      <c r="F30" t="s">
        <v>1362</v>
      </c>
      <c r="G30" t="s">
        <v>1372</v>
      </c>
      <c r="H30" s="10">
        <v>45850</v>
      </c>
      <c r="I30" s="10">
        <v>45856</v>
      </c>
      <c r="J30">
        <v>7</v>
      </c>
    </row>
    <row r="31" spans="1:10" ht="15.75" customHeight="1">
      <c r="A31" t="s">
        <v>529</v>
      </c>
      <c r="B31" t="s">
        <v>530</v>
      </c>
      <c r="C31" t="s">
        <v>468</v>
      </c>
      <c r="D31" t="s">
        <v>432</v>
      </c>
      <c r="E31" t="s">
        <v>1361</v>
      </c>
      <c r="F31" t="s">
        <v>1362</v>
      </c>
      <c r="G31" t="s">
        <v>1372</v>
      </c>
      <c r="H31" s="10">
        <v>45850</v>
      </c>
      <c r="I31" s="10">
        <v>45856</v>
      </c>
      <c r="J31">
        <v>7</v>
      </c>
    </row>
    <row r="32" spans="1:10" ht="15.75" customHeight="1">
      <c r="A32" t="s">
        <v>531</v>
      </c>
      <c r="B32" t="s">
        <v>1387</v>
      </c>
      <c r="C32" t="s">
        <v>468</v>
      </c>
      <c r="D32" t="s">
        <v>432</v>
      </c>
      <c r="E32" t="s">
        <v>1361</v>
      </c>
      <c r="F32" t="s">
        <v>1362</v>
      </c>
      <c r="G32" t="s">
        <v>1372</v>
      </c>
      <c r="H32" s="10">
        <v>45850</v>
      </c>
      <c r="I32" s="10">
        <v>45856</v>
      </c>
      <c r="J32">
        <v>7</v>
      </c>
    </row>
    <row r="33" spans="1:10" ht="15.75" customHeight="1">
      <c r="A33" t="s">
        <v>537</v>
      </c>
      <c r="B33" t="s">
        <v>538</v>
      </c>
      <c r="C33" t="s">
        <v>468</v>
      </c>
      <c r="D33" t="s">
        <v>432</v>
      </c>
      <c r="E33" t="s">
        <v>1361</v>
      </c>
      <c r="F33" t="s">
        <v>1362</v>
      </c>
      <c r="G33" t="s">
        <v>1372</v>
      </c>
      <c r="H33" s="10">
        <v>45850</v>
      </c>
      <c r="I33" s="10">
        <v>45856</v>
      </c>
      <c r="J33">
        <v>7</v>
      </c>
    </row>
    <row r="34" spans="1:10" ht="15.75" customHeight="1">
      <c r="A34" t="s">
        <v>535</v>
      </c>
      <c r="B34" t="s">
        <v>1388</v>
      </c>
      <c r="C34" t="s">
        <v>468</v>
      </c>
      <c r="D34" t="s">
        <v>432</v>
      </c>
      <c r="E34" t="s">
        <v>1361</v>
      </c>
      <c r="F34" t="s">
        <v>1362</v>
      </c>
      <c r="G34" t="s">
        <v>1372</v>
      </c>
      <c r="H34" s="10">
        <v>45857</v>
      </c>
      <c r="I34" s="10">
        <v>45863</v>
      </c>
      <c r="J34">
        <v>7</v>
      </c>
    </row>
    <row r="35" spans="1:10" ht="15.75" customHeight="1">
      <c r="A35" t="s">
        <v>541</v>
      </c>
      <c r="B35" t="s">
        <v>542</v>
      </c>
      <c r="C35" t="s">
        <v>468</v>
      </c>
      <c r="D35" t="s">
        <v>432</v>
      </c>
      <c r="E35" t="s">
        <v>1361</v>
      </c>
      <c r="F35" t="s">
        <v>1362</v>
      </c>
      <c r="G35" t="s">
        <v>1372</v>
      </c>
      <c r="H35" s="10">
        <v>45857</v>
      </c>
      <c r="I35" s="10">
        <v>45863</v>
      </c>
      <c r="J35">
        <v>7</v>
      </c>
    </row>
    <row r="36" spans="1:10" ht="15.75" customHeight="1">
      <c r="A36" t="s">
        <v>507</v>
      </c>
      <c r="B36" t="s">
        <v>508</v>
      </c>
      <c r="C36" t="s">
        <v>468</v>
      </c>
      <c r="D36" t="s">
        <v>432</v>
      </c>
      <c r="E36" t="s">
        <v>1361</v>
      </c>
      <c r="F36" t="s">
        <v>1362</v>
      </c>
      <c r="G36" t="s">
        <v>1372</v>
      </c>
      <c r="H36" s="10">
        <v>45857</v>
      </c>
      <c r="I36" s="10">
        <v>45863</v>
      </c>
      <c r="J36">
        <v>7</v>
      </c>
    </row>
    <row r="37" spans="1:10" ht="15.75" customHeight="1">
      <c r="A37" t="s">
        <v>491</v>
      </c>
      <c r="B37" t="s">
        <v>1389</v>
      </c>
      <c r="C37" t="s">
        <v>468</v>
      </c>
      <c r="D37" t="s">
        <v>432</v>
      </c>
      <c r="E37" t="s">
        <v>1361</v>
      </c>
      <c r="F37" t="s">
        <v>1390</v>
      </c>
      <c r="G37" t="s">
        <v>1391</v>
      </c>
      <c r="H37" s="10">
        <v>45878</v>
      </c>
      <c r="I37" s="10">
        <v>45884</v>
      </c>
      <c r="J37">
        <v>7</v>
      </c>
    </row>
    <row r="38" spans="1:10" ht="15.75" customHeight="1">
      <c r="A38" t="s">
        <v>593</v>
      </c>
      <c r="B38" t="s">
        <v>1392</v>
      </c>
      <c r="C38" t="s">
        <v>71</v>
      </c>
      <c r="D38" t="s">
        <v>432</v>
      </c>
      <c r="E38" t="s">
        <v>1361</v>
      </c>
      <c r="F38" t="s">
        <v>1390</v>
      </c>
      <c r="G38" t="s">
        <v>1391</v>
      </c>
      <c r="H38" s="10">
        <v>45878</v>
      </c>
      <c r="I38" s="10">
        <v>45884</v>
      </c>
      <c r="J38">
        <v>7</v>
      </c>
    </row>
    <row r="39" spans="1:10" ht="15.75" customHeight="1">
      <c r="A39" t="s">
        <v>634</v>
      </c>
      <c r="B39" t="s">
        <v>1393</v>
      </c>
      <c r="C39" t="s">
        <v>146</v>
      </c>
      <c r="D39" t="s">
        <v>432</v>
      </c>
      <c r="E39" t="s">
        <v>1361</v>
      </c>
      <c r="F39" t="s">
        <v>1390</v>
      </c>
      <c r="G39" t="s">
        <v>1391</v>
      </c>
      <c r="H39" s="10">
        <v>45878</v>
      </c>
      <c r="I39" s="10">
        <v>45884</v>
      </c>
      <c r="J39">
        <v>7</v>
      </c>
    </row>
    <row r="40" spans="1:10" ht="15.75" customHeight="1">
      <c r="A40" t="s">
        <v>640</v>
      </c>
      <c r="B40" t="s">
        <v>641</v>
      </c>
      <c r="C40" t="s">
        <v>175</v>
      </c>
      <c r="D40" t="s">
        <v>432</v>
      </c>
      <c r="E40" t="s">
        <v>1361</v>
      </c>
      <c r="F40" t="s">
        <v>1390</v>
      </c>
      <c r="G40" t="s">
        <v>1391</v>
      </c>
      <c r="H40" s="10">
        <v>45878</v>
      </c>
      <c r="I40" s="10">
        <v>45884</v>
      </c>
      <c r="J40">
        <v>7</v>
      </c>
    </row>
    <row r="41" spans="1:10" ht="15.75" customHeight="1">
      <c r="A41" t="s">
        <v>521</v>
      </c>
      <c r="B41" t="s">
        <v>522</v>
      </c>
      <c r="C41" t="s">
        <v>100</v>
      </c>
      <c r="D41" t="s">
        <v>432</v>
      </c>
      <c r="E41" t="s">
        <v>1361</v>
      </c>
      <c r="F41" t="s">
        <v>1390</v>
      </c>
      <c r="G41" t="s">
        <v>1391</v>
      </c>
      <c r="H41" s="10">
        <v>45878</v>
      </c>
      <c r="I41" s="10">
        <v>45884</v>
      </c>
      <c r="J41">
        <v>7</v>
      </c>
    </row>
    <row r="42" spans="1:10" ht="15.75" customHeight="1">
      <c r="A42" t="s">
        <v>565</v>
      </c>
      <c r="B42" t="s">
        <v>1394</v>
      </c>
      <c r="C42" t="s">
        <v>146</v>
      </c>
      <c r="D42" t="s">
        <v>432</v>
      </c>
      <c r="E42" t="s">
        <v>1361</v>
      </c>
      <c r="F42" t="s">
        <v>1395</v>
      </c>
      <c r="G42" t="s">
        <v>1391</v>
      </c>
      <c r="H42" s="10">
        <v>45907</v>
      </c>
      <c r="I42" s="10">
        <v>45913</v>
      </c>
      <c r="J42">
        <v>7</v>
      </c>
    </row>
    <row r="43" spans="1:10" ht="15.75" customHeight="1">
      <c r="A43" t="s">
        <v>547</v>
      </c>
      <c r="B43" t="s">
        <v>548</v>
      </c>
      <c r="C43" t="s">
        <v>46</v>
      </c>
      <c r="D43" t="s">
        <v>432</v>
      </c>
      <c r="E43" t="s">
        <v>1361</v>
      </c>
      <c r="F43" t="s">
        <v>1395</v>
      </c>
      <c r="G43" t="s">
        <v>1391</v>
      </c>
      <c r="H43" s="10">
        <v>45907</v>
      </c>
      <c r="I43" s="10">
        <v>45913</v>
      </c>
      <c r="J43">
        <v>7</v>
      </c>
    </row>
    <row r="44" spans="1:10" ht="15.75" customHeight="1">
      <c r="A44" t="s">
        <v>460</v>
      </c>
      <c r="B44" t="s">
        <v>1396</v>
      </c>
      <c r="C44" t="s">
        <v>100</v>
      </c>
      <c r="D44" t="s">
        <v>432</v>
      </c>
      <c r="E44" t="s">
        <v>1361</v>
      </c>
      <c r="F44" t="s">
        <v>1395</v>
      </c>
      <c r="G44" t="s">
        <v>1391</v>
      </c>
      <c r="H44" s="10">
        <v>45907</v>
      </c>
      <c r="I44" s="10">
        <v>45913</v>
      </c>
      <c r="J44">
        <v>7</v>
      </c>
    </row>
    <row r="45" spans="1:10" ht="15.75" customHeight="1">
      <c r="A45" t="s">
        <v>625</v>
      </c>
      <c r="B45" t="s">
        <v>296</v>
      </c>
      <c r="C45" t="s">
        <v>468</v>
      </c>
      <c r="D45" t="s">
        <v>432</v>
      </c>
      <c r="E45" t="s">
        <v>1361</v>
      </c>
      <c r="F45" t="s">
        <v>1395</v>
      </c>
      <c r="G45" t="s">
        <v>1391</v>
      </c>
      <c r="H45" s="10">
        <v>45907</v>
      </c>
      <c r="I45" s="10">
        <v>45913</v>
      </c>
      <c r="J45">
        <v>7</v>
      </c>
    </row>
    <row r="46" spans="1:10" ht="15.75" customHeight="1">
      <c r="A46" t="s">
        <v>543</v>
      </c>
      <c r="B46" t="s">
        <v>1355</v>
      </c>
      <c r="C46" t="s">
        <v>468</v>
      </c>
      <c r="D46" t="s">
        <v>432</v>
      </c>
      <c r="E46" t="s">
        <v>1361</v>
      </c>
      <c r="F46" t="s">
        <v>1395</v>
      </c>
      <c r="G46" t="s">
        <v>1391</v>
      </c>
      <c r="H46" s="10">
        <v>45907</v>
      </c>
      <c r="I46" s="10">
        <v>45913</v>
      </c>
      <c r="J46">
        <v>7</v>
      </c>
    </row>
    <row r="47" spans="1:10" ht="15.75" customHeight="1">
      <c r="A47" t="s">
        <v>525</v>
      </c>
      <c r="B47" t="s">
        <v>1397</v>
      </c>
      <c r="C47" t="s">
        <v>468</v>
      </c>
      <c r="D47" t="s">
        <v>432</v>
      </c>
      <c r="E47" t="s">
        <v>1361</v>
      </c>
      <c r="F47" t="s">
        <v>1395</v>
      </c>
      <c r="G47" t="s">
        <v>1391</v>
      </c>
      <c r="H47" s="10">
        <v>45907</v>
      </c>
      <c r="I47" s="10">
        <v>45913</v>
      </c>
      <c r="J47">
        <v>7</v>
      </c>
    </row>
    <row r="48" spans="1:10" ht="15.75" customHeight="1">
      <c r="A48" t="s">
        <v>567</v>
      </c>
      <c r="B48" t="s">
        <v>1398</v>
      </c>
      <c r="C48" t="s">
        <v>146</v>
      </c>
      <c r="D48" t="s">
        <v>432</v>
      </c>
      <c r="E48" t="s">
        <v>1361</v>
      </c>
      <c r="F48" t="s">
        <v>1390</v>
      </c>
      <c r="G48" t="s">
        <v>1391</v>
      </c>
      <c r="H48" s="10">
        <v>46005</v>
      </c>
      <c r="I48" s="10">
        <v>46011</v>
      </c>
      <c r="J48">
        <v>7</v>
      </c>
    </row>
    <row r="49" spans="1:10" ht="15.75" customHeight="1">
      <c r="A49" t="s">
        <v>600</v>
      </c>
      <c r="B49" t="s">
        <v>1399</v>
      </c>
      <c r="C49" t="s">
        <v>175</v>
      </c>
      <c r="D49" t="s">
        <v>432</v>
      </c>
      <c r="E49" t="s">
        <v>1361</v>
      </c>
      <c r="F49" t="s">
        <v>1390</v>
      </c>
      <c r="G49" t="s">
        <v>1391</v>
      </c>
      <c r="H49" s="10">
        <v>46005</v>
      </c>
      <c r="I49" s="10">
        <v>46011</v>
      </c>
      <c r="J49">
        <v>7</v>
      </c>
    </row>
    <row r="50" spans="1:10" ht="15.75" customHeight="1">
      <c r="A50" t="s">
        <v>509</v>
      </c>
      <c r="B50" t="s">
        <v>510</v>
      </c>
      <c r="C50" t="s">
        <v>468</v>
      </c>
      <c r="D50" t="s">
        <v>432</v>
      </c>
      <c r="E50" t="s">
        <v>1361</v>
      </c>
      <c r="F50" t="s">
        <v>1390</v>
      </c>
      <c r="G50" t="s">
        <v>1391</v>
      </c>
      <c r="H50" s="10">
        <v>46005</v>
      </c>
      <c r="I50" s="10">
        <v>46011</v>
      </c>
      <c r="J50">
        <v>7</v>
      </c>
    </row>
    <row r="51" spans="1:10" ht="15.75" customHeight="1">
      <c r="A51" t="s">
        <v>515</v>
      </c>
      <c r="B51" t="s">
        <v>1400</v>
      </c>
      <c r="C51" t="s">
        <v>468</v>
      </c>
      <c r="D51" t="s">
        <v>432</v>
      </c>
      <c r="E51" t="s">
        <v>1361</v>
      </c>
      <c r="F51" t="s">
        <v>1390</v>
      </c>
      <c r="G51" t="s">
        <v>1391</v>
      </c>
      <c r="H51" s="10">
        <v>46005</v>
      </c>
      <c r="I51" s="10">
        <v>46011</v>
      </c>
      <c r="J51">
        <v>7</v>
      </c>
    </row>
    <row r="52" spans="1:10" ht="15.75" customHeight="1">
      <c r="A52" t="s">
        <v>519</v>
      </c>
      <c r="B52" t="s">
        <v>1401</v>
      </c>
      <c r="C52" t="s">
        <v>468</v>
      </c>
      <c r="D52" t="s">
        <v>432</v>
      </c>
      <c r="E52" t="s">
        <v>1361</v>
      </c>
      <c r="F52" t="s">
        <v>1390</v>
      </c>
      <c r="G52" t="s">
        <v>1391</v>
      </c>
      <c r="H52" s="10">
        <v>46005</v>
      </c>
      <c r="I52" s="10">
        <v>46011</v>
      </c>
      <c r="J52">
        <v>7</v>
      </c>
    </row>
    <row r="53" spans="1:10" ht="15.75" customHeight="1">
      <c r="A53" t="s">
        <v>628</v>
      </c>
      <c r="B53" t="s">
        <v>1231</v>
      </c>
      <c r="C53" t="s">
        <v>468</v>
      </c>
      <c r="D53" t="s">
        <v>432</v>
      </c>
      <c r="E53" t="s">
        <v>1361</v>
      </c>
      <c r="F53" t="s">
        <v>1390</v>
      </c>
      <c r="G53" t="s">
        <v>1391</v>
      </c>
      <c r="H53" s="10">
        <v>46005</v>
      </c>
      <c r="I53" s="10">
        <v>46011</v>
      </c>
      <c r="J53">
        <v>7</v>
      </c>
    </row>
    <row r="54" spans="1:10" ht="15.75" customHeight="1">
      <c r="A54" t="s">
        <v>573</v>
      </c>
      <c r="B54" t="s">
        <v>1402</v>
      </c>
      <c r="C54" t="s">
        <v>146</v>
      </c>
      <c r="D54" t="s">
        <v>432</v>
      </c>
      <c r="E54" t="s">
        <v>1361</v>
      </c>
      <c r="F54" t="s">
        <v>1390</v>
      </c>
      <c r="G54" t="s">
        <v>1403</v>
      </c>
      <c r="H54" s="10">
        <v>46209</v>
      </c>
      <c r="I54">
        <v>46215</v>
      </c>
      <c r="J54">
        <v>7</v>
      </c>
    </row>
    <row r="55" spans="1:10" ht="15.75" customHeight="1">
      <c r="A55" t="s">
        <v>638</v>
      </c>
      <c r="B55" t="s">
        <v>1153</v>
      </c>
      <c r="C55" t="s">
        <v>146</v>
      </c>
      <c r="D55" t="s">
        <v>432</v>
      </c>
      <c r="E55" t="s">
        <v>1361</v>
      </c>
      <c r="F55" t="s">
        <v>1390</v>
      </c>
      <c r="G55" t="s">
        <v>1403</v>
      </c>
      <c r="H55" s="10">
        <v>46209</v>
      </c>
      <c r="I55">
        <v>46215</v>
      </c>
      <c r="J55">
        <v>7</v>
      </c>
    </row>
    <row r="56" spans="1:10" ht="15.75" customHeight="1">
      <c r="A56" t="s">
        <v>581</v>
      </c>
      <c r="B56" t="s">
        <v>1404</v>
      </c>
      <c r="C56" t="s">
        <v>146</v>
      </c>
      <c r="D56" t="s">
        <v>432</v>
      </c>
      <c r="E56" t="s">
        <v>1361</v>
      </c>
      <c r="F56" t="s">
        <v>1390</v>
      </c>
      <c r="G56" t="s">
        <v>1403</v>
      </c>
      <c r="H56" s="10">
        <v>46209</v>
      </c>
      <c r="I56">
        <v>46215</v>
      </c>
      <c r="J56">
        <v>7</v>
      </c>
    </row>
    <row r="57" spans="1:10" ht="15.75" customHeight="1">
      <c r="A57" t="s">
        <v>533</v>
      </c>
      <c r="B57" t="s">
        <v>1405</v>
      </c>
      <c r="C57" t="s">
        <v>468</v>
      </c>
      <c r="D57" t="s">
        <v>432</v>
      </c>
      <c r="E57" t="s">
        <v>1361</v>
      </c>
      <c r="F57" t="s">
        <v>1390</v>
      </c>
      <c r="G57" t="s">
        <v>1403</v>
      </c>
      <c r="H57" s="10">
        <v>46209</v>
      </c>
      <c r="I57">
        <v>46215</v>
      </c>
      <c r="J57">
        <v>7</v>
      </c>
    </row>
    <row r="58" spans="1:10" ht="15.75" customHeight="1">
      <c r="A58" t="s">
        <v>539</v>
      </c>
      <c r="B58" t="s">
        <v>540</v>
      </c>
      <c r="C58" t="s">
        <v>468</v>
      </c>
      <c r="D58" t="s">
        <v>432</v>
      </c>
      <c r="E58" t="s">
        <v>1361</v>
      </c>
      <c r="F58" t="s">
        <v>1390</v>
      </c>
      <c r="G58" t="s">
        <v>1403</v>
      </c>
      <c r="H58" s="10">
        <v>46209</v>
      </c>
      <c r="I58">
        <v>46215</v>
      </c>
      <c r="J58">
        <v>7</v>
      </c>
    </row>
    <row r="59" spans="1:10" ht="15.75" customHeight="1">
      <c r="A59" t="s">
        <v>449</v>
      </c>
      <c r="B59" t="s">
        <v>1406</v>
      </c>
      <c r="C59" t="s">
        <v>451</v>
      </c>
      <c r="D59" t="s">
        <v>432</v>
      </c>
      <c r="E59" t="s">
        <v>1361</v>
      </c>
      <c r="F59" t="s">
        <v>1390</v>
      </c>
      <c r="G59" t="s">
        <v>1403</v>
      </c>
      <c r="H59" s="10">
        <v>46209</v>
      </c>
      <c r="I59">
        <v>46215</v>
      </c>
      <c r="J59">
        <v>7</v>
      </c>
    </row>
    <row r="60" spans="1:10" ht="15.75" customHeight="1">
      <c r="A60" t="s">
        <v>1407</v>
      </c>
      <c r="B60" t="s">
        <v>1408</v>
      </c>
      <c r="E60" t="s">
        <v>1409</v>
      </c>
      <c r="F60" t="s">
        <v>1410</v>
      </c>
      <c r="G60" t="s">
        <v>1411</v>
      </c>
      <c r="H60" s="10">
        <v>46214</v>
      </c>
      <c r="I60" s="10">
        <v>46220</v>
      </c>
      <c r="J60">
        <v>7</v>
      </c>
    </row>
    <row r="61" spans="1:10" ht="15.75" customHeight="1">
      <c r="A61" t="s">
        <v>1055</v>
      </c>
      <c r="B61" t="s">
        <v>1056</v>
      </c>
      <c r="C61" t="s">
        <v>1057</v>
      </c>
      <c r="D61" t="s">
        <v>432</v>
      </c>
      <c r="E61" t="s">
        <v>1409</v>
      </c>
      <c r="F61" t="s">
        <v>1412</v>
      </c>
      <c r="G61" t="s">
        <v>1411</v>
      </c>
      <c r="H61" s="10">
        <v>46214</v>
      </c>
      <c r="I61" s="10">
        <v>46220</v>
      </c>
      <c r="J61">
        <v>7</v>
      </c>
    </row>
    <row r="62" spans="1:10" ht="15.75" customHeight="1">
      <c r="A62" t="s">
        <v>1099</v>
      </c>
      <c r="B62" t="s">
        <v>1413</v>
      </c>
      <c r="C62" t="s">
        <v>1025</v>
      </c>
      <c r="D62" t="s">
        <v>432</v>
      </c>
      <c r="E62" t="s">
        <v>1409</v>
      </c>
      <c r="F62" t="s">
        <v>1414</v>
      </c>
      <c r="G62" t="s">
        <v>1411</v>
      </c>
      <c r="H62" s="10">
        <v>46214</v>
      </c>
      <c r="I62" s="10">
        <v>46220</v>
      </c>
      <c r="J62">
        <v>7</v>
      </c>
    </row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3:J62"/>
  <hyperlinks>
    <hyperlink ref="A1" location="Dashboard!A1" display="&lt;&lt; Back to Dashboard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ColWidth="14.42578125" defaultRowHeight="15" customHeight="1"/>
  <cols>
    <col min="1" max="5" width="20.7109375" customWidth="1"/>
    <col min="6" max="16" width="8.7109375" customWidth="1"/>
  </cols>
  <sheetData>
    <row r="1" spans="1:5" ht="30" customHeight="1">
      <c r="A1" s="19" t="s">
        <v>8</v>
      </c>
    </row>
    <row r="4" spans="1:5">
      <c r="A4" s="20" t="s">
        <v>1415</v>
      </c>
      <c r="B4" s="20" t="s">
        <v>1416</v>
      </c>
      <c r="C4" s="20" t="s">
        <v>1417</v>
      </c>
      <c r="D4" s="20" t="s">
        <v>1418</v>
      </c>
      <c r="E4" s="20" t="s">
        <v>1419</v>
      </c>
    </row>
    <row r="5" spans="1:5">
      <c r="A5" s="21" t="s">
        <v>1420</v>
      </c>
      <c r="B5" s="21">
        <f>COUNTA(Refresher!A4:A5000)</f>
        <v>304</v>
      </c>
      <c r="C5" s="21">
        <f ca="1">COUNTIF(Refresher!G4:G5000, "Valid")</f>
        <v>202</v>
      </c>
      <c r="D5" s="21">
        <f t="shared" ref="D5:D8" ca="1" si="0">B5-C5</f>
        <v>102</v>
      </c>
      <c r="E5" s="22">
        <f t="shared" ref="E5:E8" ca="1" si="1">IF(B5=0, 0, C5/B5)</f>
        <v>0.66447368421052633</v>
      </c>
    </row>
    <row r="6" spans="1:5">
      <c r="A6" s="21" t="s">
        <v>1421</v>
      </c>
      <c r="B6" s="21">
        <f>COUNTA(First_Aid!A4:A4998)</f>
        <v>474</v>
      </c>
      <c r="C6" s="21">
        <f ca="1">COUNTIF(First_Aid!H4:H4998, "Valid")</f>
        <v>321</v>
      </c>
      <c r="D6" s="21">
        <f t="shared" ca="1" si="0"/>
        <v>153</v>
      </c>
      <c r="E6" s="22">
        <f t="shared" ca="1" si="1"/>
        <v>0.67721518987341767</v>
      </c>
    </row>
    <row r="7" spans="1:5">
      <c r="A7" s="21" t="s">
        <v>3</v>
      </c>
      <c r="B7" s="21">
        <f>COUNTA(Fire_Fighting!A4:A5000)</f>
        <v>476</v>
      </c>
      <c r="C7" s="21">
        <f ca="1">COUNTIF(Fire_Fighting!G4:G5000, "Valid")</f>
        <v>0</v>
      </c>
      <c r="D7" s="21">
        <f t="shared" ca="1" si="0"/>
        <v>476</v>
      </c>
      <c r="E7" s="22">
        <f t="shared" ca="1" si="1"/>
        <v>0</v>
      </c>
    </row>
    <row r="8" spans="1:5">
      <c r="A8" s="21" t="s">
        <v>1422</v>
      </c>
      <c r="B8" s="21">
        <f>COUNTA(Supervisor!A4:A5000)</f>
        <v>44</v>
      </c>
      <c r="C8" s="21">
        <f ca="1">COUNTIF(Supervisor!G4:G5000, "Valid")</f>
        <v>0</v>
      </c>
      <c r="D8" s="21">
        <f t="shared" ca="1" si="0"/>
        <v>44</v>
      </c>
      <c r="E8" s="22">
        <f t="shared" ca="1" si="1"/>
        <v>0</v>
      </c>
    </row>
    <row r="11" spans="1:5">
      <c r="A11" s="9" t="s">
        <v>1423</v>
      </c>
      <c r="B11" s="9" t="s">
        <v>1424</v>
      </c>
    </row>
    <row r="12" spans="1:5">
      <c r="A12" s="21">
        <v>2026</v>
      </c>
      <c r="B12" s="21">
        <f>COUNTIFS(Refresher!F4:F5000, "&gt;=2026-01-01", Refresher!F4:F5000, "&lt;=2026-12-31")</f>
        <v>71</v>
      </c>
    </row>
    <row r="13" spans="1:5">
      <c r="A13" s="21">
        <v>2027</v>
      </c>
      <c r="B13" s="21">
        <f>COUNTIFS(Refresher!F4:F5000, "&gt;=2027-01-01", Refresher!F4:F5000, "&lt;=2027-12-31")</f>
        <v>54</v>
      </c>
    </row>
    <row r="14" spans="1:5">
      <c r="A14" s="21">
        <v>2028</v>
      </c>
      <c r="B14" s="21">
        <f>COUNTIFS(Refresher!F4:F5000, "&gt;=2028-01-01", Refresher!F4:F5000, "&lt;=2028-12-31")</f>
        <v>43</v>
      </c>
    </row>
    <row r="15" spans="1:5">
      <c r="A15" s="21">
        <v>2029</v>
      </c>
      <c r="B15" s="21">
        <f>COUNTIFS(Refresher!F4:F5000, "&gt;=2029-01-01", Refresher!F4:F5000, "&lt;=2029-12-31")</f>
        <v>39</v>
      </c>
    </row>
    <row r="16" spans="1:5">
      <c r="A16" s="21">
        <v>2030</v>
      </c>
      <c r="B16" s="21">
        <f>COUNTIFS(Refresher!F4:F5000, "&gt;=2030-01-01", Refresher!F4:F5000, "&lt;=2030-12-31")</f>
        <v>31</v>
      </c>
    </row>
    <row r="17" spans="1:2">
      <c r="A17" s="21" t="s">
        <v>1425</v>
      </c>
      <c r="B17" s="21">
        <f>COUNTIF(Refresher!F4:F5000, "") - (5000 - COUNTA(Refresher!A4:A5000))</f>
        <v>63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ef="A1" location="Dashboard!A1" display="&lt;&lt; Back to Dashboard"/>
  </hyperlink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Refresher</vt:lpstr>
      <vt:lpstr>First_Aid</vt:lpstr>
      <vt:lpstr>Fire_Fighting</vt:lpstr>
      <vt:lpstr>Supervisor</vt:lpstr>
      <vt:lpstr>OEM_Training</vt:lpstr>
      <vt:lpstr>Service_Training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aksaw</cp:lastModifiedBy>
  <dcterms:created xsi:type="dcterms:W3CDTF">2026-08-13T17:01:37Z</dcterms:created>
  <dcterms:modified xsi:type="dcterms:W3CDTF">2026-09-07T03:55:51Z</dcterms:modified>
</cp:coreProperties>
</file>