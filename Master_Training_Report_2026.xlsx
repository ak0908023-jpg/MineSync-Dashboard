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it\OneDrive\Desktop\app.py\"/>
    </mc:Choice>
  </mc:AlternateContent>
  <xr:revisionPtr revIDLastSave="0" documentId="13_ncr:1_{F884E147-479B-450D-85D2-33E00A32B91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ME" sheetId="9" r:id="rId1"/>
    <sheet name="First_Aid" sheetId="3" r:id="rId2"/>
    <sheet name="Refresher" sheetId="2" r:id="rId3"/>
    <sheet name="Fire_Fighting" sheetId="4" r:id="rId4"/>
    <sheet name="Supervisor" sheetId="5" r:id="rId5"/>
    <sheet name="OEM_Training" sheetId="6" r:id="rId6"/>
    <sheet name="Service_Training" sheetId="7" r:id="rId7"/>
    <sheet name="Compliance" sheetId="8" r:id="rId8"/>
  </sheets>
  <definedNames>
    <definedName name="_xlnm._FilterDatabase" localSheetId="3" hidden="1">Fire_Fighting!$A$3:$G$479</definedName>
    <definedName name="_xlnm._FilterDatabase" localSheetId="1" hidden="1">First_Aid!$A$3:$H$479</definedName>
    <definedName name="_xlnm._FilterDatabase" localSheetId="5" hidden="1">OEM_Training!$A$3:$H$255</definedName>
    <definedName name="_xlnm._FilterDatabase" localSheetId="2" hidden="1">Refresher!$A$3:$G$307</definedName>
    <definedName name="_xlnm._FilterDatabase" localSheetId="6" hidden="1">Service_Training!$A$3:$J$62</definedName>
    <definedName name="_xlnm._FilterDatabase" localSheetId="4" hidden="1">Supervisor!$A$3:$G$47</definedName>
  </definedNames>
  <calcPr calcId="191029"/>
</workbook>
</file>

<file path=xl/calcChain.xml><?xml version="1.0" encoding="utf-8"?>
<calcChain xmlns="http://schemas.openxmlformats.org/spreadsheetml/2006/main">
  <c r="B8" i="8" l="1"/>
  <c r="B7" i="8"/>
  <c r="B6" i="8"/>
  <c r="B5" i="8"/>
  <c r="G47" i="5"/>
  <c r="F47" i="5"/>
  <c r="G46" i="5"/>
  <c r="F46" i="5"/>
  <c r="F45" i="5"/>
  <c r="G45" i="5" s="1"/>
  <c r="F44" i="5"/>
  <c r="G44" i="5" s="1"/>
  <c r="F43" i="5"/>
  <c r="G43" i="5" s="1"/>
  <c r="G42" i="5"/>
  <c r="F42" i="5"/>
  <c r="F41" i="5"/>
  <c r="G41" i="5" s="1"/>
  <c r="F40" i="5"/>
  <c r="G40" i="5" s="1"/>
  <c r="F39" i="5"/>
  <c r="G39" i="5" s="1"/>
  <c r="F38" i="5"/>
  <c r="G38" i="5" s="1"/>
  <c r="F37" i="5"/>
  <c r="G37" i="5" s="1"/>
  <c r="F36" i="5"/>
  <c r="G36" i="5" s="1"/>
  <c r="G35" i="5"/>
  <c r="F35" i="5"/>
  <c r="G34" i="5"/>
  <c r="F34" i="5"/>
  <c r="F33" i="5"/>
  <c r="G33" i="5" s="1"/>
  <c r="F32" i="5"/>
  <c r="G32" i="5" s="1"/>
  <c r="G31" i="5"/>
  <c r="F31" i="5"/>
  <c r="G30" i="5"/>
  <c r="F30" i="5"/>
  <c r="F29" i="5"/>
  <c r="G29" i="5" s="1"/>
  <c r="F28" i="5"/>
  <c r="G28" i="5" s="1"/>
  <c r="F27" i="5"/>
  <c r="G27" i="5" s="1"/>
  <c r="G26" i="5"/>
  <c r="F26" i="5"/>
  <c r="F25" i="5"/>
  <c r="G25" i="5" s="1"/>
  <c r="F24" i="5"/>
  <c r="G24" i="5" s="1"/>
  <c r="G23" i="5"/>
  <c r="F23" i="5"/>
  <c r="F22" i="5"/>
  <c r="G22" i="5" s="1"/>
  <c r="F21" i="5"/>
  <c r="G21" i="5" s="1"/>
  <c r="F20" i="5"/>
  <c r="G20" i="5" s="1"/>
  <c r="G19" i="5"/>
  <c r="F19" i="5"/>
  <c r="F18" i="5"/>
  <c r="G18" i="5" s="1"/>
  <c r="F17" i="5"/>
  <c r="G17" i="5" s="1"/>
  <c r="F16" i="5"/>
  <c r="G16" i="5" s="1"/>
  <c r="G15" i="5"/>
  <c r="F15" i="5"/>
  <c r="G14" i="5"/>
  <c r="F14" i="5"/>
  <c r="F13" i="5"/>
  <c r="G13" i="5" s="1"/>
  <c r="F12" i="5"/>
  <c r="G12" i="5" s="1"/>
  <c r="F11" i="5"/>
  <c r="G11" i="5" s="1"/>
  <c r="G10" i="5"/>
  <c r="F10" i="5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G479" i="4"/>
  <c r="F479" i="4"/>
  <c r="G478" i="4"/>
  <c r="F478" i="4"/>
  <c r="F477" i="4"/>
  <c r="G477" i="4" s="1"/>
  <c r="F476" i="4"/>
  <c r="G476" i="4" s="1"/>
  <c r="G475" i="4"/>
  <c r="F475" i="4"/>
  <c r="G474" i="4"/>
  <c r="F474" i="4"/>
  <c r="F473" i="4"/>
  <c r="G473" i="4" s="1"/>
  <c r="F472" i="4"/>
  <c r="G472" i="4" s="1"/>
  <c r="F471" i="4"/>
  <c r="G471" i="4" s="1"/>
  <c r="G470" i="4"/>
  <c r="F470" i="4"/>
  <c r="F469" i="4"/>
  <c r="G469" i="4" s="1"/>
  <c r="F468" i="4"/>
  <c r="G468" i="4" s="1"/>
  <c r="F467" i="4"/>
  <c r="G467" i="4" s="1"/>
  <c r="F466" i="4"/>
  <c r="G466" i="4" s="1"/>
  <c r="F465" i="4"/>
  <c r="G465" i="4" s="1"/>
  <c r="F464" i="4"/>
  <c r="G464" i="4" s="1"/>
  <c r="G463" i="4"/>
  <c r="F463" i="4"/>
  <c r="F462" i="4"/>
  <c r="G462" i="4" s="1"/>
  <c r="F461" i="4"/>
  <c r="G461" i="4" s="1"/>
  <c r="F460" i="4"/>
  <c r="G460" i="4" s="1"/>
  <c r="G459" i="4"/>
  <c r="F459" i="4"/>
  <c r="G458" i="4"/>
  <c r="F458" i="4"/>
  <c r="F457" i="4"/>
  <c r="G457" i="4" s="1"/>
  <c r="F456" i="4"/>
  <c r="G456" i="4" s="1"/>
  <c r="F455" i="4"/>
  <c r="G455" i="4" s="1"/>
  <c r="G454" i="4"/>
  <c r="F454" i="4"/>
  <c r="F453" i="4"/>
  <c r="G453" i="4" s="1"/>
  <c r="F452" i="4"/>
  <c r="G452" i="4" s="1"/>
  <c r="G451" i="4"/>
  <c r="F451" i="4"/>
  <c r="F450" i="4"/>
  <c r="G450" i="4" s="1"/>
  <c r="F449" i="4"/>
  <c r="G449" i="4" s="1"/>
  <c r="F448" i="4"/>
  <c r="G448" i="4" s="1"/>
  <c r="G447" i="4"/>
  <c r="F447" i="4"/>
  <c r="F446" i="4"/>
  <c r="G446" i="4" s="1"/>
  <c r="F445" i="4"/>
  <c r="G445" i="4" s="1"/>
  <c r="F444" i="4"/>
  <c r="G444" i="4" s="1"/>
  <c r="G443" i="4"/>
  <c r="F443" i="4"/>
  <c r="G442" i="4"/>
  <c r="F442" i="4"/>
  <c r="F441" i="4"/>
  <c r="G441" i="4" s="1"/>
  <c r="F440" i="4"/>
  <c r="G440" i="4" s="1"/>
  <c r="F439" i="4"/>
  <c r="G439" i="4" s="1"/>
  <c r="G438" i="4"/>
  <c r="F438" i="4"/>
  <c r="F437" i="4"/>
  <c r="G437" i="4" s="1"/>
  <c r="F436" i="4"/>
  <c r="G436" i="4" s="1"/>
  <c r="G435" i="4"/>
  <c r="F435" i="4"/>
  <c r="F434" i="4"/>
  <c r="G434" i="4" s="1"/>
  <c r="F433" i="4"/>
  <c r="G433" i="4" s="1"/>
  <c r="F432" i="4"/>
  <c r="G432" i="4" s="1"/>
  <c r="G431" i="4"/>
  <c r="F431" i="4"/>
  <c r="F430" i="4"/>
  <c r="G430" i="4" s="1"/>
  <c r="F429" i="4"/>
  <c r="G429" i="4" s="1"/>
  <c r="F428" i="4"/>
  <c r="G428" i="4" s="1"/>
  <c r="G427" i="4"/>
  <c r="F427" i="4"/>
  <c r="G426" i="4"/>
  <c r="F426" i="4"/>
  <c r="F425" i="4"/>
  <c r="G425" i="4" s="1"/>
  <c r="F424" i="4"/>
  <c r="G424" i="4" s="1"/>
  <c r="F423" i="4"/>
  <c r="G423" i="4" s="1"/>
  <c r="G422" i="4"/>
  <c r="F422" i="4"/>
  <c r="F421" i="4"/>
  <c r="G421" i="4" s="1"/>
  <c r="F420" i="4"/>
  <c r="G420" i="4" s="1"/>
  <c r="F419" i="4"/>
  <c r="G419" i="4" s="1"/>
  <c r="F418" i="4"/>
  <c r="G418" i="4" s="1"/>
  <c r="F417" i="4"/>
  <c r="G417" i="4" s="1"/>
  <c r="F416" i="4"/>
  <c r="G416" i="4" s="1"/>
  <c r="G415" i="4"/>
  <c r="F415" i="4"/>
  <c r="G414" i="4"/>
  <c r="F414" i="4"/>
  <c r="F413" i="4"/>
  <c r="G413" i="4" s="1"/>
  <c r="F412" i="4"/>
  <c r="G412" i="4" s="1"/>
  <c r="G411" i="4"/>
  <c r="F411" i="4"/>
  <c r="G410" i="4"/>
  <c r="F410" i="4"/>
  <c r="F409" i="4"/>
  <c r="G409" i="4" s="1"/>
  <c r="F408" i="4"/>
  <c r="G408" i="4" s="1"/>
  <c r="F407" i="4"/>
  <c r="G407" i="4" s="1"/>
  <c r="G406" i="4"/>
  <c r="F406" i="4"/>
  <c r="F405" i="4"/>
  <c r="G405" i="4" s="1"/>
  <c r="F404" i="4"/>
  <c r="G404" i="4" s="1"/>
  <c r="F403" i="4"/>
  <c r="G403" i="4" s="1"/>
  <c r="F402" i="4"/>
  <c r="G402" i="4" s="1"/>
  <c r="F401" i="4"/>
  <c r="G401" i="4" s="1"/>
  <c r="F400" i="4"/>
  <c r="G400" i="4" s="1"/>
  <c r="G399" i="4"/>
  <c r="F399" i="4"/>
  <c r="F398" i="4"/>
  <c r="G398" i="4" s="1"/>
  <c r="F397" i="4"/>
  <c r="G397" i="4" s="1"/>
  <c r="F396" i="4"/>
  <c r="G396" i="4" s="1"/>
  <c r="G395" i="4"/>
  <c r="F395" i="4"/>
  <c r="G394" i="4"/>
  <c r="F394" i="4"/>
  <c r="F393" i="4"/>
  <c r="G393" i="4" s="1"/>
  <c r="F392" i="4"/>
  <c r="G392" i="4" s="1"/>
  <c r="F391" i="4"/>
  <c r="G391" i="4" s="1"/>
  <c r="G390" i="4"/>
  <c r="F390" i="4"/>
  <c r="F389" i="4"/>
  <c r="G389" i="4" s="1"/>
  <c r="F388" i="4"/>
  <c r="G388" i="4" s="1"/>
  <c r="G387" i="4"/>
  <c r="F387" i="4"/>
  <c r="F386" i="4"/>
  <c r="G386" i="4" s="1"/>
  <c r="F385" i="4"/>
  <c r="G385" i="4" s="1"/>
  <c r="F384" i="4"/>
  <c r="G384" i="4" s="1"/>
  <c r="G383" i="4"/>
  <c r="F383" i="4"/>
  <c r="F382" i="4"/>
  <c r="G382" i="4" s="1"/>
  <c r="F381" i="4"/>
  <c r="G381" i="4" s="1"/>
  <c r="G380" i="4"/>
  <c r="F380" i="4"/>
  <c r="F379" i="4"/>
  <c r="G379" i="4" s="1"/>
  <c r="F378" i="4"/>
  <c r="G378" i="4" s="1"/>
  <c r="F377" i="4"/>
  <c r="G377" i="4" s="1"/>
  <c r="F376" i="4"/>
  <c r="G376" i="4" s="1"/>
  <c r="G375" i="4"/>
  <c r="F375" i="4"/>
  <c r="G374" i="4"/>
  <c r="F374" i="4"/>
  <c r="F373" i="4"/>
  <c r="G373" i="4" s="1"/>
  <c r="G372" i="4"/>
  <c r="F372" i="4"/>
  <c r="G371" i="4"/>
  <c r="F371" i="4"/>
  <c r="F370" i="4"/>
  <c r="G370" i="4" s="1"/>
  <c r="F369" i="4"/>
  <c r="G369" i="4" s="1"/>
  <c r="G368" i="4"/>
  <c r="F368" i="4"/>
  <c r="F367" i="4"/>
  <c r="G367" i="4" s="1"/>
  <c r="G366" i="4"/>
  <c r="F366" i="4"/>
  <c r="F365" i="4"/>
  <c r="G365" i="4" s="1"/>
  <c r="F364" i="4"/>
  <c r="G364" i="4" s="1"/>
  <c r="G363" i="4"/>
  <c r="F363" i="4"/>
  <c r="G362" i="4"/>
  <c r="F362" i="4"/>
  <c r="F361" i="4"/>
  <c r="G361" i="4" s="1"/>
  <c r="G360" i="4"/>
  <c r="F360" i="4"/>
  <c r="F359" i="4"/>
  <c r="G359" i="4" s="1"/>
  <c r="F358" i="4"/>
  <c r="G358" i="4" s="1"/>
  <c r="F357" i="4"/>
  <c r="G357" i="4" s="1"/>
  <c r="F356" i="4"/>
  <c r="G356" i="4" s="1"/>
  <c r="F355" i="4"/>
  <c r="G355" i="4" s="1"/>
  <c r="G354" i="4"/>
  <c r="F354" i="4"/>
  <c r="F353" i="4"/>
  <c r="G353" i="4" s="1"/>
  <c r="G352" i="4"/>
  <c r="F352" i="4"/>
  <c r="G351" i="4"/>
  <c r="F351" i="4"/>
  <c r="G350" i="4"/>
  <c r="F350" i="4"/>
  <c r="F349" i="4"/>
  <c r="G349" i="4" s="1"/>
  <c r="G348" i="4"/>
  <c r="F348" i="4"/>
  <c r="F347" i="4"/>
  <c r="G347" i="4" s="1"/>
  <c r="F346" i="4"/>
  <c r="G346" i="4" s="1"/>
  <c r="F345" i="4"/>
  <c r="G345" i="4" s="1"/>
  <c r="F344" i="4"/>
  <c r="G344" i="4" s="1"/>
  <c r="G343" i="4"/>
  <c r="F343" i="4"/>
  <c r="G342" i="4"/>
  <c r="F342" i="4"/>
  <c r="F341" i="4"/>
  <c r="G341" i="4" s="1"/>
  <c r="G340" i="4"/>
  <c r="F340" i="4"/>
  <c r="G339" i="4"/>
  <c r="F339" i="4"/>
  <c r="F338" i="4"/>
  <c r="G338" i="4" s="1"/>
  <c r="F337" i="4"/>
  <c r="G337" i="4" s="1"/>
  <c r="F336" i="4"/>
  <c r="G336" i="4" s="1"/>
  <c r="F335" i="4"/>
  <c r="G335" i="4" s="1"/>
  <c r="G334" i="4"/>
  <c r="F334" i="4"/>
  <c r="F333" i="4"/>
  <c r="G333" i="4" s="1"/>
  <c r="F332" i="4"/>
  <c r="G332" i="4" s="1"/>
  <c r="G331" i="4"/>
  <c r="F331" i="4"/>
  <c r="G330" i="4"/>
  <c r="F330" i="4"/>
  <c r="F329" i="4"/>
  <c r="G329" i="4" s="1"/>
  <c r="G328" i="4"/>
  <c r="F328" i="4"/>
  <c r="G327" i="4"/>
  <c r="F327" i="4"/>
  <c r="F326" i="4"/>
  <c r="G326" i="4" s="1"/>
  <c r="F325" i="4"/>
  <c r="G325" i="4" s="1"/>
  <c r="F324" i="4"/>
  <c r="G324" i="4" s="1"/>
  <c r="F323" i="4"/>
  <c r="G323" i="4" s="1"/>
  <c r="G322" i="4"/>
  <c r="F322" i="4"/>
  <c r="F321" i="4"/>
  <c r="G321" i="4" s="1"/>
  <c r="G320" i="4"/>
  <c r="F320" i="4"/>
  <c r="G319" i="4"/>
  <c r="F319" i="4"/>
  <c r="F318" i="4"/>
  <c r="G318" i="4" s="1"/>
  <c r="F317" i="4"/>
  <c r="G317" i="4" s="1"/>
  <c r="G316" i="4"/>
  <c r="F316" i="4"/>
  <c r="F315" i="4"/>
  <c r="G315" i="4" s="1"/>
  <c r="F314" i="4"/>
  <c r="G314" i="4" s="1"/>
  <c r="F313" i="4"/>
  <c r="G313" i="4" s="1"/>
  <c r="F312" i="4"/>
  <c r="G312" i="4" s="1"/>
  <c r="G311" i="4"/>
  <c r="F311" i="4"/>
  <c r="G310" i="4"/>
  <c r="F310" i="4"/>
  <c r="F309" i="4"/>
  <c r="G309" i="4" s="1"/>
  <c r="G308" i="4"/>
  <c r="F308" i="4"/>
  <c r="G307" i="4"/>
  <c r="F307" i="4"/>
  <c r="F306" i="4"/>
  <c r="G306" i="4" s="1"/>
  <c r="F305" i="4"/>
  <c r="G305" i="4" s="1"/>
  <c r="F304" i="4"/>
  <c r="G304" i="4" s="1"/>
  <c r="F303" i="4"/>
  <c r="G303" i="4" s="1"/>
  <c r="G302" i="4"/>
  <c r="F302" i="4"/>
  <c r="F301" i="4"/>
  <c r="G301" i="4" s="1"/>
  <c r="F300" i="4"/>
  <c r="G300" i="4" s="1"/>
  <c r="G299" i="4"/>
  <c r="F299" i="4"/>
  <c r="G298" i="4"/>
  <c r="F298" i="4"/>
  <c r="F297" i="4"/>
  <c r="G297" i="4" s="1"/>
  <c r="G296" i="4"/>
  <c r="F296" i="4"/>
  <c r="F295" i="4"/>
  <c r="G295" i="4" s="1"/>
  <c r="F294" i="4"/>
  <c r="G294" i="4" s="1"/>
  <c r="F293" i="4"/>
  <c r="G293" i="4" s="1"/>
  <c r="F292" i="4"/>
  <c r="G292" i="4" s="1"/>
  <c r="F291" i="4"/>
  <c r="G291" i="4" s="1"/>
  <c r="G290" i="4"/>
  <c r="F290" i="4"/>
  <c r="F289" i="4"/>
  <c r="G289" i="4" s="1"/>
  <c r="G288" i="4"/>
  <c r="F288" i="4"/>
  <c r="G287" i="4"/>
  <c r="F287" i="4"/>
  <c r="F286" i="4"/>
  <c r="G286" i="4" s="1"/>
  <c r="F285" i="4"/>
  <c r="G285" i="4" s="1"/>
  <c r="G284" i="4"/>
  <c r="F284" i="4"/>
  <c r="F283" i="4"/>
  <c r="G283" i="4" s="1"/>
  <c r="F282" i="4"/>
  <c r="G282" i="4" s="1"/>
  <c r="F281" i="4"/>
  <c r="G281" i="4" s="1"/>
  <c r="F280" i="4"/>
  <c r="G280" i="4" s="1"/>
  <c r="G279" i="4"/>
  <c r="F279" i="4"/>
  <c r="G278" i="4"/>
  <c r="F278" i="4"/>
  <c r="F277" i="4"/>
  <c r="G277" i="4" s="1"/>
  <c r="G276" i="4"/>
  <c r="F276" i="4"/>
  <c r="G275" i="4"/>
  <c r="F275" i="4"/>
  <c r="F274" i="4"/>
  <c r="G274" i="4" s="1"/>
  <c r="F273" i="4"/>
  <c r="G273" i="4" s="1"/>
  <c r="G272" i="4"/>
  <c r="F272" i="4"/>
  <c r="F271" i="4"/>
  <c r="G271" i="4" s="1"/>
  <c r="G270" i="4"/>
  <c r="F270" i="4"/>
  <c r="F269" i="4"/>
  <c r="G269" i="4" s="1"/>
  <c r="F268" i="4"/>
  <c r="G268" i="4" s="1"/>
  <c r="G267" i="4"/>
  <c r="F267" i="4"/>
  <c r="G266" i="4"/>
  <c r="F266" i="4"/>
  <c r="F265" i="4"/>
  <c r="G265" i="4" s="1"/>
  <c r="G264" i="4"/>
  <c r="F264" i="4"/>
  <c r="G263" i="4"/>
  <c r="F263" i="4"/>
  <c r="F262" i="4"/>
  <c r="G262" i="4" s="1"/>
  <c r="F261" i="4"/>
  <c r="G261" i="4" s="1"/>
  <c r="F260" i="4"/>
  <c r="G260" i="4" s="1"/>
  <c r="F259" i="4"/>
  <c r="G259" i="4" s="1"/>
  <c r="G258" i="4"/>
  <c r="F258" i="4"/>
  <c r="F257" i="4"/>
  <c r="G257" i="4" s="1"/>
  <c r="G256" i="4"/>
  <c r="F256" i="4"/>
  <c r="G255" i="4"/>
  <c r="F255" i="4"/>
  <c r="G254" i="4"/>
  <c r="F254" i="4"/>
  <c r="F253" i="4"/>
  <c r="G253" i="4" s="1"/>
  <c r="G252" i="4"/>
  <c r="F252" i="4"/>
  <c r="F251" i="4"/>
  <c r="G251" i="4" s="1"/>
  <c r="F250" i="4"/>
  <c r="G250" i="4" s="1"/>
  <c r="F249" i="4"/>
  <c r="G249" i="4" s="1"/>
  <c r="F248" i="4"/>
  <c r="G248" i="4" s="1"/>
  <c r="G247" i="4"/>
  <c r="F247" i="4"/>
  <c r="G246" i="4"/>
  <c r="F246" i="4"/>
  <c r="F245" i="4"/>
  <c r="G245" i="4" s="1"/>
  <c r="G244" i="4"/>
  <c r="F244" i="4"/>
  <c r="G243" i="4"/>
  <c r="F243" i="4"/>
  <c r="F242" i="4"/>
  <c r="G242" i="4" s="1"/>
  <c r="F241" i="4"/>
  <c r="G241" i="4" s="1"/>
  <c r="F240" i="4"/>
  <c r="G240" i="4" s="1"/>
  <c r="F239" i="4"/>
  <c r="G239" i="4" s="1"/>
  <c r="G238" i="4"/>
  <c r="F238" i="4"/>
  <c r="F237" i="4"/>
  <c r="G237" i="4" s="1"/>
  <c r="F236" i="4"/>
  <c r="G236" i="4" s="1"/>
  <c r="G235" i="4"/>
  <c r="F235" i="4"/>
  <c r="G234" i="4"/>
  <c r="F234" i="4"/>
  <c r="F233" i="4"/>
  <c r="G233" i="4" s="1"/>
  <c r="G232" i="4"/>
  <c r="F232" i="4"/>
  <c r="F231" i="4"/>
  <c r="G231" i="4" s="1"/>
  <c r="F230" i="4"/>
  <c r="G230" i="4" s="1"/>
  <c r="F229" i="4"/>
  <c r="G229" i="4" s="1"/>
  <c r="F228" i="4"/>
  <c r="G228" i="4" s="1"/>
  <c r="F227" i="4"/>
  <c r="G227" i="4" s="1"/>
  <c r="G226" i="4"/>
  <c r="F226" i="4"/>
  <c r="F225" i="4"/>
  <c r="G225" i="4" s="1"/>
  <c r="G224" i="4"/>
  <c r="F224" i="4"/>
  <c r="G223" i="4"/>
  <c r="F223" i="4"/>
  <c r="F222" i="4"/>
  <c r="G222" i="4" s="1"/>
  <c r="F221" i="4"/>
  <c r="G221" i="4" s="1"/>
  <c r="F220" i="4"/>
  <c r="G220" i="4" s="1"/>
  <c r="F219" i="4"/>
  <c r="G219" i="4" s="1"/>
  <c r="F218" i="4"/>
  <c r="G218" i="4" s="1"/>
  <c r="F217" i="4"/>
  <c r="G217" i="4" s="1"/>
  <c r="F216" i="4"/>
  <c r="G216" i="4" s="1"/>
  <c r="G215" i="4"/>
  <c r="F215" i="4"/>
  <c r="G214" i="4"/>
  <c r="F214" i="4"/>
  <c r="F213" i="4"/>
  <c r="G213" i="4" s="1"/>
  <c r="G212" i="4"/>
  <c r="F212" i="4"/>
  <c r="F211" i="4"/>
  <c r="G211" i="4" s="1"/>
  <c r="F210" i="4"/>
  <c r="G210" i="4" s="1"/>
  <c r="F209" i="4"/>
  <c r="G209" i="4" s="1"/>
  <c r="G208" i="4"/>
  <c r="F208" i="4"/>
  <c r="F207" i="4"/>
  <c r="G207" i="4" s="1"/>
  <c r="G206" i="4"/>
  <c r="F206" i="4"/>
  <c r="F205" i="4"/>
  <c r="G205" i="4" s="1"/>
  <c r="F204" i="4"/>
  <c r="G204" i="4" s="1"/>
  <c r="G203" i="4"/>
  <c r="F203" i="4"/>
  <c r="F202" i="4"/>
  <c r="G202" i="4" s="1"/>
  <c r="F201" i="4"/>
  <c r="G201" i="4" s="1"/>
  <c r="G200" i="4"/>
  <c r="F200" i="4"/>
  <c r="F199" i="4"/>
  <c r="G199" i="4" s="1"/>
  <c r="F198" i="4"/>
  <c r="G198" i="4" s="1"/>
  <c r="F197" i="4"/>
  <c r="G197" i="4" s="1"/>
  <c r="F196" i="4"/>
  <c r="G196" i="4" s="1"/>
  <c r="F195" i="4"/>
  <c r="G195" i="4" s="1"/>
  <c r="G194" i="4"/>
  <c r="F194" i="4"/>
  <c r="F193" i="4"/>
  <c r="G193" i="4" s="1"/>
  <c r="F192" i="4"/>
  <c r="G192" i="4" s="1"/>
  <c r="F191" i="4"/>
  <c r="G191" i="4" s="1"/>
  <c r="G190" i="4"/>
  <c r="F190" i="4"/>
  <c r="F189" i="4"/>
  <c r="G189" i="4" s="1"/>
  <c r="F188" i="4"/>
  <c r="G188" i="4" s="1"/>
  <c r="F187" i="4"/>
  <c r="G187" i="4" s="1"/>
  <c r="G186" i="4"/>
  <c r="F186" i="4"/>
  <c r="G185" i="4"/>
  <c r="F185" i="4"/>
  <c r="F184" i="4"/>
  <c r="G184" i="4" s="1"/>
  <c r="F183" i="4"/>
  <c r="G183" i="4" s="1"/>
  <c r="G182" i="4"/>
  <c r="F182" i="4"/>
  <c r="G181" i="4"/>
  <c r="F181" i="4"/>
  <c r="F180" i="4"/>
  <c r="G180" i="4" s="1"/>
  <c r="F179" i="4"/>
  <c r="G179" i="4" s="1"/>
  <c r="G178" i="4"/>
  <c r="F178" i="4"/>
  <c r="F177" i="4"/>
  <c r="G177" i="4" s="1"/>
  <c r="F176" i="4"/>
  <c r="G176" i="4" s="1"/>
  <c r="F175" i="4"/>
  <c r="G175" i="4" s="1"/>
  <c r="G174" i="4"/>
  <c r="F174" i="4"/>
  <c r="F173" i="4"/>
  <c r="G173" i="4" s="1"/>
  <c r="F172" i="4"/>
  <c r="G172" i="4" s="1"/>
  <c r="F171" i="4"/>
  <c r="G171" i="4" s="1"/>
  <c r="G170" i="4"/>
  <c r="F170" i="4"/>
  <c r="G169" i="4"/>
  <c r="F169" i="4"/>
  <c r="F168" i="4"/>
  <c r="G168" i="4" s="1"/>
  <c r="F167" i="4"/>
  <c r="G167" i="4" s="1"/>
  <c r="G166" i="4"/>
  <c r="F166" i="4"/>
  <c r="G165" i="4"/>
  <c r="F165" i="4"/>
  <c r="F164" i="4"/>
  <c r="G164" i="4" s="1"/>
  <c r="F163" i="4"/>
  <c r="G163" i="4" s="1"/>
  <c r="G162" i="4"/>
  <c r="F162" i="4"/>
  <c r="F161" i="4"/>
  <c r="G161" i="4" s="1"/>
  <c r="F160" i="4"/>
  <c r="G160" i="4" s="1"/>
  <c r="F159" i="4"/>
  <c r="G159" i="4" s="1"/>
  <c r="G158" i="4"/>
  <c r="F158" i="4"/>
  <c r="F157" i="4"/>
  <c r="G157" i="4" s="1"/>
  <c r="F156" i="4"/>
  <c r="G156" i="4" s="1"/>
  <c r="F155" i="4"/>
  <c r="G155" i="4" s="1"/>
  <c r="G154" i="4"/>
  <c r="F154" i="4"/>
  <c r="G153" i="4"/>
  <c r="F153" i="4"/>
  <c r="F152" i="4"/>
  <c r="G152" i="4" s="1"/>
  <c r="F151" i="4"/>
  <c r="G151" i="4" s="1"/>
  <c r="G150" i="4"/>
  <c r="F150" i="4"/>
  <c r="G149" i="4"/>
  <c r="F149" i="4"/>
  <c r="F148" i="4"/>
  <c r="G148" i="4" s="1"/>
  <c r="F147" i="4"/>
  <c r="G147" i="4" s="1"/>
  <c r="G146" i="4"/>
  <c r="F146" i="4"/>
  <c r="F145" i="4"/>
  <c r="G145" i="4" s="1"/>
  <c r="F144" i="4"/>
  <c r="G144" i="4" s="1"/>
  <c r="F143" i="4"/>
  <c r="G143" i="4" s="1"/>
  <c r="G142" i="4"/>
  <c r="F142" i="4"/>
  <c r="F141" i="4"/>
  <c r="G141" i="4" s="1"/>
  <c r="F140" i="4"/>
  <c r="G140" i="4" s="1"/>
  <c r="F139" i="4"/>
  <c r="G139" i="4" s="1"/>
  <c r="G138" i="4"/>
  <c r="F138" i="4"/>
  <c r="G137" i="4"/>
  <c r="F137" i="4"/>
  <c r="F136" i="4"/>
  <c r="G136" i="4" s="1"/>
  <c r="F135" i="4"/>
  <c r="G135" i="4" s="1"/>
  <c r="G134" i="4"/>
  <c r="F134" i="4"/>
  <c r="G133" i="4"/>
  <c r="F133" i="4"/>
  <c r="F132" i="4"/>
  <c r="G132" i="4" s="1"/>
  <c r="F131" i="4"/>
  <c r="G131" i="4" s="1"/>
  <c r="G130" i="4"/>
  <c r="F130" i="4"/>
  <c r="F129" i="4"/>
  <c r="G129" i="4" s="1"/>
  <c r="F128" i="4"/>
  <c r="G128" i="4" s="1"/>
  <c r="F127" i="4"/>
  <c r="G127" i="4" s="1"/>
  <c r="G126" i="4"/>
  <c r="F126" i="4"/>
  <c r="F125" i="4"/>
  <c r="G125" i="4" s="1"/>
  <c r="F124" i="4"/>
  <c r="G124" i="4" s="1"/>
  <c r="F123" i="4"/>
  <c r="G123" i="4" s="1"/>
  <c r="G122" i="4"/>
  <c r="F122" i="4"/>
  <c r="G121" i="4"/>
  <c r="F121" i="4"/>
  <c r="F120" i="4"/>
  <c r="G120" i="4" s="1"/>
  <c r="F119" i="4"/>
  <c r="G119" i="4" s="1"/>
  <c r="G118" i="4"/>
  <c r="F118" i="4"/>
  <c r="G117" i="4"/>
  <c r="F117" i="4"/>
  <c r="F116" i="4"/>
  <c r="G116" i="4" s="1"/>
  <c r="F115" i="4"/>
  <c r="G115" i="4" s="1"/>
  <c r="G114" i="4"/>
  <c r="F114" i="4"/>
  <c r="F113" i="4"/>
  <c r="G113" i="4" s="1"/>
  <c r="F112" i="4"/>
  <c r="G112" i="4" s="1"/>
  <c r="F111" i="4"/>
  <c r="G111" i="4" s="1"/>
  <c r="G110" i="4"/>
  <c r="F110" i="4"/>
  <c r="F109" i="4"/>
  <c r="G109" i="4" s="1"/>
  <c r="F108" i="4"/>
  <c r="G108" i="4" s="1"/>
  <c r="F107" i="4"/>
  <c r="G107" i="4" s="1"/>
  <c r="G106" i="4"/>
  <c r="F106" i="4"/>
  <c r="G105" i="4"/>
  <c r="F105" i="4"/>
  <c r="F104" i="4"/>
  <c r="G104" i="4" s="1"/>
  <c r="F103" i="4"/>
  <c r="G103" i="4" s="1"/>
  <c r="G102" i="4"/>
  <c r="F102" i="4"/>
  <c r="G101" i="4"/>
  <c r="F101" i="4"/>
  <c r="F100" i="4"/>
  <c r="G100" i="4" s="1"/>
  <c r="F99" i="4"/>
  <c r="G99" i="4" s="1"/>
  <c r="G98" i="4"/>
  <c r="F98" i="4"/>
  <c r="F97" i="4"/>
  <c r="G97" i="4" s="1"/>
  <c r="F96" i="4"/>
  <c r="G96" i="4" s="1"/>
  <c r="F95" i="4"/>
  <c r="G95" i="4" s="1"/>
  <c r="G94" i="4"/>
  <c r="F94" i="4"/>
  <c r="F93" i="4"/>
  <c r="G93" i="4" s="1"/>
  <c r="F92" i="4"/>
  <c r="G92" i="4" s="1"/>
  <c r="F91" i="4"/>
  <c r="G91" i="4" s="1"/>
  <c r="G90" i="4"/>
  <c r="F90" i="4"/>
  <c r="G89" i="4"/>
  <c r="F89" i="4"/>
  <c r="F88" i="4"/>
  <c r="G88" i="4" s="1"/>
  <c r="F87" i="4"/>
  <c r="G87" i="4" s="1"/>
  <c r="G86" i="4"/>
  <c r="F86" i="4"/>
  <c r="G85" i="4"/>
  <c r="F85" i="4"/>
  <c r="F84" i="4"/>
  <c r="G84" i="4" s="1"/>
  <c r="F83" i="4"/>
  <c r="G83" i="4" s="1"/>
  <c r="G82" i="4"/>
  <c r="F82" i="4"/>
  <c r="F81" i="4"/>
  <c r="G81" i="4" s="1"/>
  <c r="F80" i="4"/>
  <c r="G80" i="4" s="1"/>
  <c r="F79" i="4"/>
  <c r="G79" i="4" s="1"/>
  <c r="G78" i="4"/>
  <c r="F78" i="4"/>
  <c r="F77" i="4"/>
  <c r="G77" i="4" s="1"/>
  <c r="F76" i="4"/>
  <c r="G76" i="4" s="1"/>
  <c r="F75" i="4"/>
  <c r="G75" i="4" s="1"/>
  <c r="G74" i="4"/>
  <c r="F74" i="4"/>
  <c r="G73" i="4"/>
  <c r="F73" i="4"/>
  <c r="F72" i="4"/>
  <c r="G72" i="4" s="1"/>
  <c r="F71" i="4"/>
  <c r="G71" i="4" s="1"/>
  <c r="G70" i="4"/>
  <c r="F70" i="4"/>
  <c r="G69" i="4"/>
  <c r="F69" i="4"/>
  <c r="F68" i="4"/>
  <c r="G68" i="4" s="1"/>
  <c r="F67" i="4"/>
  <c r="G67" i="4" s="1"/>
  <c r="G66" i="4"/>
  <c r="F66" i="4"/>
  <c r="F65" i="4"/>
  <c r="G65" i="4" s="1"/>
  <c r="F64" i="4"/>
  <c r="G64" i="4" s="1"/>
  <c r="F63" i="4"/>
  <c r="G63" i="4" s="1"/>
  <c r="G62" i="4"/>
  <c r="F62" i="4"/>
  <c r="F61" i="4"/>
  <c r="G61" i="4" s="1"/>
  <c r="F60" i="4"/>
  <c r="G60" i="4" s="1"/>
  <c r="F59" i="4"/>
  <c r="G59" i="4" s="1"/>
  <c r="G58" i="4"/>
  <c r="F58" i="4"/>
  <c r="G57" i="4"/>
  <c r="F57" i="4"/>
  <c r="F56" i="4"/>
  <c r="G56" i="4" s="1"/>
  <c r="F55" i="4"/>
  <c r="G55" i="4" s="1"/>
  <c r="G54" i="4"/>
  <c r="F54" i="4"/>
  <c r="G53" i="4"/>
  <c r="F53" i="4"/>
  <c r="F52" i="4"/>
  <c r="G52" i="4" s="1"/>
  <c r="F51" i="4"/>
  <c r="G51" i="4" s="1"/>
  <c r="G50" i="4"/>
  <c r="F50" i="4"/>
  <c r="F49" i="4"/>
  <c r="G49" i="4" s="1"/>
  <c r="F48" i="4"/>
  <c r="G48" i="4" s="1"/>
  <c r="F47" i="4"/>
  <c r="G47" i="4" s="1"/>
  <c r="G46" i="4"/>
  <c r="F46" i="4"/>
  <c r="F45" i="4"/>
  <c r="G45" i="4" s="1"/>
  <c r="F44" i="4"/>
  <c r="G44" i="4" s="1"/>
  <c r="F43" i="4"/>
  <c r="G43" i="4" s="1"/>
  <c r="G42" i="4"/>
  <c r="F42" i="4"/>
  <c r="G41" i="4"/>
  <c r="F41" i="4"/>
  <c r="F40" i="4"/>
  <c r="G40" i="4" s="1"/>
  <c r="F39" i="4"/>
  <c r="G39" i="4" s="1"/>
  <c r="G38" i="4"/>
  <c r="F38" i="4"/>
  <c r="G37" i="4"/>
  <c r="F37" i="4"/>
  <c r="F36" i="4"/>
  <c r="G36" i="4" s="1"/>
  <c r="F35" i="4"/>
  <c r="G35" i="4" s="1"/>
  <c r="G34" i="4"/>
  <c r="F34" i="4"/>
  <c r="F33" i="4"/>
  <c r="G33" i="4" s="1"/>
  <c r="F32" i="4"/>
  <c r="G32" i="4" s="1"/>
  <c r="F31" i="4"/>
  <c r="G31" i="4" s="1"/>
  <c r="G30" i="4"/>
  <c r="F30" i="4"/>
  <c r="F29" i="4"/>
  <c r="G29" i="4" s="1"/>
  <c r="F28" i="4"/>
  <c r="G28" i="4" s="1"/>
  <c r="F27" i="4"/>
  <c r="G27" i="4" s="1"/>
  <c r="G26" i="4"/>
  <c r="F26" i="4"/>
  <c r="G25" i="4"/>
  <c r="F25" i="4"/>
  <c r="F24" i="4"/>
  <c r="G24" i="4" s="1"/>
  <c r="F23" i="4"/>
  <c r="G23" i="4" s="1"/>
  <c r="G22" i="4"/>
  <c r="F22" i="4"/>
  <c r="G21" i="4"/>
  <c r="F21" i="4"/>
  <c r="F20" i="4"/>
  <c r="G20" i="4" s="1"/>
  <c r="F19" i="4"/>
  <c r="G19" i="4" s="1"/>
  <c r="G18" i="4"/>
  <c r="F18" i="4"/>
  <c r="F17" i="4"/>
  <c r="G17" i="4" s="1"/>
  <c r="F16" i="4"/>
  <c r="G16" i="4" s="1"/>
  <c r="F15" i="4"/>
  <c r="G15" i="4" s="1"/>
  <c r="G14" i="4"/>
  <c r="F14" i="4"/>
  <c r="F13" i="4"/>
  <c r="G13" i="4" s="1"/>
  <c r="F12" i="4"/>
  <c r="G12" i="4" s="1"/>
  <c r="F11" i="4"/>
  <c r="G11" i="4" s="1"/>
  <c r="G10" i="4"/>
  <c r="F10" i="4"/>
  <c r="G9" i="4"/>
  <c r="F9" i="4"/>
  <c r="F8" i="4"/>
  <c r="G8" i="4" s="1"/>
  <c r="F7" i="4"/>
  <c r="G7" i="4" s="1"/>
  <c r="F6" i="4"/>
  <c r="G6" i="4" s="1"/>
  <c r="G5" i="4"/>
  <c r="F5" i="4"/>
  <c r="F4" i="4"/>
  <c r="G4" i="4" s="1"/>
  <c r="G479" i="3"/>
  <c r="H479" i="3" s="1"/>
  <c r="G478" i="3"/>
  <c r="H478" i="3" s="1"/>
  <c r="G477" i="3"/>
  <c r="H477" i="3" s="1"/>
  <c r="G476" i="3"/>
  <c r="H476" i="3" s="1"/>
  <c r="G475" i="3"/>
  <c r="H475" i="3" s="1"/>
  <c r="G474" i="3"/>
  <c r="H474" i="3" s="1"/>
  <c r="G473" i="3"/>
  <c r="H473" i="3" s="1"/>
  <c r="G472" i="3"/>
  <c r="H472" i="3" s="1"/>
  <c r="G471" i="3"/>
  <c r="H471" i="3" s="1"/>
  <c r="G470" i="3"/>
  <c r="H470" i="3" s="1"/>
  <c r="G469" i="3"/>
  <c r="H469" i="3" s="1"/>
  <c r="G468" i="3"/>
  <c r="H468" i="3" s="1"/>
  <c r="G467" i="3"/>
  <c r="H467" i="3" s="1"/>
  <c r="G466" i="3"/>
  <c r="H466" i="3" s="1"/>
  <c r="G465" i="3"/>
  <c r="H465" i="3" s="1"/>
  <c r="G464" i="3"/>
  <c r="H464" i="3" s="1"/>
  <c r="G463" i="3"/>
  <c r="H463" i="3" s="1"/>
  <c r="G462" i="3"/>
  <c r="H462" i="3" s="1"/>
  <c r="G461" i="3"/>
  <c r="H461" i="3" s="1"/>
  <c r="G460" i="3"/>
  <c r="H460" i="3" s="1"/>
  <c r="G459" i="3"/>
  <c r="H459" i="3" s="1"/>
  <c r="G458" i="3"/>
  <c r="H458" i="3" s="1"/>
  <c r="G457" i="3"/>
  <c r="H457" i="3" s="1"/>
  <c r="G456" i="3"/>
  <c r="H456" i="3" s="1"/>
  <c r="G455" i="3"/>
  <c r="H455" i="3" s="1"/>
  <c r="G454" i="3"/>
  <c r="H454" i="3" s="1"/>
  <c r="G453" i="3"/>
  <c r="H453" i="3" s="1"/>
  <c r="G452" i="3"/>
  <c r="H452" i="3" s="1"/>
  <c r="G451" i="3"/>
  <c r="H451" i="3" s="1"/>
  <c r="G450" i="3"/>
  <c r="H450" i="3" s="1"/>
  <c r="G449" i="3"/>
  <c r="H449" i="3" s="1"/>
  <c r="G448" i="3"/>
  <c r="H448" i="3" s="1"/>
  <c r="G447" i="3"/>
  <c r="H447" i="3" s="1"/>
  <c r="G446" i="3"/>
  <c r="H446" i="3" s="1"/>
  <c r="G445" i="3"/>
  <c r="H445" i="3" s="1"/>
  <c r="G444" i="3"/>
  <c r="H444" i="3" s="1"/>
  <c r="G443" i="3"/>
  <c r="H443" i="3" s="1"/>
  <c r="G442" i="3"/>
  <c r="H442" i="3" s="1"/>
  <c r="G441" i="3"/>
  <c r="H441" i="3" s="1"/>
  <c r="G440" i="3"/>
  <c r="H440" i="3" s="1"/>
  <c r="G439" i="3"/>
  <c r="H439" i="3" s="1"/>
  <c r="G438" i="3"/>
  <c r="H438" i="3" s="1"/>
  <c r="G437" i="3"/>
  <c r="H437" i="3" s="1"/>
  <c r="G436" i="3"/>
  <c r="H436" i="3" s="1"/>
  <c r="G435" i="3"/>
  <c r="H435" i="3" s="1"/>
  <c r="G434" i="3"/>
  <c r="H434" i="3" s="1"/>
  <c r="G433" i="3"/>
  <c r="H433" i="3" s="1"/>
  <c r="G432" i="3"/>
  <c r="H432" i="3" s="1"/>
  <c r="G431" i="3"/>
  <c r="H431" i="3" s="1"/>
  <c r="G430" i="3"/>
  <c r="H430" i="3" s="1"/>
  <c r="G429" i="3"/>
  <c r="H429" i="3" s="1"/>
  <c r="G428" i="3"/>
  <c r="H428" i="3" s="1"/>
  <c r="G427" i="3"/>
  <c r="H427" i="3" s="1"/>
  <c r="G426" i="3"/>
  <c r="H426" i="3" s="1"/>
  <c r="G425" i="3"/>
  <c r="H425" i="3" s="1"/>
  <c r="G424" i="3"/>
  <c r="H424" i="3" s="1"/>
  <c r="G423" i="3"/>
  <c r="H423" i="3" s="1"/>
  <c r="G422" i="3"/>
  <c r="H422" i="3" s="1"/>
  <c r="G421" i="3"/>
  <c r="H421" i="3" s="1"/>
  <c r="G420" i="3"/>
  <c r="H420" i="3" s="1"/>
  <c r="G419" i="3"/>
  <c r="H419" i="3" s="1"/>
  <c r="G418" i="3"/>
  <c r="H418" i="3" s="1"/>
  <c r="G417" i="3"/>
  <c r="H417" i="3" s="1"/>
  <c r="G416" i="3"/>
  <c r="H416" i="3" s="1"/>
  <c r="G415" i="3"/>
  <c r="H415" i="3" s="1"/>
  <c r="G414" i="3"/>
  <c r="H414" i="3" s="1"/>
  <c r="G413" i="3"/>
  <c r="H413" i="3" s="1"/>
  <c r="G412" i="3"/>
  <c r="H412" i="3" s="1"/>
  <c r="G411" i="3"/>
  <c r="H411" i="3" s="1"/>
  <c r="G410" i="3"/>
  <c r="H410" i="3" s="1"/>
  <c r="G409" i="3"/>
  <c r="H409" i="3" s="1"/>
  <c r="G408" i="3"/>
  <c r="H408" i="3" s="1"/>
  <c r="G407" i="3"/>
  <c r="H407" i="3" s="1"/>
  <c r="G406" i="3"/>
  <c r="H406" i="3" s="1"/>
  <c r="G405" i="3"/>
  <c r="H405" i="3" s="1"/>
  <c r="G404" i="3"/>
  <c r="H404" i="3" s="1"/>
  <c r="G403" i="3"/>
  <c r="H403" i="3" s="1"/>
  <c r="G402" i="3"/>
  <c r="H402" i="3" s="1"/>
  <c r="G401" i="3"/>
  <c r="H401" i="3" s="1"/>
  <c r="G400" i="3"/>
  <c r="H400" i="3" s="1"/>
  <c r="G399" i="3"/>
  <c r="H399" i="3" s="1"/>
  <c r="G398" i="3"/>
  <c r="H398" i="3" s="1"/>
  <c r="G397" i="3"/>
  <c r="H397" i="3" s="1"/>
  <c r="G396" i="3"/>
  <c r="H396" i="3" s="1"/>
  <c r="G395" i="3"/>
  <c r="H395" i="3" s="1"/>
  <c r="G394" i="3"/>
  <c r="H394" i="3" s="1"/>
  <c r="G393" i="3"/>
  <c r="H393" i="3" s="1"/>
  <c r="G392" i="3"/>
  <c r="H392" i="3" s="1"/>
  <c r="G391" i="3"/>
  <c r="H391" i="3" s="1"/>
  <c r="G390" i="3"/>
  <c r="H390" i="3" s="1"/>
  <c r="G389" i="3"/>
  <c r="H389" i="3" s="1"/>
  <c r="G388" i="3"/>
  <c r="H388" i="3" s="1"/>
  <c r="G387" i="3"/>
  <c r="H387" i="3" s="1"/>
  <c r="G386" i="3"/>
  <c r="H386" i="3" s="1"/>
  <c r="G385" i="3"/>
  <c r="H385" i="3" s="1"/>
  <c r="G384" i="3"/>
  <c r="H384" i="3" s="1"/>
  <c r="G383" i="3"/>
  <c r="H383" i="3" s="1"/>
  <c r="G382" i="3"/>
  <c r="H382" i="3" s="1"/>
  <c r="G381" i="3"/>
  <c r="H381" i="3" s="1"/>
  <c r="G380" i="3"/>
  <c r="H380" i="3" s="1"/>
  <c r="G379" i="3"/>
  <c r="H379" i="3" s="1"/>
  <c r="G378" i="3"/>
  <c r="H378" i="3" s="1"/>
  <c r="G377" i="3"/>
  <c r="H377" i="3" s="1"/>
  <c r="G376" i="3"/>
  <c r="H376" i="3" s="1"/>
  <c r="G375" i="3"/>
  <c r="H375" i="3" s="1"/>
  <c r="G374" i="3"/>
  <c r="H374" i="3" s="1"/>
  <c r="G373" i="3"/>
  <c r="H373" i="3" s="1"/>
  <c r="G372" i="3"/>
  <c r="H372" i="3" s="1"/>
  <c r="G371" i="3"/>
  <c r="H371" i="3" s="1"/>
  <c r="G370" i="3"/>
  <c r="H370" i="3" s="1"/>
  <c r="G369" i="3"/>
  <c r="H369" i="3" s="1"/>
  <c r="G368" i="3"/>
  <c r="H368" i="3" s="1"/>
  <c r="G367" i="3"/>
  <c r="H367" i="3" s="1"/>
  <c r="G366" i="3"/>
  <c r="H366" i="3" s="1"/>
  <c r="G365" i="3"/>
  <c r="H365" i="3" s="1"/>
  <c r="G364" i="3"/>
  <c r="H364" i="3" s="1"/>
  <c r="G363" i="3"/>
  <c r="H363" i="3" s="1"/>
  <c r="G362" i="3"/>
  <c r="H362" i="3" s="1"/>
  <c r="G361" i="3"/>
  <c r="H361" i="3" s="1"/>
  <c r="G360" i="3"/>
  <c r="H360" i="3" s="1"/>
  <c r="G359" i="3"/>
  <c r="H359" i="3" s="1"/>
  <c r="G358" i="3"/>
  <c r="H358" i="3" s="1"/>
  <c r="G357" i="3"/>
  <c r="H357" i="3" s="1"/>
  <c r="G356" i="3"/>
  <c r="H356" i="3" s="1"/>
  <c r="G355" i="3"/>
  <c r="H355" i="3" s="1"/>
  <c r="G354" i="3"/>
  <c r="H354" i="3" s="1"/>
  <c r="G353" i="3"/>
  <c r="H353" i="3" s="1"/>
  <c r="G352" i="3"/>
  <c r="H352" i="3" s="1"/>
  <c r="G351" i="3"/>
  <c r="H351" i="3" s="1"/>
  <c r="G350" i="3"/>
  <c r="H350" i="3" s="1"/>
  <c r="G349" i="3"/>
  <c r="H349" i="3" s="1"/>
  <c r="G348" i="3"/>
  <c r="H348" i="3" s="1"/>
  <c r="G347" i="3"/>
  <c r="H347" i="3" s="1"/>
  <c r="G346" i="3"/>
  <c r="H346" i="3" s="1"/>
  <c r="G345" i="3"/>
  <c r="H345" i="3" s="1"/>
  <c r="G344" i="3"/>
  <c r="H344" i="3" s="1"/>
  <c r="G343" i="3"/>
  <c r="H343" i="3" s="1"/>
  <c r="G342" i="3"/>
  <c r="H342" i="3" s="1"/>
  <c r="G341" i="3"/>
  <c r="H341" i="3" s="1"/>
  <c r="G340" i="3"/>
  <c r="H340" i="3" s="1"/>
  <c r="G339" i="3"/>
  <c r="H339" i="3" s="1"/>
  <c r="G338" i="3"/>
  <c r="H338" i="3" s="1"/>
  <c r="G337" i="3"/>
  <c r="H337" i="3" s="1"/>
  <c r="G336" i="3"/>
  <c r="H336" i="3" s="1"/>
  <c r="G335" i="3"/>
  <c r="H335" i="3" s="1"/>
  <c r="G334" i="3"/>
  <c r="H334" i="3" s="1"/>
  <c r="G333" i="3"/>
  <c r="H333" i="3" s="1"/>
  <c r="G332" i="3"/>
  <c r="H332" i="3" s="1"/>
  <c r="G331" i="3"/>
  <c r="H331" i="3" s="1"/>
  <c r="G330" i="3"/>
  <c r="H330" i="3" s="1"/>
  <c r="G329" i="3"/>
  <c r="H329" i="3" s="1"/>
  <c r="G328" i="3"/>
  <c r="H328" i="3" s="1"/>
  <c r="G327" i="3"/>
  <c r="H327" i="3" s="1"/>
  <c r="G326" i="3"/>
  <c r="H326" i="3" s="1"/>
  <c r="G325" i="3"/>
  <c r="H325" i="3" s="1"/>
  <c r="G324" i="3"/>
  <c r="H324" i="3" s="1"/>
  <c r="G323" i="3"/>
  <c r="H323" i="3" s="1"/>
  <c r="G322" i="3"/>
  <c r="H322" i="3" s="1"/>
  <c r="G321" i="3"/>
  <c r="H321" i="3" s="1"/>
  <c r="G320" i="3"/>
  <c r="H320" i="3" s="1"/>
  <c r="G319" i="3"/>
  <c r="H319" i="3" s="1"/>
  <c r="G318" i="3"/>
  <c r="H318" i="3" s="1"/>
  <c r="G317" i="3"/>
  <c r="H317" i="3" s="1"/>
  <c r="G316" i="3"/>
  <c r="H316" i="3" s="1"/>
  <c r="G315" i="3"/>
  <c r="H315" i="3" s="1"/>
  <c r="G314" i="3"/>
  <c r="H314" i="3" s="1"/>
  <c r="G313" i="3"/>
  <c r="H313" i="3" s="1"/>
  <c r="G312" i="3"/>
  <c r="H312" i="3" s="1"/>
  <c r="G311" i="3"/>
  <c r="H311" i="3" s="1"/>
  <c r="G310" i="3"/>
  <c r="H310" i="3" s="1"/>
  <c r="G309" i="3"/>
  <c r="H309" i="3" s="1"/>
  <c r="G308" i="3"/>
  <c r="H308" i="3" s="1"/>
  <c r="G307" i="3"/>
  <c r="H307" i="3" s="1"/>
  <c r="G306" i="3"/>
  <c r="H306" i="3" s="1"/>
  <c r="G305" i="3"/>
  <c r="H305" i="3" s="1"/>
  <c r="G304" i="3"/>
  <c r="H304" i="3" s="1"/>
  <c r="G303" i="3"/>
  <c r="H303" i="3" s="1"/>
  <c r="G302" i="3"/>
  <c r="H302" i="3" s="1"/>
  <c r="G301" i="3"/>
  <c r="H301" i="3" s="1"/>
  <c r="G300" i="3"/>
  <c r="H300" i="3" s="1"/>
  <c r="G299" i="3"/>
  <c r="H299" i="3" s="1"/>
  <c r="G298" i="3"/>
  <c r="H298" i="3" s="1"/>
  <c r="G297" i="3"/>
  <c r="H297" i="3" s="1"/>
  <c r="G296" i="3"/>
  <c r="H296" i="3" s="1"/>
  <c r="G295" i="3"/>
  <c r="H295" i="3" s="1"/>
  <c r="G294" i="3"/>
  <c r="H294" i="3" s="1"/>
  <c r="G293" i="3"/>
  <c r="H293" i="3" s="1"/>
  <c r="G292" i="3"/>
  <c r="H292" i="3" s="1"/>
  <c r="G291" i="3"/>
  <c r="H291" i="3" s="1"/>
  <c r="G290" i="3"/>
  <c r="H290" i="3" s="1"/>
  <c r="G289" i="3"/>
  <c r="H289" i="3" s="1"/>
  <c r="G288" i="3"/>
  <c r="H288" i="3" s="1"/>
  <c r="G287" i="3"/>
  <c r="H287" i="3" s="1"/>
  <c r="G286" i="3"/>
  <c r="H286" i="3" s="1"/>
  <c r="G285" i="3"/>
  <c r="H285" i="3" s="1"/>
  <c r="G284" i="3"/>
  <c r="H284" i="3" s="1"/>
  <c r="G283" i="3"/>
  <c r="H283" i="3" s="1"/>
  <c r="G282" i="3"/>
  <c r="H282" i="3" s="1"/>
  <c r="G281" i="3"/>
  <c r="H281" i="3" s="1"/>
  <c r="G280" i="3"/>
  <c r="H280" i="3" s="1"/>
  <c r="G279" i="3"/>
  <c r="H279" i="3" s="1"/>
  <c r="G278" i="3"/>
  <c r="H278" i="3" s="1"/>
  <c r="G277" i="3"/>
  <c r="H277" i="3" s="1"/>
  <c r="G276" i="3"/>
  <c r="H276" i="3" s="1"/>
  <c r="G275" i="3"/>
  <c r="H275" i="3" s="1"/>
  <c r="G274" i="3"/>
  <c r="H274" i="3" s="1"/>
  <c r="G273" i="3"/>
  <c r="H273" i="3" s="1"/>
  <c r="G272" i="3"/>
  <c r="H272" i="3" s="1"/>
  <c r="G271" i="3"/>
  <c r="H271" i="3" s="1"/>
  <c r="G270" i="3"/>
  <c r="H270" i="3" s="1"/>
  <c r="G269" i="3"/>
  <c r="H269" i="3" s="1"/>
  <c r="G268" i="3"/>
  <c r="H268" i="3" s="1"/>
  <c r="G267" i="3"/>
  <c r="H267" i="3" s="1"/>
  <c r="G266" i="3"/>
  <c r="H266" i="3" s="1"/>
  <c r="G265" i="3"/>
  <c r="H265" i="3" s="1"/>
  <c r="G264" i="3"/>
  <c r="H264" i="3" s="1"/>
  <c r="G263" i="3"/>
  <c r="H263" i="3" s="1"/>
  <c r="G262" i="3"/>
  <c r="H262" i="3" s="1"/>
  <c r="G261" i="3"/>
  <c r="H261" i="3" s="1"/>
  <c r="G260" i="3"/>
  <c r="H260" i="3" s="1"/>
  <c r="G259" i="3"/>
  <c r="H259" i="3" s="1"/>
  <c r="G258" i="3"/>
  <c r="H258" i="3" s="1"/>
  <c r="G257" i="3"/>
  <c r="H257" i="3" s="1"/>
  <c r="G256" i="3"/>
  <c r="H256" i="3" s="1"/>
  <c r="G255" i="3"/>
  <c r="H255" i="3" s="1"/>
  <c r="G254" i="3"/>
  <c r="H254" i="3" s="1"/>
  <c r="G253" i="3"/>
  <c r="H253" i="3" s="1"/>
  <c r="G252" i="3"/>
  <c r="H252" i="3" s="1"/>
  <c r="G251" i="3"/>
  <c r="H251" i="3" s="1"/>
  <c r="G250" i="3"/>
  <c r="H250" i="3" s="1"/>
  <c r="G249" i="3"/>
  <c r="H249" i="3" s="1"/>
  <c r="G248" i="3"/>
  <c r="H248" i="3" s="1"/>
  <c r="G247" i="3"/>
  <c r="H247" i="3" s="1"/>
  <c r="G246" i="3"/>
  <c r="H246" i="3" s="1"/>
  <c r="G245" i="3"/>
  <c r="H245" i="3" s="1"/>
  <c r="G244" i="3"/>
  <c r="H244" i="3" s="1"/>
  <c r="G243" i="3"/>
  <c r="H243" i="3" s="1"/>
  <c r="G242" i="3"/>
  <c r="H242" i="3" s="1"/>
  <c r="G241" i="3"/>
  <c r="H241" i="3" s="1"/>
  <c r="G240" i="3"/>
  <c r="H240" i="3" s="1"/>
  <c r="G239" i="3"/>
  <c r="H239" i="3" s="1"/>
  <c r="G238" i="3"/>
  <c r="H238" i="3" s="1"/>
  <c r="G237" i="3"/>
  <c r="H237" i="3" s="1"/>
  <c r="G236" i="3"/>
  <c r="H236" i="3" s="1"/>
  <c r="G235" i="3"/>
  <c r="H235" i="3" s="1"/>
  <c r="G234" i="3"/>
  <c r="H234" i="3" s="1"/>
  <c r="G233" i="3"/>
  <c r="H233" i="3" s="1"/>
  <c r="G232" i="3"/>
  <c r="H232" i="3" s="1"/>
  <c r="G231" i="3"/>
  <c r="H231" i="3" s="1"/>
  <c r="G230" i="3"/>
  <c r="H230" i="3" s="1"/>
  <c r="G229" i="3"/>
  <c r="H229" i="3" s="1"/>
  <c r="G228" i="3"/>
  <c r="H228" i="3" s="1"/>
  <c r="G227" i="3"/>
  <c r="H227" i="3" s="1"/>
  <c r="G226" i="3"/>
  <c r="H226" i="3" s="1"/>
  <c r="G225" i="3"/>
  <c r="H225" i="3" s="1"/>
  <c r="G224" i="3"/>
  <c r="H224" i="3" s="1"/>
  <c r="G223" i="3"/>
  <c r="H223" i="3" s="1"/>
  <c r="G222" i="3"/>
  <c r="H222" i="3" s="1"/>
  <c r="G221" i="3"/>
  <c r="H221" i="3" s="1"/>
  <c r="G220" i="3"/>
  <c r="H220" i="3" s="1"/>
  <c r="G219" i="3"/>
  <c r="H219" i="3" s="1"/>
  <c r="G218" i="3"/>
  <c r="H218" i="3" s="1"/>
  <c r="G217" i="3"/>
  <c r="H217" i="3" s="1"/>
  <c r="G216" i="3"/>
  <c r="H216" i="3" s="1"/>
  <c r="G215" i="3"/>
  <c r="H215" i="3" s="1"/>
  <c r="G214" i="3"/>
  <c r="H214" i="3" s="1"/>
  <c r="G213" i="3"/>
  <c r="H213" i="3" s="1"/>
  <c r="G212" i="3"/>
  <c r="H212" i="3" s="1"/>
  <c r="G211" i="3"/>
  <c r="H211" i="3" s="1"/>
  <c r="G210" i="3"/>
  <c r="H210" i="3" s="1"/>
  <c r="G209" i="3"/>
  <c r="H209" i="3" s="1"/>
  <c r="G208" i="3"/>
  <c r="H208" i="3" s="1"/>
  <c r="G207" i="3"/>
  <c r="H207" i="3" s="1"/>
  <c r="G206" i="3"/>
  <c r="H206" i="3" s="1"/>
  <c r="G205" i="3"/>
  <c r="H205" i="3" s="1"/>
  <c r="G204" i="3"/>
  <c r="H204" i="3" s="1"/>
  <c r="G203" i="3"/>
  <c r="H203" i="3" s="1"/>
  <c r="G202" i="3"/>
  <c r="H202" i="3" s="1"/>
  <c r="G201" i="3"/>
  <c r="H201" i="3" s="1"/>
  <c r="G200" i="3"/>
  <c r="H200" i="3" s="1"/>
  <c r="G199" i="3"/>
  <c r="H199" i="3" s="1"/>
  <c r="G198" i="3"/>
  <c r="H198" i="3" s="1"/>
  <c r="G197" i="3"/>
  <c r="H197" i="3" s="1"/>
  <c r="G196" i="3"/>
  <c r="H196" i="3" s="1"/>
  <c r="G195" i="3"/>
  <c r="H195" i="3" s="1"/>
  <c r="G194" i="3"/>
  <c r="H194" i="3" s="1"/>
  <c r="G193" i="3"/>
  <c r="H193" i="3" s="1"/>
  <c r="G192" i="3"/>
  <c r="H192" i="3" s="1"/>
  <c r="G191" i="3"/>
  <c r="H191" i="3" s="1"/>
  <c r="G190" i="3"/>
  <c r="H190" i="3" s="1"/>
  <c r="G189" i="3"/>
  <c r="H189" i="3" s="1"/>
  <c r="G188" i="3"/>
  <c r="H188" i="3" s="1"/>
  <c r="G187" i="3"/>
  <c r="H187" i="3" s="1"/>
  <c r="G186" i="3"/>
  <c r="H186" i="3" s="1"/>
  <c r="G185" i="3"/>
  <c r="H185" i="3" s="1"/>
  <c r="G184" i="3"/>
  <c r="H184" i="3" s="1"/>
  <c r="G183" i="3"/>
  <c r="H183" i="3" s="1"/>
  <c r="G182" i="3"/>
  <c r="H182" i="3" s="1"/>
  <c r="G181" i="3"/>
  <c r="H181" i="3" s="1"/>
  <c r="G180" i="3"/>
  <c r="H180" i="3" s="1"/>
  <c r="G179" i="3"/>
  <c r="H179" i="3" s="1"/>
  <c r="G178" i="3"/>
  <c r="H178" i="3" s="1"/>
  <c r="G177" i="3"/>
  <c r="H177" i="3" s="1"/>
  <c r="G176" i="3"/>
  <c r="H176" i="3" s="1"/>
  <c r="G175" i="3"/>
  <c r="H175" i="3" s="1"/>
  <c r="G174" i="3"/>
  <c r="H174" i="3" s="1"/>
  <c r="G173" i="3"/>
  <c r="H173" i="3" s="1"/>
  <c r="G172" i="3"/>
  <c r="H172" i="3" s="1"/>
  <c r="G171" i="3"/>
  <c r="H171" i="3" s="1"/>
  <c r="G170" i="3"/>
  <c r="H170" i="3" s="1"/>
  <c r="G169" i="3"/>
  <c r="H169" i="3" s="1"/>
  <c r="G168" i="3"/>
  <c r="H168" i="3" s="1"/>
  <c r="G167" i="3"/>
  <c r="H167" i="3" s="1"/>
  <c r="G166" i="3"/>
  <c r="H166" i="3" s="1"/>
  <c r="G165" i="3"/>
  <c r="H165" i="3" s="1"/>
  <c r="G164" i="3"/>
  <c r="H164" i="3" s="1"/>
  <c r="G163" i="3"/>
  <c r="H163" i="3" s="1"/>
  <c r="G162" i="3"/>
  <c r="H162" i="3" s="1"/>
  <c r="G161" i="3"/>
  <c r="H161" i="3" s="1"/>
  <c r="G160" i="3"/>
  <c r="H160" i="3" s="1"/>
  <c r="G159" i="3"/>
  <c r="H159" i="3" s="1"/>
  <c r="G158" i="3"/>
  <c r="H158" i="3" s="1"/>
  <c r="G157" i="3"/>
  <c r="H157" i="3" s="1"/>
  <c r="G156" i="3"/>
  <c r="H156" i="3" s="1"/>
  <c r="G155" i="3"/>
  <c r="H155" i="3" s="1"/>
  <c r="G154" i="3"/>
  <c r="H154" i="3" s="1"/>
  <c r="G153" i="3"/>
  <c r="H153" i="3" s="1"/>
  <c r="G152" i="3"/>
  <c r="H152" i="3" s="1"/>
  <c r="G151" i="3"/>
  <c r="H151" i="3" s="1"/>
  <c r="G150" i="3"/>
  <c r="H150" i="3" s="1"/>
  <c r="G149" i="3"/>
  <c r="H149" i="3" s="1"/>
  <c r="G148" i="3"/>
  <c r="H148" i="3" s="1"/>
  <c r="G147" i="3"/>
  <c r="H147" i="3" s="1"/>
  <c r="G146" i="3"/>
  <c r="H146" i="3" s="1"/>
  <c r="G145" i="3"/>
  <c r="H145" i="3" s="1"/>
  <c r="G144" i="3"/>
  <c r="H144" i="3" s="1"/>
  <c r="G143" i="3"/>
  <c r="H143" i="3" s="1"/>
  <c r="G142" i="3"/>
  <c r="H142" i="3" s="1"/>
  <c r="G141" i="3"/>
  <c r="H141" i="3" s="1"/>
  <c r="G140" i="3"/>
  <c r="H140" i="3" s="1"/>
  <c r="G139" i="3"/>
  <c r="H139" i="3" s="1"/>
  <c r="G138" i="3"/>
  <c r="H138" i="3" s="1"/>
  <c r="G137" i="3"/>
  <c r="H137" i="3" s="1"/>
  <c r="G136" i="3"/>
  <c r="H136" i="3" s="1"/>
  <c r="G135" i="3"/>
  <c r="H135" i="3" s="1"/>
  <c r="G134" i="3"/>
  <c r="H134" i="3" s="1"/>
  <c r="G133" i="3"/>
  <c r="H133" i="3" s="1"/>
  <c r="G132" i="3"/>
  <c r="H132" i="3" s="1"/>
  <c r="G131" i="3"/>
  <c r="H131" i="3" s="1"/>
  <c r="G130" i="3"/>
  <c r="H130" i="3" s="1"/>
  <c r="G129" i="3"/>
  <c r="H129" i="3" s="1"/>
  <c r="G128" i="3"/>
  <c r="H128" i="3" s="1"/>
  <c r="G127" i="3"/>
  <c r="H127" i="3" s="1"/>
  <c r="G126" i="3"/>
  <c r="H126" i="3" s="1"/>
  <c r="G125" i="3"/>
  <c r="H125" i="3" s="1"/>
  <c r="G124" i="3"/>
  <c r="H124" i="3" s="1"/>
  <c r="G123" i="3"/>
  <c r="H123" i="3" s="1"/>
  <c r="G122" i="3"/>
  <c r="H122" i="3" s="1"/>
  <c r="G121" i="3"/>
  <c r="H121" i="3" s="1"/>
  <c r="G120" i="3"/>
  <c r="H120" i="3" s="1"/>
  <c r="G119" i="3"/>
  <c r="H119" i="3" s="1"/>
  <c r="G118" i="3"/>
  <c r="H118" i="3" s="1"/>
  <c r="G117" i="3"/>
  <c r="H117" i="3" s="1"/>
  <c r="G116" i="3"/>
  <c r="H116" i="3" s="1"/>
  <c r="G115" i="3"/>
  <c r="H115" i="3" s="1"/>
  <c r="G114" i="3"/>
  <c r="H114" i="3" s="1"/>
  <c r="G113" i="3"/>
  <c r="H113" i="3" s="1"/>
  <c r="G112" i="3"/>
  <c r="H112" i="3" s="1"/>
  <c r="G111" i="3"/>
  <c r="H111" i="3" s="1"/>
  <c r="G110" i="3"/>
  <c r="H110" i="3" s="1"/>
  <c r="G109" i="3"/>
  <c r="H109" i="3" s="1"/>
  <c r="G108" i="3"/>
  <c r="H108" i="3" s="1"/>
  <c r="G107" i="3"/>
  <c r="H107" i="3" s="1"/>
  <c r="G106" i="3"/>
  <c r="H106" i="3" s="1"/>
  <c r="G105" i="3"/>
  <c r="H105" i="3" s="1"/>
  <c r="G104" i="3"/>
  <c r="H104" i="3" s="1"/>
  <c r="G103" i="3"/>
  <c r="H103" i="3" s="1"/>
  <c r="G102" i="3"/>
  <c r="H102" i="3" s="1"/>
  <c r="G101" i="3"/>
  <c r="H101" i="3" s="1"/>
  <c r="G100" i="3"/>
  <c r="H100" i="3" s="1"/>
  <c r="G99" i="3"/>
  <c r="H99" i="3" s="1"/>
  <c r="G98" i="3"/>
  <c r="H98" i="3" s="1"/>
  <c r="G97" i="3"/>
  <c r="H97" i="3" s="1"/>
  <c r="G96" i="3"/>
  <c r="H96" i="3" s="1"/>
  <c r="G95" i="3"/>
  <c r="H95" i="3" s="1"/>
  <c r="G94" i="3"/>
  <c r="H94" i="3" s="1"/>
  <c r="G93" i="3"/>
  <c r="H93" i="3" s="1"/>
  <c r="G92" i="3"/>
  <c r="H92" i="3" s="1"/>
  <c r="G91" i="3"/>
  <c r="H91" i="3" s="1"/>
  <c r="G90" i="3"/>
  <c r="H90" i="3" s="1"/>
  <c r="G89" i="3"/>
  <c r="H89" i="3" s="1"/>
  <c r="G88" i="3"/>
  <c r="H88" i="3" s="1"/>
  <c r="G87" i="3"/>
  <c r="H87" i="3" s="1"/>
  <c r="G86" i="3"/>
  <c r="H86" i="3" s="1"/>
  <c r="G85" i="3"/>
  <c r="H85" i="3" s="1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3" i="3"/>
  <c r="H73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4" i="3"/>
  <c r="H44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H12" i="3" s="1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  <c r="G5" i="3"/>
  <c r="H5" i="3" s="1"/>
  <c r="G4" i="3"/>
  <c r="H4" i="3" s="1"/>
  <c r="G307" i="2"/>
  <c r="F307" i="2"/>
  <c r="G306" i="2"/>
  <c r="F306" i="2"/>
  <c r="G305" i="2"/>
  <c r="F305" i="2"/>
  <c r="G304" i="2"/>
  <c r="F304" i="2"/>
  <c r="G303" i="2"/>
  <c r="F303" i="2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F293" i="2"/>
  <c r="G292" i="2"/>
  <c r="F292" i="2"/>
  <c r="G291" i="2"/>
  <c r="F291" i="2"/>
  <c r="G290" i="2"/>
  <c r="F290" i="2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F283" i="2"/>
  <c r="G282" i="2"/>
  <c r="F282" i="2"/>
  <c r="G281" i="2"/>
  <c r="F281" i="2"/>
  <c r="G280" i="2"/>
  <c r="F280" i="2"/>
  <c r="G279" i="2"/>
  <c r="F279" i="2"/>
  <c r="G278" i="2"/>
  <c r="F278" i="2"/>
  <c r="G277" i="2"/>
  <c r="F277" i="2"/>
  <c r="G276" i="2"/>
  <c r="F276" i="2"/>
  <c r="G275" i="2"/>
  <c r="F275" i="2"/>
  <c r="G274" i="2"/>
  <c r="F274" i="2"/>
  <c r="G273" i="2"/>
  <c r="F273" i="2"/>
  <c r="G272" i="2"/>
  <c r="F272" i="2"/>
  <c r="G271" i="2"/>
  <c r="F271" i="2"/>
  <c r="G270" i="2"/>
  <c r="F270" i="2"/>
  <c r="G269" i="2"/>
  <c r="F269" i="2"/>
  <c r="G268" i="2"/>
  <c r="F268" i="2"/>
  <c r="G267" i="2"/>
  <c r="F267" i="2"/>
  <c r="G266" i="2"/>
  <c r="F266" i="2"/>
  <c r="G265" i="2"/>
  <c r="F265" i="2"/>
  <c r="G264" i="2"/>
  <c r="F264" i="2"/>
  <c r="G263" i="2"/>
  <c r="F263" i="2"/>
  <c r="G262" i="2"/>
  <c r="F262" i="2"/>
  <c r="G261" i="2"/>
  <c r="F261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9" i="2"/>
  <c r="F239" i="2"/>
  <c r="G238" i="2"/>
  <c r="F238" i="2"/>
  <c r="G237" i="2"/>
  <c r="F237" i="2"/>
  <c r="G236" i="2"/>
  <c r="F236" i="2"/>
  <c r="G235" i="2"/>
  <c r="F235" i="2"/>
  <c r="G234" i="2"/>
  <c r="F234" i="2"/>
  <c r="G233" i="2"/>
  <c r="F233" i="2"/>
  <c r="G232" i="2"/>
  <c r="F232" i="2"/>
  <c r="G231" i="2"/>
  <c r="F231" i="2"/>
  <c r="G230" i="2"/>
  <c r="F230" i="2"/>
  <c r="G229" i="2"/>
  <c r="F229" i="2"/>
  <c r="G228" i="2"/>
  <c r="F228" i="2"/>
  <c r="G227" i="2"/>
  <c r="F227" i="2"/>
  <c r="G226" i="2"/>
  <c r="F226" i="2"/>
  <c r="G225" i="2"/>
  <c r="F225" i="2"/>
  <c r="G224" i="2"/>
  <c r="F224" i="2"/>
  <c r="G223" i="2"/>
  <c r="F223" i="2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G212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5" i="2"/>
  <c r="G204" i="2"/>
  <c r="F204" i="2"/>
  <c r="G203" i="2"/>
  <c r="F203" i="2"/>
  <c r="G202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5" i="2"/>
  <c r="G194" i="2"/>
  <c r="F194" i="2"/>
  <c r="G193" i="2"/>
  <c r="F193" i="2"/>
  <c r="G192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74" i="2"/>
  <c r="F174" i="2"/>
  <c r="G173" i="2"/>
  <c r="F173" i="2"/>
  <c r="G172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5" i="2"/>
  <c r="G164" i="2"/>
  <c r="F164" i="2"/>
  <c r="G163" i="2"/>
  <c r="F163" i="2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C6" i="8" l="1"/>
  <c r="B17" i="8"/>
  <c r="B16" i="8"/>
  <c r="B15" i="8"/>
  <c r="B14" i="8"/>
  <c r="B13" i="8"/>
  <c r="B12" i="8"/>
  <c r="C5" i="8"/>
  <c r="E5" i="8" s="1"/>
  <c r="C7" i="8"/>
  <c r="E7" i="8" s="1"/>
  <c r="C8" i="8"/>
  <c r="D5" i="8" l="1"/>
  <c r="D7" i="8"/>
  <c r="E8" i="8"/>
  <c r="D8" i="8"/>
  <c r="E6" i="8"/>
  <c r="D6" i="8"/>
</calcChain>
</file>

<file path=xl/sharedStrings.xml><?xml version="1.0" encoding="utf-8"?>
<sst xmlns="http://schemas.openxmlformats.org/spreadsheetml/2006/main" count="9892" uniqueCount="2168">
  <si>
    <t>Fire Fighting</t>
  </si>
  <si>
    <t>&lt;&lt; Back to Dashboard</t>
  </si>
  <si>
    <t>Pers No</t>
  </si>
  <si>
    <t>Name</t>
  </si>
  <si>
    <t>Designation</t>
  </si>
  <si>
    <t>Department</t>
  </si>
  <si>
    <t>Refresher Last Date</t>
  </si>
  <si>
    <t>Refresher Expiry Date</t>
  </si>
  <si>
    <t>Due Alert</t>
  </si>
  <si>
    <t>10395</t>
  </si>
  <si>
    <t>Danguru Saunta</t>
  </si>
  <si>
    <t>Semiskilled Worker Gr.II</t>
  </si>
  <si>
    <t>ADMINISTRATION</t>
  </si>
  <si>
    <t>9311</t>
  </si>
  <si>
    <t>Satyaban Nayak@Mali</t>
  </si>
  <si>
    <t>Sr.Semiskilled Worker Gr.II</t>
  </si>
  <si>
    <t>9504</t>
  </si>
  <si>
    <t>Mohan Khora</t>
  </si>
  <si>
    <t>9310</t>
  </si>
  <si>
    <t>Chandra Sekhar Lamta</t>
  </si>
  <si>
    <t>Sr.Semisilled Worker Gr.I</t>
  </si>
  <si>
    <t>9899</t>
  </si>
  <si>
    <t>Kamulu Gouda</t>
  </si>
  <si>
    <t>Technician(Civil) Gr.I</t>
  </si>
  <si>
    <t>CIVIL</t>
  </si>
  <si>
    <t>8137</t>
  </si>
  <si>
    <t>Gora Dami</t>
  </si>
  <si>
    <t>Technician(Electrical) Gr.I</t>
  </si>
  <si>
    <t>ELECTRICAL</t>
  </si>
  <si>
    <t>9905</t>
  </si>
  <si>
    <t>Shrabana Kumar Mohanta</t>
  </si>
  <si>
    <t>9906</t>
  </si>
  <si>
    <t>Laxman Chakie</t>
  </si>
  <si>
    <t>7242</t>
  </si>
  <si>
    <t>Bhima Mali</t>
  </si>
  <si>
    <t>Sr.Technician(Instrument) Gr.II</t>
  </si>
  <si>
    <t>E&amp;I</t>
  </si>
  <si>
    <t>9268</t>
  </si>
  <si>
    <t>Rasananda Soy</t>
  </si>
  <si>
    <t>Chargeman Gr.III</t>
  </si>
  <si>
    <t>9269</t>
  </si>
  <si>
    <t>Rajendra Kumar Maharana</t>
  </si>
  <si>
    <t>9271</t>
  </si>
  <si>
    <t>Kshirasindhu Sahu</t>
  </si>
  <si>
    <t>9274</t>
  </si>
  <si>
    <t>Sk Saukat Alli</t>
  </si>
  <si>
    <t>9275</t>
  </si>
  <si>
    <t>Prakash Kujur</t>
  </si>
  <si>
    <t>9276</t>
  </si>
  <si>
    <t>Rajkumar Jodhar</t>
  </si>
  <si>
    <t>9278</t>
  </si>
  <si>
    <t>Narendra Kumar Disari</t>
  </si>
  <si>
    <t>9279</t>
  </si>
  <si>
    <t>Bijay Kumar Sahoo</t>
  </si>
  <si>
    <t>9282</t>
  </si>
  <si>
    <t>Harichand Ray</t>
  </si>
  <si>
    <t>9290</t>
  </si>
  <si>
    <t>Dayanidhi Murmu</t>
  </si>
  <si>
    <t>9373</t>
  </si>
  <si>
    <t>Sadananda Das</t>
  </si>
  <si>
    <t>9374</t>
  </si>
  <si>
    <t>Anil Kumar Panda</t>
  </si>
  <si>
    <t>7248</t>
  </si>
  <si>
    <t>Sanjaya Kumar Sahu</t>
  </si>
  <si>
    <t>Chargeman Gr.I</t>
  </si>
  <si>
    <t>11047</t>
  </si>
  <si>
    <t>Muna Kandhapan</t>
  </si>
  <si>
    <t>SUPT/SOT</t>
  </si>
  <si>
    <t>11337</t>
  </si>
  <si>
    <t>Satya Narayan Sahu</t>
  </si>
  <si>
    <t>SUPT (JOT)-Electrical</t>
  </si>
  <si>
    <t>11338</t>
  </si>
  <si>
    <t>Anuj Kumar</t>
  </si>
  <si>
    <t>11342</t>
  </si>
  <si>
    <t>Kishor Chandra Pradhan</t>
  </si>
  <si>
    <t>11344</t>
  </si>
  <si>
    <t>Sibaprasad Santra</t>
  </si>
  <si>
    <t>11264</t>
  </si>
  <si>
    <t>Chitru Kadia</t>
  </si>
  <si>
    <t>SUPT(OPTADEF)</t>
  </si>
  <si>
    <t>10132</t>
  </si>
  <si>
    <t>Naresh Kumar Bagh</t>
  </si>
  <si>
    <t>Semiskilled Worker Gr.I</t>
  </si>
  <si>
    <t>FINANCE &amp; ACCOUNTS</t>
  </si>
  <si>
    <t>10584</t>
  </si>
  <si>
    <t>Madhab Nayak</t>
  </si>
  <si>
    <t>Technician (Mechanical) Gr. III</t>
  </si>
  <si>
    <t>GEOLOGY</t>
  </si>
  <si>
    <t>9910</t>
  </si>
  <si>
    <t>Swagatika Behera</t>
  </si>
  <si>
    <t>Geological Assistant Gr.II</t>
  </si>
  <si>
    <t>10027</t>
  </si>
  <si>
    <t>Gagan Chhati</t>
  </si>
  <si>
    <t>Operator(HEMM) Gr.II</t>
  </si>
  <si>
    <t>8874</t>
  </si>
  <si>
    <t>Mohan Muduli</t>
  </si>
  <si>
    <t>Operator (HEMM) Gr.I</t>
  </si>
  <si>
    <t>9909</t>
  </si>
  <si>
    <t>Arijit Bera</t>
  </si>
  <si>
    <t>Geological Assistant Gr.I</t>
  </si>
  <si>
    <t>8728</t>
  </si>
  <si>
    <t>Girija Prasad Parida</t>
  </si>
  <si>
    <t>Asst.Geologist</t>
  </si>
  <si>
    <t>8542</t>
  </si>
  <si>
    <t>Asiskumar Patnaik</t>
  </si>
  <si>
    <t>Geologist</t>
  </si>
  <si>
    <t>10119</t>
  </si>
  <si>
    <t>Rabi Mania</t>
  </si>
  <si>
    <t>11335</t>
  </si>
  <si>
    <t>Sunny Abhishek Tigga</t>
  </si>
  <si>
    <t>SUPT(JOT)-Geologist</t>
  </si>
  <si>
    <t>11343</t>
  </si>
  <si>
    <t>Ashish Kumar Sethy</t>
  </si>
  <si>
    <t>11481</t>
  </si>
  <si>
    <t>Jajnadatta Pradhan</t>
  </si>
  <si>
    <t>11525</t>
  </si>
  <si>
    <t>Shivangee Singha</t>
  </si>
  <si>
    <t>7612</t>
  </si>
  <si>
    <t>Somanath Acharya</t>
  </si>
  <si>
    <t>7133</t>
  </si>
  <si>
    <t>Rabindranath Tirkey</t>
  </si>
  <si>
    <t>10129</t>
  </si>
  <si>
    <t>Bhagirathi Pattnaik</t>
  </si>
  <si>
    <t>Technician(Mechanical) Gr.II</t>
  </si>
  <si>
    <t>9988</t>
  </si>
  <si>
    <t>Debashis Behera</t>
  </si>
  <si>
    <t>HR</t>
  </si>
  <si>
    <t>10117</t>
  </si>
  <si>
    <t>Deepak Kumar Mohanta</t>
  </si>
  <si>
    <t>9714</t>
  </si>
  <si>
    <t>Rajani Kanta Mali</t>
  </si>
  <si>
    <t>MATERIALS</t>
  </si>
  <si>
    <t>10387</t>
  </si>
  <si>
    <t>Sushanta Kumar Raju</t>
  </si>
  <si>
    <t>8543</t>
  </si>
  <si>
    <t>Santosh Kumar Senapati</t>
  </si>
  <si>
    <t>Technician(Store Keeper) Gr.I</t>
  </si>
  <si>
    <t>8214</t>
  </si>
  <si>
    <t>Chandrakanta Kar</t>
  </si>
  <si>
    <t>Chargeman Gr.II</t>
  </si>
  <si>
    <t>10188</t>
  </si>
  <si>
    <t>Mani Gauda</t>
  </si>
  <si>
    <t>11040</t>
  </si>
  <si>
    <t>Dhanurjay Dishari</t>
  </si>
  <si>
    <t>SUPT/TOT</t>
  </si>
  <si>
    <t>11045</t>
  </si>
  <si>
    <t>Trinath Choudhury</t>
  </si>
  <si>
    <t>11059</t>
  </si>
  <si>
    <t>Dilip Gouda</t>
  </si>
  <si>
    <t>9907</t>
  </si>
  <si>
    <t>Umer Saha</t>
  </si>
  <si>
    <t>Technician(Electronics) Gr.I</t>
  </si>
  <si>
    <t>MECHANICAL</t>
  </si>
  <si>
    <t>6629</t>
  </si>
  <si>
    <t>Gubi Santa</t>
  </si>
  <si>
    <t>Sr.Technician(Auto Elect) Gr.II</t>
  </si>
  <si>
    <t>6633</t>
  </si>
  <si>
    <t>Basu Dami</t>
  </si>
  <si>
    <t>9370</t>
  </si>
  <si>
    <t>Syamo Sundar Khora</t>
  </si>
  <si>
    <t>9372</t>
  </si>
  <si>
    <t>Abinas Das</t>
  </si>
  <si>
    <t>8741</t>
  </si>
  <si>
    <t>Suresh Kumar Sahu</t>
  </si>
  <si>
    <t>8742</t>
  </si>
  <si>
    <t>Sanjaya Pradhan</t>
  </si>
  <si>
    <t>6521</t>
  </si>
  <si>
    <t>K Prasad Patro</t>
  </si>
  <si>
    <t>Superintendent(HEMM) Gr.II</t>
  </si>
  <si>
    <t>6345</t>
  </si>
  <si>
    <t>Rama Muduli</t>
  </si>
  <si>
    <t>Support Staff(O&amp;M)</t>
  </si>
  <si>
    <t>11218</t>
  </si>
  <si>
    <t>Muralidhar Chhati</t>
  </si>
  <si>
    <t>SUPT (JOT)-Motor Mechanic</t>
  </si>
  <si>
    <t>9202</t>
  </si>
  <si>
    <t>Amit Kumar Nag</t>
  </si>
  <si>
    <t>Sr.Technician(Mechanical) Gr.I</t>
  </si>
  <si>
    <t>9345</t>
  </si>
  <si>
    <t>Laxman Jani</t>
  </si>
  <si>
    <t>9209</t>
  </si>
  <si>
    <t>Manasranjan Tudu</t>
  </si>
  <si>
    <t>9215</t>
  </si>
  <si>
    <t>Trilochan Behera</t>
  </si>
  <si>
    <t>9223</t>
  </si>
  <si>
    <t>Rabinarayan Halba</t>
  </si>
  <si>
    <t>9226</t>
  </si>
  <si>
    <t>Mohan Kantabali</t>
  </si>
  <si>
    <t>9227</t>
  </si>
  <si>
    <t>Dasha Hembram</t>
  </si>
  <si>
    <t>9228</t>
  </si>
  <si>
    <t>Chaitanya Gouda</t>
  </si>
  <si>
    <t>9229</t>
  </si>
  <si>
    <t>Sunil Kumar Panda</t>
  </si>
  <si>
    <t>9231</t>
  </si>
  <si>
    <t>Laxman Deulapadia</t>
  </si>
  <si>
    <t>9234</t>
  </si>
  <si>
    <t>Jugendra Majhi</t>
  </si>
  <si>
    <t>9238</t>
  </si>
  <si>
    <t>Prasant Kumar Patra</t>
  </si>
  <si>
    <t>9242</t>
  </si>
  <si>
    <t>Rajib Kumar Jerai</t>
  </si>
  <si>
    <t>9180</t>
  </si>
  <si>
    <t>Subodh Xalxo</t>
  </si>
  <si>
    <t>9185</t>
  </si>
  <si>
    <t>Somanath Rana</t>
  </si>
  <si>
    <t>9187</t>
  </si>
  <si>
    <t>Ambika Prasada Shasani</t>
  </si>
  <si>
    <t>9193</t>
  </si>
  <si>
    <t>Subha Ranjan Patra</t>
  </si>
  <si>
    <t>9199</t>
  </si>
  <si>
    <t>Amar Das</t>
  </si>
  <si>
    <t>9254</t>
  </si>
  <si>
    <t>Ajaya Kumar Sahu</t>
  </si>
  <si>
    <t>9257</t>
  </si>
  <si>
    <t>Jagadish Chandra Jani</t>
  </si>
  <si>
    <t>9352</t>
  </si>
  <si>
    <t>Vinay Prakash Tirkey</t>
  </si>
  <si>
    <t>9359</t>
  </si>
  <si>
    <t>A Santosh Kumar Patra</t>
  </si>
  <si>
    <t>9364</t>
  </si>
  <si>
    <t>Harekrishna Ekudu</t>
  </si>
  <si>
    <t>9367</t>
  </si>
  <si>
    <t>Sudhansu Moharana</t>
  </si>
  <si>
    <t>9341</t>
  </si>
  <si>
    <t>Krushna Nag</t>
  </si>
  <si>
    <t>7990</t>
  </si>
  <si>
    <t>Ghanashyam Kisan</t>
  </si>
  <si>
    <t>7991</t>
  </si>
  <si>
    <t>Chirla Lakra</t>
  </si>
  <si>
    <t>8211</t>
  </si>
  <si>
    <t>Antaryami Behera</t>
  </si>
  <si>
    <t>8875</t>
  </si>
  <si>
    <t>Niranjan Patra</t>
  </si>
  <si>
    <t>891</t>
  </si>
  <si>
    <t>Nanda Khillo</t>
  </si>
  <si>
    <t>7279</t>
  </si>
  <si>
    <t>Dasarathi Sahoo</t>
  </si>
  <si>
    <t>6866</t>
  </si>
  <si>
    <t>Laxmi Dhar Singh</t>
  </si>
  <si>
    <t>Superintendent (Mechanical) Gr.II</t>
  </si>
  <si>
    <t>10182</t>
  </si>
  <si>
    <t>Baraj Bhoi</t>
  </si>
  <si>
    <t>10199</t>
  </si>
  <si>
    <t>Bichitra Bhoi</t>
  </si>
  <si>
    <t>10216</t>
  </si>
  <si>
    <t>Monoranjan Sahoo</t>
  </si>
  <si>
    <t>10236</t>
  </si>
  <si>
    <t>Sunil Sungadi</t>
  </si>
  <si>
    <t>10239</t>
  </si>
  <si>
    <t>Kumana Pujari</t>
  </si>
  <si>
    <t>10343</t>
  </si>
  <si>
    <t>Jadav Gouda</t>
  </si>
  <si>
    <t>10131</t>
  </si>
  <si>
    <t>Pitambar Hantal</t>
  </si>
  <si>
    <t>10197</t>
  </si>
  <si>
    <t>Jagatram Bhoi</t>
  </si>
  <si>
    <t>5319</t>
  </si>
  <si>
    <t>Kamulu Gadaba</t>
  </si>
  <si>
    <t>10955</t>
  </si>
  <si>
    <t>Haribandhu Gauda</t>
  </si>
  <si>
    <t>SUPT/JOT</t>
  </si>
  <si>
    <t>11043</t>
  </si>
  <si>
    <t>Rath Gouda</t>
  </si>
  <si>
    <t>11084</t>
  </si>
  <si>
    <t>Krushna Jani</t>
  </si>
  <si>
    <t>11331</t>
  </si>
  <si>
    <t>Sunil Kumar Pangi</t>
  </si>
  <si>
    <t>SUPT(JOT)-Fitter</t>
  </si>
  <si>
    <t>11340</t>
  </si>
  <si>
    <t>Rushikesh Gouda</t>
  </si>
  <si>
    <t>11341</t>
  </si>
  <si>
    <t>Bijaya Maharana</t>
  </si>
  <si>
    <t>11058</t>
  </si>
  <si>
    <t>Purna Bhoi</t>
  </si>
  <si>
    <t>11262</t>
  </si>
  <si>
    <t>Jaya Bhoi</t>
  </si>
  <si>
    <t>11263</t>
  </si>
  <si>
    <t>Madhu Gouda</t>
  </si>
  <si>
    <t>11267</t>
  </si>
  <si>
    <t>Debendra Dami</t>
  </si>
  <si>
    <t>10232</t>
  </si>
  <si>
    <t>Gouranga Charan Dora</t>
  </si>
  <si>
    <t>Technician (Mechanical) Gr.III</t>
  </si>
  <si>
    <t>9300</t>
  </si>
  <si>
    <t>Purna Chandra Gauda</t>
  </si>
  <si>
    <t>9301</t>
  </si>
  <si>
    <t>Ganesh Chandra Bag</t>
  </si>
  <si>
    <t>9304</t>
  </si>
  <si>
    <t>Laba Mali</t>
  </si>
  <si>
    <t>9371</t>
  </si>
  <si>
    <t>Durjan Gouda</t>
  </si>
  <si>
    <t>4935</t>
  </si>
  <si>
    <t>Dhanapati Mali</t>
  </si>
  <si>
    <t>8739</t>
  </si>
  <si>
    <t>Bayadhar Nahak</t>
  </si>
  <si>
    <t>7254</t>
  </si>
  <si>
    <t>Mrutyunjaya Dash</t>
  </si>
  <si>
    <t>6326</t>
  </si>
  <si>
    <t>Salupu Jani</t>
  </si>
  <si>
    <t>Support Staff (O&amp;M)</t>
  </si>
  <si>
    <t>11119</t>
  </si>
  <si>
    <t>Judhisti Gouda</t>
  </si>
  <si>
    <t>11237</t>
  </si>
  <si>
    <t>Abraham Takiri</t>
  </si>
  <si>
    <t>11326</t>
  </si>
  <si>
    <t>Rajen Murmu</t>
  </si>
  <si>
    <t>11329</t>
  </si>
  <si>
    <t>Dolagobinda Behera</t>
  </si>
  <si>
    <t>11265</t>
  </si>
  <si>
    <t>Balabhadra Gadaba</t>
  </si>
  <si>
    <t>10175</t>
  </si>
  <si>
    <t>Khiroj Kumar Bisoi</t>
  </si>
  <si>
    <t>9802</t>
  </si>
  <si>
    <t>Chudamani Choudhury</t>
  </si>
  <si>
    <t>Technician(Mechanical) Gr.I</t>
  </si>
  <si>
    <t>7955</t>
  </si>
  <si>
    <t>Partum Desharee</t>
  </si>
  <si>
    <t>8224</t>
  </si>
  <si>
    <t>Sampada Kumar Pati</t>
  </si>
  <si>
    <t>8222</t>
  </si>
  <si>
    <t>Tekchand Dewangan</t>
  </si>
  <si>
    <t>8868</t>
  </si>
  <si>
    <t>Prakash Bhoi</t>
  </si>
  <si>
    <t>7574</t>
  </si>
  <si>
    <t>Bhabani Prasad Mohanty</t>
  </si>
  <si>
    <t>11220</t>
  </si>
  <si>
    <t>Upendra Hansdah</t>
  </si>
  <si>
    <t>11260</t>
  </si>
  <si>
    <t>Bapina Dalei</t>
  </si>
  <si>
    <t>11031</t>
  </si>
  <si>
    <t>Tankadhar Gadaba</t>
  </si>
  <si>
    <t>10210</t>
  </si>
  <si>
    <t>Surendra Muduli</t>
  </si>
  <si>
    <t>Technician(Mechanical) Gr.III</t>
  </si>
  <si>
    <t>10213</t>
  </si>
  <si>
    <t>Sisir Budia</t>
  </si>
  <si>
    <t>Technician (Mechanical) Gr.II</t>
  </si>
  <si>
    <t>10219</t>
  </si>
  <si>
    <t>Dasarathi Jani</t>
  </si>
  <si>
    <t>9811</t>
  </si>
  <si>
    <t>Monoj Kumar Choudhury</t>
  </si>
  <si>
    <t>9898</t>
  </si>
  <si>
    <t>Kiran Chhati</t>
  </si>
  <si>
    <t>8873</t>
  </si>
  <si>
    <t>Purna Chandra Jani</t>
  </si>
  <si>
    <t>Sr.Technician(Mech) Gr.I</t>
  </si>
  <si>
    <t>5432</t>
  </si>
  <si>
    <t>Benu Kirsani</t>
  </si>
  <si>
    <t>6327</t>
  </si>
  <si>
    <t>Hari Dami</t>
  </si>
  <si>
    <t>9303</t>
  </si>
  <si>
    <t>Maheswar Sethi</t>
  </si>
  <si>
    <t>9305</t>
  </si>
  <si>
    <t>Biswanath Muduli</t>
  </si>
  <si>
    <t>9306</t>
  </si>
  <si>
    <t>Rajendra Jani</t>
  </si>
  <si>
    <t>9369</t>
  </si>
  <si>
    <t>Govinda Murmu</t>
  </si>
  <si>
    <t>7974</t>
  </si>
  <si>
    <t>Dhaneshwar Oram</t>
  </si>
  <si>
    <t>7976</t>
  </si>
  <si>
    <t>Chhatish Soren</t>
  </si>
  <si>
    <t>7977</t>
  </si>
  <si>
    <t>Mangal Charan Hansdah</t>
  </si>
  <si>
    <t>8740</t>
  </si>
  <si>
    <t>Dheerendra Kumar Pattanayak</t>
  </si>
  <si>
    <t>8736</t>
  </si>
  <si>
    <t>Rameswar Marandi</t>
  </si>
  <si>
    <t>8737</t>
  </si>
  <si>
    <t>Mangal Soren</t>
  </si>
  <si>
    <t>7446</t>
  </si>
  <si>
    <t>Ashwini Kumar Bhoi</t>
  </si>
  <si>
    <t>10215</t>
  </si>
  <si>
    <t>Sahadev Bhoi</t>
  </si>
  <si>
    <t>10037</t>
  </si>
  <si>
    <t>Jagabandhu Khara</t>
  </si>
  <si>
    <t>6616</t>
  </si>
  <si>
    <t>Dama Katkaria</t>
  </si>
  <si>
    <t>Sr. Semiskilled Worker Gr.I</t>
  </si>
  <si>
    <t>8717</t>
  </si>
  <si>
    <t>Gopabandhu Jani</t>
  </si>
  <si>
    <t>Sr.Semiskilled Worker Gr.I</t>
  </si>
  <si>
    <t>10130</t>
  </si>
  <si>
    <t>Sanjay Sriharia</t>
  </si>
  <si>
    <t>8538</t>
  </si>
  <si>
    <t>9908</t>
  </si>
  <si>
    <t>Lambodhar Barik</t>
  </si>
  <si>
    <t>Technician(Motor Mech) Gr.I</t>
  </si>
  <si>
    <t>9298</t>
  </si>
  <si>
    <t>Bijaya Kumar Behera</t>
  </si>
  <si>
    <t>10206</t>
  </si>
  <si>
    <t>Debendra Chetty</t>
  </si>
  <si>
    <t>10336</t>
  </si>
  <si>
    <t>Raghunath Gauda</t>
  </si>
  <si>
    <t>11087</t>
  </si>
  <si>
    <t>Mohammad Routray</t>
  </si>
  <si>
    <t>11083</t>
  </si>
  <si>
    <t>Hiralal Bagh</t>
  </si>
  <si>
    <t>10166</t>
  </si>
  <si>
    <t>Ranjit Jani</t>
  </si>
  <si>
    <t>Technician(Mechnanical) Gr.II</t>
  </si>
  <si>
    <t>8134</t>
  </si>
  <si>
    <t>Nila Pujari</t>
  </si>
  <si>
    <t>10009</t>
  </si>
  <si>
    <t>Hantal Upendra</t>
  </si>
  <si>
    <t>9302</t>
  </si>
  <si>
    <t>Surendra Kumar Mahato</t>
  </si>
  <si>
    <t>10187</t>
  </si>
  <si>
    <t>Siba Prasad Choudhury</t>
  </si>
  <si>
    <t>6627</t>
  </si>
  <si>
    <t>Sahadev Dami</t>
  </si>
  <si>
    <t>5433</t>
  </si>
  <si>
    <t>Nakul Pangi</t>
  </si>
  <si>
    <t>6865</t>
  </si>
  <si>
    <t>Ashutosh Kamila</t>
  </si>
  <si>
    <t>Superintendent (Mech) Gr.II</t>
  </si>
  <si>
    <t>6871</t>
  </si>
  <si>
    <t>Kaliprasanna Sahoo</t>
  </si>
  <si>
    <t>5781</t>
  </si>
  <si>
    <t>Chaitan Jani</t>
  </si>
  <si>
    <t>Sr. Support Staff (MRS)</t>
  </si>
  <si>
    <t>8848</t>
  </si>
  <si>
    <t>Pramoda Kumar Lenka</t>
  </si>
  <si>
    <t>Sr.Dresser Cum First Aider Gr.II</t>
  </si>
  <si>
    <t>MINING</t>
  </si>
  <si>
    <t>8846</t>
  </si>
  <si>
    <t>Amarendra Nayak</t>
  </si>
  <si>
    <t>Sr.Dresser Cum First Aider Gr.I</t>
  </si>
  <si>
    <t>8847</t>
  </si>
  <si>
    <t>Dharmananda Satapathy</t>
  </si>
  <si>
    <t>8142</t>
  </si>
  <si>
    <t>Chandra Sekhar Nayak</t>
  </si>
  <si>
    <t>8145</t>
  </si>
  <si>
    <t>Hari Khora</t>
  </si>
  <si>
    <t>7486</t>
  </si>
  <si>
    <t>4401</t>
  </si>
  <si>
    <t>Chittaranjan Dash</t>
  </si>
  <si>
    <t>Superintendent(Mining) Gr.II</t>
  </si>
  <si>
    <t>9957</t>
  </si>
  <si>
    <t>Ratikanta Ghadei</t>
  </si>
  <si>
    <t>Operator(HEMM) Gr.III</t>
  </si>
  <si>
    <t>10411</t>
  </si>
  <si>
    <t>Ramakrishna Nayak</t>
  </si>
  <si>
    <t>Operator (HEMM) Gr.III</t>
  </si>
  <si>
    <t>10412</t>
  </si>
  <si>
    <t>Jogendra Khara</t>
  </si>
  <si>
    <t>10413</t>
  </si>
  <si>
    <t>Tapan Kumar Gouda</t>
  </si>
  <si>
    <t>10414</t>
  </si>
  <si>
    <t>Sameer Kumar Bhuyan</t>
  </si>
  <si>
    <t>10415</t>
  </si>
  <si>
    <t>Rohit Lakra</t>
  </si>
  <si>
    <t>10029</t>
  </si>
  <si>
    <t>Jahid Anwar Khan</t>
  </si>
  <si>
    <t>10030</t>
  </si>
  <si>
    <t>Labina Jani</t>
  </si>
  <si>
    <t>10386</t>
  </si>
  <si>
    <t>Karnarathi Mali</t>
  </si>
  <si>
    <t>9720</t>
  </si>
  <si>
    <t>Manoj Kumar Jani</t>
  </si>
  <si>
    <t>Operator(HEMM) Gr.I</t>
  </si>
  <si>
    <t>9721</t>
  </si>
  <si>
    <t>Manoj Kumar Chetty</t>
  </si>
  <si>
    <t>9722</t>
  </si>
  <si>
    <t>Yudhistir Pangi</t>
  </si>
  <si>
    <t>9738</t>
  </si>
  <si>
    <t>Jogesh Choudhury</t>
  </si>
  <si>
    <t>9812</t>
  </si>
  <si>
    <t>Prasant Khora</t>
  </si>
  <si>
    <t>9814</t>
  </si>
  <si>
    <t>Abhiram Mali</t>
  </si>
  <si>
    <t>9815</t>
  </si>
  <si>
    <t>Nira Bhoi</t>
  </si>
  <si>
    <t>9816</t>
  </si>
  <si>
    <t>Ashok Kumar Nayak</t>
  </si>
  <si>
    <t>9817</t>
  </si>
  <si>
    <t>Jhuna Turuk</t>
  </si>
  <si>
    <t>9819</t>
  </si>
  <si>
    <t>Praful Khara</t>
  </si>
  <si>
    <t>9820</t>
  </si>
  <si>
    <t>Madhusudan Nag</t>
  </si>
  <si>
    <t>9822</t>
  </si>
  <si>
    <t>Shyam Sunder Pradhan</t>
  </si>
  <si>
    <t>9823</t>
  </si>
  <si>
    <t>Sameer Kumar Benya</t>
  </si>
  <si>
    <t>9825</t>
  </si>
  <si>
    <t>Sushanta Kumar Hikaka</t>
  </si>
  <si>
    <t>9829</t>
  </si>
  <si>
    <t>Smruti Ranjan Mohanty</t>
  </si>
  <si>
    <t>9831</t>
  </si>
  <si>
    <t>Krushna Muduli</t>
  </si>
  <si>
    <t>9832</t>
  </si>
  <si>
    <t>Abhisekh Dutta</t>
  </si>
  <si>
    <t>9833</t>
  </si>
  <si>
    <t>Dulabha Nag</t>
  </si>
  <si>
    <t>9834</t>
  </si>
  <si>
    <t>Mithuna Muduli</t>
  </si>
  <si>
    <t>9835</t>
  </si>
  <si>
    <t>Amresh Kumar Sethy</t>
  </si>
  <si>
    <t>9836</t>
  </si>
  <si>
    <t>Deepak Kumar Singh</t>
  </si>
  <si>
    <t>9839</t>
  </si>
  <si>
    <t>Kandarpa Naik</t>
  </si>
  <si>
    <t>9842</t>
  </si>
  <si>
    <t>Trinath Mali</t>
  </si>
  <si>
    <t>9941</t>
  </si>
  <si>
    <t>Debendra Kumar Raju</t>
  </si>
  <si>
    <t>9942</t>
  </si>
  <si>
    <t>Kiran Kumar Kuldip</t>
  </si>
  <si>
    <t>9943</t>
  </si>
  <si>
    <t>Jagdish Raju</t>
  </si>
  <si>
    <t>9948</t>
  </si>
  <si>
    <t>Deepak Kumar Kuldip</t>
  </si>
  <si>
    <t>9951</t>
  </si>
  <si>
    <t>Dhanurjay Nayak</t>
  </si>
  <si>
    <t>9952</t>
  </si>
  <si>
    <t>Santosh Kumar Swain</t>
  </si>
  <si>
    <t>9954</t>
  </si>
  <si>
    <t>Sanjaya Kumar Barik</t>
  </si>
  <si>
    <t>9956</t>
  </si>
  <si>
    <t>Suresh Kumar Hantal</t>
  </si>
  <si>
    <t>9959</t>
  </si>
  <si>
    <t>Mukesh Das</t>
  </si>
  <si>
    <t>9960</t>
  </si>
  <si>
    <t>Ajit Kumar Bachhar</t>
  </si>
  <si>
    <t>9962</t>
  </si>
  <si>
    <t>Purushottam Santa</t>
  </si>
  <si>
    <t>9963</t>
  </si>
  <si>
    <t>Mahendra Hansdah</t>
  </si>
  <si>
    <t>9965</t>
  </si>
  <si>
    <t>Arun Pradhan</t>
  </si>
  <si>
    <t>9966</t>
  </si>
  <si>
    <t>Dibakar Jani</t>
  </si>
  <si>
    <t>9972</t>
  </si>
  <si>
    <t>Pabitra Jani</t>
  </si>
  <si>
    <t>9986</t>
  </si>
  <si>
    <t>Rabindra Badanayak</t>
  </si>
  <si>
    <t>5682</t>
  </si>
  <si>
    <t>Madhu Mali</t>
  </si>
  <si>
    <t>6944</t>
  </si>
  <si>
    <t>Kia Santa</t>
  </si>
  <si>
    <t>7243</t>
  </si>
  <si>
    <t>Singuru Saunta</t>
  </si>
  <si>
    <t>8731</t>
  </si>
  <si>
    <t>Rabindranath Sethi</t>
  </si>
  <si>
    <t>9259</t>
  </si>
  <si>
    <t>Binaya Kumar Khara</t>
  </si>
  <si>
    <t>9261</t>
  </si>
  <si>
    <t>Prasanta Parida</t>
  </si>
  <si>
    <t>9262</t>
  </si>
  <si>
    <t>Jagannatha Mudi</t>
  </si>
  <si>
    <t>9246</t>
  </si>
  <si>
    <t>Kapilash Karna</t>
  </si>
  <si>
    <t>9247</t>
  </si>
  <si>
    <t>Sanjaya Behera</t>
  </si>
  <si>
    <t>9243</t>
  </si>
  <si>
    <t>Pabitra Mohan Sahoo</t>
  </si>
  <si>
    <t>7979</t>
  </si>
  <si>
    <t>Amar Singh Meena</t>
  </si>
  <si>
    <t>8141</t>
  </si>
  <si>
    <t>Animon T</t>
  </si>
  <si>
    <t>8147</t>
  </si>
  <si>
    <t>Biplaba Kumar Nayak</t>
  </si>
  <si>
    <t>8148</t>
  </si>
  <si>
    <t>Harekrushna Patra</t>
  </si>
  <si>
    <t>8149</t>
  </si>
  <si>
    <t>Prasanta Kumar Sahoo</t>
  </si>
  <si>
    <t>8223</t>
  </si>
  <si>
    <t>Raghunath Mahanandia</t>
  </si>
  <si>
    <t>8221</t>
  </si>
  <si>
    <t>Birakishore Mohanta</t>
  </si>
  <si>
    <t>8732</t>
  </si>
  <si>
    <t>Jivan Jyoti Panigrahy</t>
  </si>
  <si>
    <t>8734</t>
  </si>
  <si>
    <t>Saumendu Barik</t>
  </si>
  <si>
    <t>8735</t>
  </si>
  <si>
    <t>Santosh Kumar Panda</t>
  </si>
  <si>
    <t>8729</t>
  </si>
  <si>
    <t>Sananda Naik</t>
  </si>
  <si>
    <t>8730</t>
  </si>
  <si>
    <t>Prasanta Naik</t>
  </si>
  <si>
    <t>7261</t>
  </si>
  <si>
    <t>Satyanarayana Palo</t>
  </si>
  <si>
    <t>7360</t>
  </si>
  <si>
    <t>Bimal Nayak</t>
  </si>
  <si>
    <t>7567</t>
  </si>
  <si>
    <t>Binayak Gour</t>
  </si>
  <si>
    <t>6522</t>
  </si>
  <si>
    <t>Tripatibalaji Sabata</t>
  </si>
  <si>
    <t>6834</t>
  </si>
  <si>
    <t>Parimal Bachhar</t>
  </si>
  <si>
    <t>Superintendent (Mining) Gr.II</t>
  </si>
  <si>
    <t>6914</t>
  </si>
  <si>
    <t>Iswar Prasad Gamango</t>
  </si>
  <si>
    <t>6915</t>
  </si>
  <si>
    <t>Prem Uday Lakra</t>
  </si>
  <si>
    <t>7067</t>
  </si>
  <si>
    <t>Abhimanyu Rauta</t>
  </si>
  <si>
    <t>7131</t>
  </si>
  <si>
    <t>Prahallad Takiri</t>
  </si>
  <si>
    <t>10133</t>
  </si>
  <si>
    <t>Dhania Nayak</t>
  </si>
  <si>
    <t>9505</t>
  </si>
  <si>
    <t>Bhajaman Kuldeep</t>
  </si>
  <si>
    <t>11226</t>
  </si>
  <si>
    <t>Lipun Behera</t>
  </si>
  <si>
    <t>SUPT (JOT)-HEMM Operator</t>
  </si>
  <si>
    <t>10385</t>
  </si>
  <si>
    <t>Nakul Mali</t>
  </si>
  <si>
    <t>9830</t>
  </si>
  <si>
    <t>Goura Bada Nayak</t>
  </si>
  <si>
    <t>9828</t>
  </si>
  <si>
    <t>Susanta Kumar Mallick</t>
  </si>
  <si>
    <t>9818</t>
  </si>
  <si>
    <t>Brundaban Choudhury</t>
  </si>
  <si>
    <t>9813</t>
  </si>
  <si>
    <t>Sadan Goudo</t>
  </si>
  <si>
    <t>9945</t>
  </si>
  <si>
    <t>9946</t>
  </si>
  <si>
    <t>Gopinath Gouda</t>
  </si>
  <si>
    <t>9947</t>
  </si>
  <si>
    <t>Ashok Khara</t>
  </si>
  <si>
    <t>9263</t>
  </si>
  <si>
    <t>Gurukrushna Sahoo</t>
  </si>
  <si>
    <t>9260</t>
  </si>
  <si>
    <t>Asha Nanda Khosla</t>
  </si>
  <si>
    <t>8143</t>
  </si>
  <si>
    <t>Md Naushad Ansari</t>
  </si>
  <si>
    <t>8146</t>
  </si>
  <si>
    <t>Surya Narayan Muduli</t>
  </si>
  <si>
    <t>8150</t>
  </si>
  <si>
    <t>Hitendra Kumar Sethy</t>
  </si>
  <si>
    <t>7069</t>
  </si>
  <si>
    <t>Dilip Kumar Singh</t>
  </si>
  <si>
    <t>11092</t>
  </si>
  <si>
    <t>Hemanta Desh Nayak</t>
  </si>
  <si>
    <t>11240</t>
  </si>
  <si>
    <t>Rutik Sampat Rajpure</t>
  </si>
  <si>
    <t>11336</t>
  </si>
  <si>
    <t>Neeraj Lohar</t>
  </si>
  <si>
    <t>SUPT(SOT)-Mining</t>
  </si>
  <si>
    <t>8738</t>
  </si>
  <si>
    <t>Satchida Nanda Nath</t>
  </si>
  <si>
    <t>10002</t>
  </si>
  <si>
    <t>Sadhu Mahto</t>
  </si>
  <si>
    <t>Survey Assistant Gr.I</t>
  </si>
  <si>
    <t>6626</t>
  </si>
  <si>
    <t>Gangadhar Dami</t>
  </si>
  <si>
    <t>Sr.Technician(Survey) Gr.II</t>
  </si>
  <si>
    <t>6152</t>
  </si>
  <si>
    <t>Nanda Pangi</t>
  </si>
  <si>
    <t>Sr. Technician (Survey) Gr.I</t>
  </si>
  <si>
    <t>10134</t>
  </si>
  <si>
    <t>Prafula Nayak</t>
  </si>
  <si>
    <t>5479</t>
  </si>
  <si>
    <t>Padan Gouda</t>
  </si>
  <si>
    <t>5603</t>
  </si>
  <si>
    <t>Tarun Pujari</t>
  </si>
  <si>
    <t>Master Vehicle Operator Gr.II</t>
  </si>
  <si>
    <t>6936</t>
  </si>
  <si>
    <t>Bhubana Chhati</t>
  </si>
  <si>
    <t>9244</t>
  </si>
  <si>
    <t>Sunil Kumar Sahu</t>
  </si>
  <si>
    <t>9258</t>
  </si>
  <si>
    <t>Amit Kumar Paik</t>
  </si>
  <si>
    <t>9368</t>
  </si>
  <si>
    <t>Sishir Tirkey</t>
  </si>
  <si>
    <t>8144</t>
  </si>
  <si>
    <t>Sreekanth Narayanan</t>
  </si>
  <si>
    <t>8210</t>
  </si>
  <si>
    <t>Gopabandhu Siya</t>
  </si>
  <si>
    <t>5715</t>
  </si>
  <si>
    <t>Padma Mohan Khora</t>
  </si>
  <si>
    <t>Master Vehicle Operator Gr.I (T7)</t>
  </si>
  <si>
    <t>6675</t>
  </si>
  <si>
    <t>Lambodhar Sahu</t>
  </si>
  <si>
    <t>7259</t>
  </si>
  <si>
    <t>Sunil Kumar Nahak</t>
  </si>
  <si>
    <t>6520</t>
  </si>
  <si>
    <t>Krupasindhu Hantal</t>
  </si>
  <si>
    <t>Superintendent(Vehicle Oprn) Gr.II</t>
  </si>
  <si>
    <t>6677</t>
  </si>
  <si>
    <t>Ganti Ramesh Kumar</t>
  </si>
  <si>
    <t>First Aid Last Year</t>
  </si>
  <si>
    <t>First Aid Expiry Year</t>
  </si>
  <si>
    <t>6374</t>
  </si>
  <si>
    <t>Bhabani Sankar Rout</t>
  </si>
  <si>
    <t>Assistant Manager(Administration)</t>
  </si>
  <si>
    <t>First aid (S)</t>
  </si>
  <si>
    <t>5716</t>
  </si>
  <si>
    <t>Jerom Xess</t>
  </si>
  <si>
    <t>Deputy Manager(Administration)</t>
  </si>
  <si>
    <t>First aid (V)</t>
  </si>
  <si>
    <t>10863</t>
  </si>
  <si>
    <t>Sanjaya Senapati</t>
  </si>
  <si>
    <t>AM (Mechanical)</t>
  </si>
  <si>
    <t>6682</t>
  </si>
  <si>
    <t>Chaitanya Murmu</t>
  </si>
  <si>
    <t>Dy. Manager(Secretarial)</t>
  </si>
  <si>
    <t>SECRETARIATE</t>
  </si>
  <si>
    <t>5510</t>
  </si>
  <si>
    <t>N Srinivasa Sudhakar</t>
  </si>
  <si>
    <t>Chief General Manager (O&amp;M),Mines</t>
  </si>
  <si>
    <t>9732</t>
  </si>
  <si>
    <t>Purusottam Mohanta</t>
  </si>
  <si>
    <t>Chief General Manager(Mines)</t>
  </si>
  <si>
    <t>6133</t>
  </si>
  <si>
    <t>Niranjan Ray</t>
  </si>
  <si>
    <t>Senior Manager(Civil)</t>
  </si>
  <si>
    <t>9091</t>
  </si>
  <si>
    <t>Shailesh Toppo</t>
  </si>
  <si>
    <t>7559</t>
  </si>
  <si>
    <t>Arjun Basu</t>
  </si>
  <si>
    <t>Deputy General Manager (Civil)</t>
  </si>
  <si>
    <t>10501</t>
  </si>
  <si>
    <t>Vishnu Chandora</t>
  </si>
  <si>
    <t>Assistant Manager (Instrumentation)</t>
  </si>
  <si>
    <t>10651</t>
  </si>
  <si>
    <t>Sonu Kumar Gupta</t>
  </si>
  <si>
    <t>Assistant Manager (Electrical)</t>
  </si>
  <si>
    <t>6709</t>
  </si>
  <si>
    <t>Kandra Hembram</t>
  </si>
  <si>
    <t>Deputy Manager(Electrical)</t>
  </si>
  <si>
    <t>10383</t>
  </si>
  <si>
    <t>Prathamesh Ganesh Kokate</t>
  </si>
  <si>
    <t>9748</t>
  </si>
  <si>
    <t>Anoj Kumar Swain</t>
  </si>
  <si>
    <t>Manager(Electrical)</t>
  </si>
  <si>
    <t>9858</t>
  </si>
  <si>
    <t>Rahul Kumar Meena</t>
  </si>
  <si>
    <t>9859</t>
  </si>
  <si>
    <t>Satya Sunder Behera</t>
  </si>
  <si>
    <t>9882</t>
  </si>
  <si>
    <t>Samir Kumar Shekhar Deo</t>
  </si>
  <si>
    <t>Manager (Electrical)</t>
  </si>
  <si>
    <t>10069</t>
  </si>
  <si>
    <t>Naveen Pentela</t>
  </si>
  <si>
    <t>6458</t>
  </si>
  <si>
    <t>Sarada Prasad Panda</t>
  </si>
  <si>
    <t>Senior Manager(Electrical)</t>
  </si>
  <si>
    <t>9070</t>
  </si>
  <si>
    <t>Kaustuv Pattnaik</t>
  </si>
  <si>
    <t>Sr. Manager (Electrical)</t>
  </si>
  <si>
    <t>9619</t>
  </si>
  <si>
    <t>Dakaneni Veera V S Aditya</t>
  </si>
  <si>
    <t>Senior Manager (Electrical)</t>
  </si>
  <si>
    <t>9621</t>
  </si>
  <si>
    <t>Sunil Kumar Patra</t>
  </si>
  <si>
    <t>9668</t>
  </si>
  <si>
    <t>Nachiketa Swain</t>
  </si>
  <si>
    <t>8637</t>
  </si>
  <si>
    <t>Dillip Moharana</t>
  </si>
  <si>
    <t>Deputy General Manager (Electrical)</t>
  </si>
  <si>
    <t>7504</t>
  </si>
  <si>
    <t>Harish Kumar Bhagwani</t>
  </si>
  <si>
    <t>General Manager(Electrical)</t>
  </si>
  <si>
    <t>11507</t>
  </si>
  <si>
    <t>Shaik Zalaluddin Mohammed Akbar</t>
  </si>
  <si>
    <t>GET(Electrical)</t>
  </si>
  <si>
    <t>7449</t>
  </si>
  <si>
    <t>Sasi Bhusan Behera</t>
  </si>
  <si>
    <t>Sr.Foreman(Electrical) Gr.I</t>
  </si>
  <si>
    <t>7465</t>
  </si>
  <si>
    <t>Kishor Kumar Lenka</t>
  </si>
  <si>
    <t>Sr.Foreman(Electical) Gr.I</t>
  </si>
  <si>
    <t>7467</t>
  </si>
  <si>
    <t>Raghunath Mohanta</t>
  </si>
  <si>
    <t>First aid (M)</t>
  </si>
  <si>
    <t>9985</t>
  </si>
  <si>
    <t>Samir Ranjan Pattnaik</t>
  </si>
  <si>
    <t>Assistant General Manager (Geology)</t>
  </si>
  <si>
    <t>TECHNICAL SERVICES</t>
  </si>
  <si>
    <t>10227</t>
  </si>
  <si>
    <t>Yalaka Kasaiah</t>
  </si>
  <si>
    <t>Dy. Manager(Finance)</t>
  </si>
  <si>
    <t>10756</t>
  </si>
  <si>
    <t>Dora Jagadishwar Rao</t>
  </si>
  <si>
    <t>Deputy Manager(Finance)</t>
  </si>
  <si>
    <t>10402</t>
  </si>
  <si>
    <t>Rangadhar Behera</t>
  </si>
  <si>
    <t>Manager (Finance)</t>
  </si>
  <si>
    <t>10457</t>
  </si>
  <si>
    <t>Ramesh Gopagoni</t>
  </si>
  <si>
    <t>8225</t>
  </si>
  <si>
    <t>Bhagaban Chandra Barik</t>
  </si>
  <si>
    <t>Deputy General Manager (Finance)</t>
  </si>
  <si>
    <t>9715</t>
  </si>
  <si>
    <t>K Shanmukh Rao</t>
  </si>
  <si>
    <t>Sr. Assistant (Time Office)</t>
  </si>
  <si>
    <t>9763</t>
  </si>
  <si>
    <t>Gudla Avinash</t>
  </si>
  <si>
    <t>Sr. Assistant(Finance)</t>
  </si>
  <si>
    <t>11529</t>
  </si>
  <si>
    <t>Nirankar Mishra</t>
  </si>
  <si>
    <t>Deputy Manager (Geology)</t>
  </si>
  <si>
    <t>7111</t>
  </si>
  <si>
    <t>Sanjaya Kumar Mohanty</t>
  </si>
  <si>
    <t>Manager (Geology)</t>
  </si>
  <si>
    <t>10616</t>
  </si>
  <si>
    <t>K Sairaj</t>
  </si>
  <si>
    <t>9531</t>
  </si>
  <si>
    <t>Chandan Kumar Behera</t>
  </si>
  <si>
    <t>Senior Manager (Geology)</t>
  </si>
  <si>
    <t>9532</t>
  </si>
  <si>
    <t>Pratap Tapan Sahoo</t>
  </si>
  <si>
    <t>Sr. Manager (Geology)</t>
  </si>
  <si>
    <t>9331</t>
  </si>
  <si>
    <t>Arya Goutami Nath</t>
  </si>
  <si>
    <t>Asst. General Manager(Geology)</t>
  </si>
  <si>
    <t>9936</t>
  </si>
  <si>
    <t>Malaya Kumar Sahoo</t>
  </si>
  <si>
    <t>Asst. Geneal Manager(Geology)</t>
  </si>
  <si>
    <t>10610</t>
  </si>
  <si>
    <t>Doddi Ravi Kumar</t>
  </si>
  <si>
    <t>Manager (Horticulture)</t>
  </si>
  <si>
    <t>10820</t>
  </si>
  <si>
    <t>Susant Kumar Panda</t>
  </si>
  <si>
    <t>Deputy Manager(HR)</t>
  </si>
  <si>
    <t>6341</t>
  </si>
  <si>
    <t>Rajeswar Patra</t>
  </si>
  <si>
    <t>Manager(HR)</t>
  </si>
  <si>
    <t>7166</t>
  </si>
  <si>
    <t>Bathula Venkata Suresh Babu</t>
  </si>
  <si>
    <t>General Manager(HR)</t>
  </si>
  <si>
    <t>9799</t>
  </si>
  <si>
    <t>Rama Krishna Choudhury</t>
  </si>
  <si>
    <t>Sr. Assistant(HR)</t>
  </si>
  <si>
    <t>10577</t>
  </si>
  <si>
    <t>Babloo Soni</t>
  </si>
  <si>
    <t>Deputy Manager(Materials)</t>
  </si>
  <si>
    <t>5665</t>
  </si>
  <si>
    <t>M Jagannath</t>
  </si>
  <si>
    <t>Sr.Manager(Materials)</t>
  </si>
  <si>
    <t>10169</t>
  </si>
  <si>
    <t>Bharat Pujari</t>
  </si>
  <si>
    <t>Assistant(Materials) Gr.I</t>
  </si>
  <si>
    <t>10074</t>
  </si>
  <si>
    <t>Aditya Kumar Sethi</t>
  </si>
  <si>
    <t>Manager (Materials)</t>
  </si>
  <si>
    <t>10444</t>
  </si>
  <si>
    <t>Biswabihari Pradhan</t>
  </si>
  <si>
    <t>Senior Manager (Materials)</t>
  </si>
  <si>
    <t>9557</t>
  </si>
  <si>
    <t>Avinash Kumar</t>
  </si>
  <si>
    <t>Sr. Manager(E&amp;I)</t>
  </si>
  <si>
    <t>5770</t>
  </si>
  <si>
    <t>Ranajit Nayak</t>
  </si>
  <si>
    <t>Asst. General Manager(Mechanical)</t>
  </si>
  <si>
    <t>7701</t>
  </si>
  <si>
    <t>Mohammad Abubakar Siddiq Kamaluddin</t>
  </si>
  <si>
    <t>Deputy General Manager (Mechanical)</t>
  </si>
  <si>
    <t>7708</t>
  </si>
  <si>
    <t>Suresh Babu Konagalla</t>
  </si>
  <si>
    <t>3342</t>
  </si>
  <si>
    <t>Ranjit Kumar Pattnaik</t>
  </si>
  <si>
    <t>Superintendent (Auto-Elect) Gr.I</t>
  </si>
  <si>
    <t>3344</t>
  </si>
  <si>
    <t>Prasanta Kumar Majhi</t>
  </si>
  <si>
    <t>Jr. Engineer (Mechanical) Gr.I</t>
  </si>
  <si>
    <t>10977</t>
  </si>
  <si>
    <t>Arnab Chakraborty</t>
  </si>
  <si>
    <t>Assistant Manager (Mechanical)</t>
  </si>
  <si>
    <t>10992</t>
  </si>
  <si>
    <t>Sumanta Das</t>
  </si>
  <si>
    <t>11000</t>
  </si>
  <si>
    <t>Ratiranjan Pradhan</t>
  </si>
  <si>
    <t>8907</t>
  </si>
  <si>
    <t>Choudhuri Kumar Naik</t>
  </si>
  <si>
    <t>Dy. Manager (Mechanical)</t>
  </si>
  <si>
    <t>8908</t>
  </si>
  <si>
    <t>Mahendra Kumar Behera</t>
  </si>
  <si>
    <t>Deputy Manager (Mechanical)</t>
  </si>
  <si>
    <t>10369</t>
  </si>
  <si>
    <t>Pradeep Kumar Verma</t>
  </si>
  <si>
    <t>6711</t>
  </si>
  <si>
    <t>Jayakrishna Behera</t>
  </si>
  <si>
    <t>Manager (Mechanical)</t>
  </si>
  <si>
    <t>7064</t>
  </si>
  <si>
    <t>Rajat Kumar Naik</t>
  </si>
  <si>
    <t>9769</t>
  </si>
  <si>
    <t>Soumya Ranjan Sahoo</t>
  </si>
  <si>
    <t>Manager(Mechanical)</t>
  </si>
  <si>
    <t>9874</t>
  </si>
  <si>
    <t>Akash Tanty</t>
  </si>
  <si>
    <t>10111</t>
  </si>
  <si>
    <t>Vijendra Kumar</t>
  </si>
  <si>
    <t>9542</t>
  </si>
  <si>
    <t>Sameer Saurabh Singh</t>
  </si>
  <si>
    <t>Sr. Manager(Mechanical)</t>
  </si>
  <si>
    <t>9591</t>
  </si>
  <si>
    <t>Prashant Sinha</t>
  </si>
  <si>
    <t>9479</t>
  </si>
  <si>
    <t>T Gudu Dora</t>
  </si>
  <si>
    <t>Assistant General Manager (Mechanical)</t>
  </si>
  <si>
    <t>8809</t>
  </si>
  <si>
    <t>Rashmiranjan Mohakud</t>
  </si>
  <si>
    <t>6815</t>
  </si>
  <si>
    <t>Rajesh Ranjan Kumar</t>
  </si>
  <si>
    <t>General Manager (Mechanical)</t>
  </si>
  <si>
    <t>11064</t>
  </si>
  <si>
    <t>Sagar Barik</t>
  </si>
  <si>
    <t>GET(Mechanical)</t>
  </si>
  <si>
    <t>11065</t>
  </si>
  <si>
    <t>Rasmiranjan Mohakhud</t>
  </si>
  <si>
    <t>9713</t>
  </si>
  <si>
    <t>Ramaniranjan Nayak</t>
  </si>
  <si>
    <t>Foreman(Mechanical)</t>
  </si>
  <si>
    <t>7978</t>
  </si>
  <si>
    <t>Susanta Kumar Singh</t>
  </si>
  <si>
    <t>Sr. Foreman (Mechancial) Gr.II</t>
  </si>
  <si>
    <t>7256</t>
  </si>
  <si>
    <t>Santosh Kumar Mishra</t>
  </si>
  <si>
    <t>Sr. Foreman (Mechancial) Gr.I</t>
  </si>
  <si>
    <t>7278</t>
  </si>
  <si>
    <t>Susanta Sekhar Padhee</t>
  </si>
  <si>
    <t>Sr.Foreman(Mech) Gr.I</t>
  </si>
  <si>
    <t>7370</t>
  </si>
  <si>
    <t>Pravasa Ranjan Sahoo</t>
  </si>
  <si>
    <t>Sr.Foreman(Mechancial) Gr.I</t>
  </si>
  <si>
    <t>9520</t>
  </si>
  <si>
    <t>Shivam Yadav</t>
  </si>
  <si>
    <t>Senior Manager(Mechanical)</t>
  </si>
  <si>
    <t>9546</t>
  </si>
  <si>
    <t>Alok Kumar Choudhary</t>
  </si>
  <si>
    <t>8885</t>
  </si>
  <si>
    <t>Santosh Kumar Patro</t>
  </si>
  <si>
    <t>Jr. Engineer (Electronics) Gr.II</t>
  </si>
  <si>
    <t>9743</t>
  </si>
  <si>
    <t>Pradyumna Keshari Nahak</t>
  </si>
  <si>
    <t>7572</t>
  </si>
  <si>
    <t>Anoop R Lal</t>
  </si>
  <si>
    <t>10648</t>
  </si>
  <si>
    <t>Amar Kumar Sahu</t>
  </si>
  <si>
    <t>10085</t>
  </si>
  <si>
    <t>Abhinash Behera</t>
  </si>
  <si>
    <t>5736</t>
  </si>
  <si>
    <t>Narendra Kumar Naik</t>
  </si>
  <si>
    <t>6375</t>
  </si>
  <si>
    <t>Rajendra Kumar Brahma</t>
  </si>
  <si>
    <t>General Manager(Mechanical)</t>
  </si>
  <si>
    <t>7589</t>
  </si>
  <si>
    <t>Anand Mohan Prasad</t>
  </si>
  <si>
    <t>9545</t>
  </si>
  <si>
    <t>Anjan Kumar</t>
  </si>
  <si>
    <t>6738</t>
  </si>
  <si>
    <t>Surendra Behera</t>
  </si>
  <si>
    <t>Senior Manager (Mechanical)</t>
  </si>
  <si>
    <t>8182</t>
  </si>
  <si>
    <t>Biswajit Routray</t>
  </si>
  <si>
    <t>10095</t>
  </si>
  <si>
    <t>Muguli Rajesh</t>
  </si>
  <si>
    <t>Asst. Foreman(Mechanical)</t>
  </si>
  <si>
    <t>9602</t>
  </si>
  <si>
    <t>Raj Kumar Ram</t>
  </si>
  <si>
    <t>7253</t>
  </si>
  <si>
    <t>Subhash Chandra Maiti</t>
  </si>
  <si>
    <t>8242</t>
  </si>
  <si>
    <t>Nagardeep Sethy</t>
  </si>
  <si>
    <t>Asst. Manager (Mining)</t>
  </si>
  <si>
    <t>First aid (L)</t>
  </si>
  <si>
    <t>10509</t>
  </si>
  <si>
    <t>Hritish Kumar Mallick</t>
  </si>
  <si>
    <t>Assistant Manager (Mining)</t>
  </si>
  <si>
    <t>6773</t>
  </si>
  <si>
    <t>Sahadeba Patra</t>
  </si>
  <si>
    <t>Deputy Manager(Mines)</t>
  </si>
  <si>
    <t>6933</t>
  </si>
  <si>
    <t>Kamalakanta Rout</t>
  </si>
  <si>
    <t>10663</t>
  </si>
  <si>
    <t>Suraj Sethy</t>
  </si>
  <si>
    <t>Deputy Manager(Mining)</t>
  </si>
  <si>
    <t>10670</t>
  </si>
  <si>
    <t>Rohan Barik</t>
  </si>
  <si>
    <t>10672</t>
  </si>
  <si>
    <t>Rajeshwaran R</t>
  </si>
  <si>
    <t>10673</t>
  </si>
  <si>
    <t>Sudhansu Sekhar Mishra</t>
  </si>
  <si>
    <t>10674</t>
  </si>
  <si>
    <t>Chayan Das</t>
  </si>
  <si>
    <t>10744</t>
  </si>
  <si>
    <t>Gayam Chandra Sekhar Reddy</t>
  </si>
  <si>
    <t>Deputy Manager (Mining)</t>
  </si>
  <si>
    <t>11528</t>
  </si>
  <si>
    <t>Chinmaya Kumar Biswal</t>
  </si>
  <si>
    <t>11531</t>
  </si>
  <si>
    <t>Akash Kumar Nayak</t>
  </si>
  <si>
    <t>11597</t>
  </si>
  <si>
    <t>Janmejaya Sahoo</t>
  </si>
  <si>
    <t>6774</t>
  </si>
  <si>
    <t>Mandapaka Krishna</t>
  </si>
  <si>
    <t>Manager(Mines)</t>
  </si>
  <si>
    <t>7607</t>
  </si>
  <si>
    <t>Chita Ranjana Mishra</t>
  </si>
  <si>
    <t>9647</t>
  </si>
  <si>
    <t>Anshuman Badu</t>
  </si>
  <si>
    <t>9529</t>
  </si>
  <si>
    <t>Chandan Das</t>
  </si>
  <si>
    <t>Sr. Manager (Mines)</t>
  </si>
  <si>
    <t>9649</t>
  </si>
  <si>
    <t>Dashrath Kumar</t>
  </si>
  <si>
    <t>Senior Manager (Mines)</t>
  </si>
  <si>
    <t>9904</t>
  </si>
  <si>
    <t>Abinash Jena</t>
  </si>
  <si>
    <t>Asst. General Manager(Mines</t>
  </si>
  <si>
    <t>8837</t>
  </si>
  <si>
    <t>Bikash Chandra Mohanty</t>
  </si>
  <si>
    <t>Deputy General Manager(Mines)</t>
  </si>
  <si>
    <t>7556</t>
  </si>
  <si>
    <t>Ajaya Choudhury</t>
  </si>
  <si>
    <t>General Manager(Mines)</t>
  </si>
  <si>
    <t>10011</t>
  </si>
  <si>
    <t>Akyana Chaitanya</t>
  </si>
  <si>
    <t>Medical Superintendent</t>
  </si>
  <si>
    <t>MEDICAL</t>
  </si>
  <si>
    <t>10355</t>
  </si>
  <si>
    <t>Sebaka Dehury</t>
  </si>
  <si>
    <t>Jr.Foreman(Mining)</t>
  </si>
  <si>
    <t>10357</t>
  </si>
  <si>
    <t>Sheikh Mohd Mohsin Mohd Hafij</t>
  </si>
  <si>
    <t>9728</t>
  </si>
  <si>
    <t>Gopala Renasia</t>
  </si>
  <si>
    <t>Asst. Foreman (Mining)</t>
  </si>
  <si>
    <t>10375</t>
  </si>
  <si>
    <t>Jitendra Sahoo</t>
  </si>
  <si>
    <t>7130</t>
  </si>
  <si>
    <t>Hrudaya Nanda Patanaik</t>
  </si>
  <si>
    <t>5732</t>
  </si>
  <si>
    <t>Pradeep Kumar Patel</t>
  </si>
  <si>
    <t>Mine Foreman (SG-1)</t>
  </si>
  <si>
    <t>10368</t>
  </si>
  <si>
    <t>Ankit Dubey</t>
  </si>
  <si>
    <t>Mining Mate Gr.II</t>
  </si>
  <si>
    <t>10364</t>
  </si>
  <si>
    <t>Sruti Ranjan Pradhan</t>
  </si>
  <si>
    <t>Mining Mate Gr.I</t>
  </si>
  <si>
    <t>10365</t>
  </si>
  <si>
    <t>Himansu Kumar Sahu</t>
  </si>
  <si>
    <t>10358</t>
  </si>
  <si>
    <t>Pradyumna Giri</t>
  </si>
  <si>
    <t>Sr. Mining Mate Gr.II</t>
  </si>
  <si>
    <t>10360</t>
  </si>
  <si>
    <t>Putal Mahakud</t>
  </si>
  <si>
    <t>10361</t>
  </si>
  <si>
    <t>Ananta Naik</t>
  </si>
  <si>
    <t>10362</t>
  </si>
  <si>
    <t>Charchil Chandra Si</t>
  </si>
  <si>
    <t>9723</t>
  </si>
  <si>
    <t>Pintu Jena</t>
  </si>
  <si>
    <t>Sr. Mining Mate Gr.I</t>
  </si>
  <si>
    <t>9724</t>
  </si>
  <si>
    <t>Snehangsu Bhowmik</t>
  </si>
  <si>
    <t>9725</t>
  </si>
  <si>
    <t>Sabir Kumar Pradhan</t>
  </si>
  <si>
    <t>9726</t>
  </si>
  <si>
    <t>Santanu Kumar Sahoo</t>
  </si>
  <si>
    <t>9727</t>
  </si>
  <si>
    <t>Subhrakanta Sahoo</t>
  </si>
  <si>
    <t>9307</t>
  </si>
  <si>
    <t>Subash Chandra Jena</t>
  </si>
  <si>
    <t>Mine Foreman</t>
  </si>
  <si>
    <t>9308</t>
  </si>
  <si>
    <t>Manas Ranjan Rout</t>
  </si>
  <si>
    <t>7262</t>
  </si>
  <si>
    <t>Santosh Kumar Jena</t>
  </si>
  <si>
    <t>7973</t>
  </si>
  <si>
    <t>Subhas Ojha</t>
  </si>
  <si>
    <t>11322</t>
  </si>
  <si>
    <t>Govinda Bakshi</t>
  </si>
  <si>
    <t>SUPT (JOT)-Mining Mate</t>
  </si>
  <si>
    <t>11324</t>
  </si>
  <si>
    <t>Vicky Nayak</t>
  </si>
  <si>
    <t>8243</t>
  </si>
  <si>
    <t>Padmalochan Mohanta</t>
  </si>
  <si>
    <t>7568</t>
  </si>
  <si>
    <t>Bulu Charan Das</t>
  </si>
  <si>
    <t>10718</t>
  </si>
  <si>
    <t>Mihir Ranjan Bhuyan</t>
  </si>
  <si>
    <t>11516</t>
  </si>
  <si>
    <t>Nirmal Kumar Munda</t>
  </si>
  <si>
    <t>11584</t>
  </si>
  <si>
    <t>Sameet Pradhan</t>
  </si>
  <si>
    <t>6932</t>
  </si>
  <si>
    <t>Ashok Kumar Panda</t>
  </si>
  <si>
    <t>9530</t>
  </si>
  <si>
    <t>P Prithvi</t>
  </si>
  <si>
    <t>9973</t>
  </si>
  <si>
    <t>Rishikesh Bahadur Singh</t>
  </si>
  <si>
    <t>11085</t>
  </si>
  <si>
    <t>Sujit Kumar Dash</t>
  </si>
  <si>
    <t>Deputy General Manager(Mining)</t>
  </si>
  <si>
    <t>10356</t>
  </si>
  <si>
    <t>Sujit Kumar Mohanty</t>
  </si>
  <si>
    <t>10384</t>
  </si>
  <si>
    <t>Govind Chandra Barik</t>
  </si>
  <si>
    <t>10374</t>
  </si>
  <si>
    <t>Krishna Chandra Maharana</t>
  </si>
  <si>
    <t>10370</t>
  </si>
  <si>
    <t>Ganesh Chandra Parida</t>
  </si>
  <si>
    <t>10363</t>
  </si>
  <si>
    <t>Jayakrishna Mohanta</t>
  </si>
  <si>
    <t>10359</t>
  </si>
  <si>
    <t>Subash Chandra Sahoo</t>
  </si>
  <si>
    <t>9495</t>
  </si>
  <si>
    <t>Kshitish Ranjan Behera</t>
  </si>
  <si>
    <t>9528</t>
  </si>
  <si>
    <t>Amit Kumar Saw</t>
  </si>
  <si>
    <t>Senior Manager(Mines)</t>
  </si>
  <si>
    <t>5731</t>
  </si>
  <si>
    <t>Basudev Gajendra</t>
  </si>
  <si>
    <t>10264</t>
  </si>
  <si>
    <t>Subhrajeet Lenka</t>
  </si>
  <si>
    <t>Assistant Manager(Mining)</t>
  </si>
  <si>
    <t>9333</t>
  </si>
  <si>
    <t>Dillip Kumar Sahu</t>
  </si>
  <si>
    <t>Asst. General Manager(Mines)</t>
  </si>
  <si>
    <t>8712</t>
  </si>
  <si>
    <t>Lingaraj Naik</t>
  </si>
  <si>
    <t>Dy. Manager (Systems)</t>
  </si>
  <si>
    <t>SYSTEMS</t>
  </si>
  <si>
    <t>8842</t>
  </si>
  <si>
    <t>M Sivashankar</t>
  </si>
  <si>
    <t>Assistant General Manager(Systems)</t>
  </si>
  <si>
    <t>9489</t>
  </si>
  <si>
    <t>Jijek Sabar</t>
  </si>
  <si>
    <t>9047</t>
  </si>
  <si>
    <t>Deo Kumar Azad</t>
  </si>
  <si>
    <t>6893</t>
  </si>
  <si>
    <t>K Gangadhara Rao</t>
  </si>
  <si>
    <t>Deputy General Manager (E&amp;I)</t>
  </si>
  <si>
    <t>7179</t>
  </si>
  <si>
    <t>Prakash Kumar Dwibedy</t>
  </si>
  <si>
    <t>9058</t>
  </si>
  <si>
    <t>Brahmaji TARK</t>
  </si>
  <si>
    <t>Senior Manager(TQM)</t>
  </si>
  <si>
    <t>Fire Fighting Last Date</t>
  </si>
  <si>
    <t>Fire Fighting Expiry Date</t>
  </si>
  <si>
    <t>Supervisor Last Date</t>
  </si>
  <si>
    <t>Supervisor Expiry Date</t>
  </si>
  <si>
    <t>Machine</t>
  </si>
  <si>
    <t>From Date</t>
  </si>
  <si>
    <t>To Date</t>
  </si>
  <si>
    <t>Man-days</t>
  </si>
  <si>
    <t>MD  N ANSARI</t>
  </si>
  <si>
    <t>In House Ripper -Dozer training</t>
  </si>
  <si>
    <t>H K Sethy</t>
  </si>
  <si>
    <t>R MOHANANDIA</t>
  </si>
  <si>
    <t>J MUDI</t>
  </si>
  <si>
    <t>DHANURJAY NAYAK</t>
  </si>
  <si>
    <t>ARUN PRADHAN</t>
  </si>
  <si>
    <t>SINGURU SAUNTA</t>
  </si>
  <si>
    <t>B GOUR</t>
  </si>
  <si>
    <t>P K SAHOO</t>
  </si>
  <si>
    <t>B K MOHANTA</t>
  </si>
  <si>
    <t>S BARIK</t>
  </si>
  <si>
    <t>B KULDEEP</t>
  </si>
  <si>
    <t>NIRA BHOI</t>
  </si>
  <si>
    <t>S K BENIYA</t>
  </si>
  <si>
    <t>K K KULDIP</t>
  </si>
  <si>
    <t>DIBAKAR JANI</t>
  </si>
  <si>
    <t>I P GAMANGO</t>
  </si>
  <si>
    <t>P NAIK</t>
  </si>
  <si>
    <t>J J PANIGRAHY</t>
  </si>
  <si>
    <t>S S PRADHAN</t>
  </si>
  <si>
    <t>MITHUNA MUDULI</t>
  </si>
  <si>
    <t>P SANTA</t>
  </si>
  <si>
    <t>R K NAYAK</t>
  </si>
  <si>
    <t>D K Singh</t>
  </si>
  <si>
    <t>B Chaudhury</t>
  </si>
  <si>
    <t>Satchidananda Nath</t>
  </si>
  <si>
    <t>nan</t>
  </si>
  <si>
    <t>B NAYAK</t>
  </si>
  <si>
    <t>WHEEL LOADER (WA700 &amp; WA800)</t>
  </si>
  <si>
    <t>K KARNA</t>
  </si>
  <si>
    <t>P PARIDA</t>
  </si>
  <si>
    <t>M R ROUT</t>
  </si>
  <si>
    <t>M K JANI</t>
  </si>
  <si>
    <t>S BHOWMIK</t>
  </si>
  <si>
    <t>PRAFUL KHARA</t>
  </si>
  <si>
    <t>ABHISEKH DUTTA</t>
  </si>
  <si>
    <t>DEEPAK SINGH</t>
  </si>
  <si>
    <t>S K BARIK</t>
  </si>
  <si>
    <t>C2615</t>
  </si>
  <si>
    <t>A Majhi</t>
  </si>
  <si>
    <t>C2621</t>
  </si>
  <si>
    <t>Murali Lamta</t>
  </si>
  <si>
    <t>C153</t>
  </si>
  <si>
    <t>K C Pradhan</t>
  </si>
  <si>
    <t>Krishna Ch Maharana</t>
  </si>
  <si>
    <t xml:space="preserve">Nakul Mali </t>
  </si>
  <si>
    <t>P L Mohanta</t>
  </si>
  <si>
    <t>S N PALO</t>
  </si>
  <si>
    <t>B K KHARA</t>
  </si>
  <si>
    <t>M K CHETTY</t>
  </si>
  <si>
    <t>KANDARPA NAIK</t>
  </si>
  <si>
    <t>PABITRA JANI</t>
  </si>
  <si>
    <t>J A KHAN</t>
  </si>
  <si>
    <t>SEBAKA DEHURY</t>
  </si>
  <si>
    <t>S R PRADHAN</t>
  </si>
  <si>
    <t>S K BHUYAN</t>
  </si>
  <si>
    <t>C2722</t>
  </si>
  <si>
    <t>Trinath Gouda</t>
  </si>
  <si>
    <t>C2751</t>
  </si>
  <si>
    <t>Uttam Turuk</t>
  </si>
  <si>
    <t>C1416</t>
  </si>
  <si>
    <t>Bhima Gouda</t>
  </si>
  <si>
    <t>S N Muduli</t>
  </si>
  <si>
    <t>Hritish K Mallick</t>
  </si>
  <si>
    <t>B C Das</t>
  </si>
  <si>
    <t>T B SABAT</t>
  </si>
  <si>
    <t>ANIMON T</t>
  </si>
  <si>
    <t>H K PATRA</t>
  </si>
  <si>
    <t>SISIR TIRKEY</t>
  </si>
  <si>
    <t>SANTANU SAHOO</t>
  </si>
  <si>
    <t>KRUSHNA MUDULI</t>
  </si>
  <si>
    <t>AMRESH SETHY</t>
  </si>
  <si>
    <t>J KHORA</t>
  </si>
  <si>
    <t>C2618</t>
  </si>
  <si>
    <t>S N Gouda</t>
  </si>
  <si>
    <t>C2893</t>
  </si>
  <si>
    <t>K B Bisoi</t>
  </si>
  <si>
    <t>C3586</t>
  </si>
  <si>
    <t>D Mali</t>
  </si>
  <si>
    <t>Ashok Khora</t>
  </si>
  <si>
    <t>S C Sahoo</t>
  </si>
  <si>
    <t>S S Mishra</t>
  </si>
  <si>
    <t>P U Lakra</t>
  </si>
  <si>
    <t>7570</t>
  </si>
  <si>
    <t>A K Jena</t>
  </si>
  <si>
    <t>A S MEENA</t>
  </si>
  <si>
    <t>S NAIK</t>
  </si>
  <si>
    <t>S BEHERA</t>
  </si>
  <si>
    <t>J CHOUDHURY</t>
  </si>
  <si>
    <t>MUKESH DAS</t>
  </si>
  <si>
    <t>JITENDRA SAHOO</t>
  </si>
  <si>
    <t>T K GOUDA</t>
  </si>
  <si>
    <t>C2702</t>
  </si>
  <si>
    <t>Kuna Kuldip</t>
  </si>
  <si>
    <t>C2616</t>
  </si>
  <si>
    <t>Babula Badnayak</t>
  </si>
  <si>
    <t>C2647</t>
  </si>
  <si>
    <t>Ramesh Patra</t>
  </si>
  <si>
    <t>Govind Barik</t>
  </si>
  <si>
    <t>N D Sethy</t>
  </si>
  <si>
    <t>Mihir Kr Bhuiyan</t>
  </si>
  <si>
    <t>P BACHHAR</t>
  </si>
  <si>
    <t>KIA SANTA</t>
  </si>
  <si>
    <t>R N Tirkey</t>
  </si>
  <si>
    <t>R N SETHY</t>
  </si>
  <si>
    <t>JHUNA TURUK</t>
  </si>
  <si>
    <t>S K Hikaka</t>
  </si>
  <si>
    <t>S R MOHANTY</t>
  </si>
  <si>
    <t>D K KULDIP</t>
  </si>
  <si>
    <t>AJIT BACHHAR</t>
  </si>
  <si>
    <t>PUTAL MAHAKUD</t>
  </si>
  <si>
    <t>C2750</t>
  </si>
  <si>
    <t>B K Kaushliya</t>
  </si>
  <si>
    <t>C</t>
  </si>
  <si>
    <t>S K Pangi</t>
  </si>
  <si>
    <t>C2708</t>
  </si>
  <si>
    <t>Pitabas Gouda</t>
  </si>
  <si>
    <t>Sujit Mohanty</t>
  </si>
  <si>
    <t>G C S Reddy</t>
  </si>
  <si>
    <t>C R Mishra</t>
  </si>
  <si>
    <t>S patra</t>
  </si>
  <si>
    <t>P K PATEL</t>
  </si>
  <si>
    <t>H N PATNAIK</t>
  </si>
  <si>
    <t>C S NAYAK</t>
  </si>
  <si>
    <t>P M SAHOO</t>
  </si>
  <si>
    <t>GOPALA RENASIA</t>
  </si>
  <si>
    <t>S K SWAIN</t>
  </si>
  <si>
    <t>R BADNAIK</t>
  </si>
  <si>
    <t>M M Chhati</t>
  </si>
  <si>
    <t>T K Beniya</t>
  </si>
  <si>
    <t>Deepak Kumar</t>
  </si>
  <si>
    <t>A N Khosla</t>
  </si>
  <si>
    <t>P TAKIRI</t>
  </si>
  <si>
    <t>S K JENA</t>
  </si>
  <si>
    <t>B K NAYAK</t>
  </si>
  <si>
    <t>A K PAIK</t>
  </si>
  <si>
    <t>Y PANGI</t>
  </si>
  <si>
    <t>PINTU JENA</t>
  </si>
  <si>
    <t>PRASANT KHORA</t>
  </si>
  <si>
    <t>A K NAYAK</t>
  </si>
  <si>
    <t>M HANSDAH</t>
  </si>
  <si>
    <t>ANANTA NAIK</t>
  </si>
  <si>
    <t>K R MALI</t>
  </si>
  <si>
    <t>C2895</t>
  </si>
  <si>
    <t>Gobardhan Gouda</t>
  </si>
  <si>
    <t>C2706</t>
  </si>
  <si>
    <t>Debendra Nayak</t>
  </si>
  <si>
    <t>C2896</t>
  </si>
  <si>
    <t>J Bisoi</t>
  </si>
  <si>
    <t>Ankit Singh</t>
  </si>
  <si>
    <t>J K Mohanta</t>
  </si>
  <si>
    <t>SUBASH OJHA</t>
  </si>
  <si>
    <t>S C JENA</t>
  </si>
  <si>
    <t>DULABHA NAG</t>
  </si>
  <si>
    <t>9843</t>
  </si>
  <si>
    <t>TRINATH MALI</t>
  </si>
  <si>
    <t>JAGDISH RAJU</t>
  </si>
  <si>
    <t>SURESH  HANTAL</t>
  </si>
  <si>
    <t>CHARCHILL CH. SI</t>
  </si>
  <si>
    <t>C2747</t>
  </si>
  <si>
    <t>H K Sahu</t>
  </si>
  <si>
    <t>C3585</t>
  </si>
  <si>
    <t>H C Nayak</t>
  </si>
  <si>
    <t>C2779</t>
  </si>
  <si>
    <t>H K Bisoi</t>
  </si>
  <si>
    <t>Sadan Gouda</t>
  </si>
  <si>
    <t>B Choudhry</t>
  </si>
  <si>
    <t>S K Mallick</t>
  </si>
  <si>
    <t>S K PANDA</t>
  </si>
  <si>
    <t>SABIR PRADHAN</t>
  </si>
  <si>
    <t>D K RAJU</t>
  </si>
  <si>
    <t>LABINA JANI</t>
  </si>
  <si>
    <t>Seikh Md. Moshin Mohd Hafij</t>
  </si>
  <si>
    <t>PRADYUMNA GIRI</t>
  </si>
  <si>
    <t>ROHIT LAKRA</t>
  </si>
  <si>
    <t>C2619</t>
  </si>
  <si>
    <t>K Saunta</t>
  </si>
  <si>
    <t>Laxman Pd</t>
  </si>
  <si>
    <t>C2897</t>
  </si>
  <si>
    <t>G K Behera</t>
  </si>
  <si>
    <t>C3578</t>
  </si>
  <si>
    <t>D Choudhury</t>
  </si>
  <si>
    <t>G Badnayak</t>
  </si>
  <si>
    <t>Ganesh parida</t>
  </si>
  <si>
    <t>S'KANTA SAHOO</t>
  </si>
  <si>
    <t>ABHIRAM MALI</t>
  </si>
  <si>
    <t>M S NAG</t>
  </si>
  <si>
    <t>9826</t>
  </si>
  <si>
    <t>LAXMAN GOUDA</t>
  </si>
  <si>
    <t>R GHADEI</t>
  </si>
  <si>
    <t>H K SAHU</t>
  </si>
  <si>
    <t>ANKIT DUBEY</t>
  </si>
  <si>
    <t>L Saunta</t>
  </si>
  <si>
    <t>J Katkariya</t>
  </si>
  <si>
    <t>Harish Dami</t>
  </si>
  <si>
    <t>M Kuldip</t>
  </si>
  <si>
    <t>Tankadhar Turuk</t>
  </si>
  <si>
    <t>S K Raju</t>
  </si>
  <si>
    <t>10668</t>
  </si>
  <si>
    <t>Jitendra Kumar Sahoo</t>
  </si>
  <si>
    <t>WS (773E) Training</t>
  </si>
  <si>
    <t>Sisir Tirkey</t>
  </si>
  <si>
    <t>P U LAKRA</t>
  </si>
  <si>
    <t>R Badnayak</t>
  </si>
  <si>
    <t>Type of Training</t>
  </si>
  <si>
    <t>Topic</t>
  </si>
  <si>
    <t>Location</t>
  </si>
  <si>
    <t>Total Days</t>
  </si>
  <si>
    <t>Manoj kumar Jani</t>
  </si>
  <si>
    <t>SERVICE TRAINING</t>
  </si>
  <si>
    <t>BH100 AND BH60ML</t>
  </si>
  <si>
    <t>Mysuru</t>
  </si>
  <si>
    <t>M K Cheety</t>
  </si>
  <si>
    <t>Prashant Khora</t>
  </si>
  <si>
    <t>Ashok kumar Nayak</t>
  </si>
  <si>
    <t>Praful Khora</t>
  </si>
  <si>
    <t>M S nag</t>
  </si>
  <si>
    <t>Bhajman kuldip</t>
  </si>
  <si>
    <t>9821</t>
  </si>
  <si>
    <t>Manu Mali</t>
  </si>
  <si>
    <t>MYSURU</t>
  </si>
  <si>
    <t>S S Pradhan</t>
  </si>
  <si>
    <t>Singru Santa</t>
  </si>
  <si>
    <t>Laxman Gouda</t>
  </si>
  <si>
    <t>S K mallick</t>
  </si>
  <si>
    <t>S  R Mohanty</t>
  </si>
  <si>
    <t>Abhishek Dutta</t>
  </si>
  <si>
    <t>Dullabh Nag</t>
  </si>
  <si>
    <t>Gopal Renasia</t>
  </si>
  <si>
    <t>WI Training</t>
  </si>
  <si>
    <t>Orientation Training Course on workmen Inspector</t>
  </si>
  <si>
    <t>Dhanbad</t>
  </si>
  <si>
    <t>S K Swain</t>
  </si>
  <si>
    <t>Suresh kumar Hantal</t>
  </si>
  <si>
    <t>Amresh Kr Sethy</t>
  </si>
  <si>
    <t>Ajit Kr. Bachhar</t>
  </si>
  <si>
    <t>M Hansdah</t>
  </si>
  <si>
    <t>Sameer Kumar Beniya</t>
  </si>
  <si>
    <t xml:space="preserve">Ripper- Dozer Komatsu </t>
  </si>
  <si>
    <t>KANCHIPURAM</t>
  </si>
  <si>
    <t>Binayaka Gour</t>
  </si>
  <si>
    <t>Md. Naushad Ansari</t>
  </si>
  <si>
    <t>A S Meena</t>
  </si>
  <si>
    <t>WHEEL LOADER (WA700-3 &amp; WA800 -3)</t>
  </si>
  <si>
    <t>J A Khan</t>
  </si>
  <si>
    <t>S K Barik</t>
  </si>
  <si>
    <t xml:space="preserve">ANIMON T </t>
  </si>
  <si>
    <t>I P Gomango</t>
  </si>
  <si>
    <t>K K Kuldip</t>
  </si>
  <si>
    <t>D K Kuldip</t>
  </si>
  <si>
    <t>P K Sahoo</t>
  </si>
  <si>
    <t>Singruli</t>
  </si>
  <si>
    <t>S Barik</t>
  </si>
  <si>
    <t>P Santa</t>
  </si>
  <si>
    <t>R K Nayak</t>
  </si>
  <si>
    <t>9038</t>
  </si>
  <si>
    <t>M R Rout</t>
  </si>
  <si>
    <t>Supervisor Statutory Training</t>
  </si>
  <si>
    <t>The OSHWC-2020</t>
  </si>
  <si>
    <t>Kolkata</t>
  </si>
  <si>
    <t>The OSHWC-2021</t>
  </si>
  <si>
    <t>S K Mohanty</t>
  </si>
  <si>
    <t>The OSHWC-2022</t>
  </si>
  <si>
    <t>Training Type</t>
  </si>
  <si>
    <t>Total Eligible</t>
  </si>
  <si>
    <t>Total Valid</t>
  </si>
  <si>
    <t>Total Due / Pending</t>
  </si>
  <si>
    <t>Compliance %</t>
  </si>
  <si>
    <t>Refresher</t>
  </si>
  <si>
    <t>First Aid</t>
  </si>
  <si>
    <t>Supervisor</t>
  </si>
  <si>
    <t>Refresher Due Year</t>
  </si>
  <si>
    <t>Employee Count</t>
  </si>
  <si>
    <t>No Data / Pending</t>
  </si>
  <si>
    <t>Sl.No</t>
  </si>
  <si>
    <t>Pl.No.</t>
  </si>
  <si>
    <t>Name (Shri/Smt)</t>
  </si>
  <si>
    <t>Desgn.</t>
  </si>
  <si>
    <t>Dept.</t>
  </si>
  <si>
    <t>A-Form No</t>
  </si>
  <si>
    <t xml:space="preserve">Date of test </t>
  </si>
  <si>
    <t>DGM(Mech)</t>
  </si>
  <si>
    <t>SMCP</t>
  </si>
  <si>
    <t>01.07.2026</t>
  </si>
  <si>
    <t>Tech</t>
  </si>
  <si>
    <t>Mech(SM)</t>
  </si>
  <si>
    <t>Chargeman</t>
  </si>
  <si>
    <t>MechLMV</t>
  </si>
  <si>
    <t>Mgr (HRD)</t>
  </si>
  <si>
    <t xml:space="preserve">HRD </t>
  </si>
  <si>
    <t>02.07.2026</t>
  </si>
  <si>
    <t>Operator</t>
  </si>
  <si>
    <t>Mng (CN)</t>
  </si>
  <si>
    <t>SSW</t>
  </si>
  <si>
    <t>Canteen</t>
  </si>
  <si>
    <t>03.07.2026</t>
  </si>
  <si>
    <t>04.07.2026</t>
  </si>
  <si>
    <t>DGM (Elect)</t>
  </si>
  <si>
    <t xml:space="preserve">Elect </t>
  </si>
  <si>
    <t>06.07.2026</t>
  </si>
  <si>
    <t>Mgr (Mech)</t>
  </si>
  <si>
    <t>Drill</t>
  </si>
  <si>
    <t>Sr. Foreman</t>
  </si>
  <si>
    <t>Dumper</t>
  </si>
  <si>
    <t>07.06.2026</t>
  </si>
  <si>
    <t xml:space="preserve">SSW </t>
  </si>
  <si>
    <t>Sr.Manager</t>
  </si>
  <si>
    <t>Mech (AE)</t>
  </si>
  <si>
    <t>08.07.2026</t>
  </si>
  <si>
    <t>Mgr(Elect)</t>
  </si>
  <si>
    <t>Electrical</t>
  </si>
  <si>
    <t>11.07.2026</t>
  </si>
  <si>
    <t>Supdt.(Mining)</t>
  </si>
  <si>
    <t>T Pool</t>
  </si>
  <si>
    <t>13.07.2026</t>
  </si>
  <si>
    <t>09.07.2026</t>
  </si>
  <si>
    <t>Admn</t>
  </si>
  <si>
    <t>27.07.2026</t>
  </si>
  <si>
    <t>D V V S Aditya</t>
  </si>
  <si>
    <t>Mgr. (Elect.)</t>
  </si>
  <si>
    <t>14.07.2026</t>
  </si>
  <si>
    <t>Mgr(Mech)</t>
  </si>
  <si>
    <t>C&amp;C</t>
  </si>
  <si>
    <t>15.07.2026</t>
  </si>
  <si>
    <t>Sr.Mgr(Mech)</t>
  </si>
  <si>
    <t>23.07.2026</t>
  </si>
  <si>
    <t>Sr.Mng Mate</t>
  </si>
  <si>
    <t>Mech(WL)</t>
  </si>
  <si>
    <t>17.07.2026</t>
  </si>
  <si>
    <t>AM(Min)</t>
  </si>
  <si>
    <t>Mng (SB)</t>
  </si>
  <si>
    <t>SB-39</t>
  </si>
  <si>
    <t>Supdt.</t>
  </si>
  <si>
    <t>Workshop</t>
  </si>
  <si>
    <t>18.07.2026</t>
  </si>
  <si>
    <t>Jr.FM (Mining)</t>
  </si>
  <si>
    <t>Technician</t>
  </si>
  <si>
    <t>25.07.2026</t>
  </si>
  <si>
    <t>Sr. FM (Elect)</t>
  </si>
  <si>
    <t>Samir Ku Shekhar Deo</t>
  </si>
  <si>
    <t>Dy Mgr(Elect)</t>
  </si>
  <si>
    <r>
      <rPr>
        <sz val="12"/>
        <rFont val="Times New Roman"/>
      </rPr>
      <t>AM(</t>
    </r>
    <r>
      <rPr>
        <sz val="12"/>
        <color rgb="FF000000"/>
        <rFont val="Times New Roman"/>
      </rPr>
      <t>Inst.</t>
    </r>
    <r>
      <rPr>
        <sz val="12"/>
        <rFont val="Times New Roman"/>
      </rPr>
      <t>)</t>
    </r>
  </si>
  <si>
    <t>Electical</t>
  </si>
  <si>
    <t>30.07.2026</t>
  </si>
  <si>
    <t>Shrabana Ku Mohanta</t>
  </si>
  <si>
    <t>24.07.2026</t>
  </si>
  <si>
    <t>SB-47</t>
  </si>
  <si>
    <t>Material(CS)</t>
  </si>
  <si>
    <t>29.07.2026</t>
  </si>
  <si>
    <t>Ganesh Ch Parida</t>
  </si>
  <si>
    <t xml:space="preserve">Mng Mate </t>
  </si>
  <si>
    <t>34(SB)</t>
  </si>
  <si>
    <t>01.06.2026</t>
  </si>
  <si>
    <t>Sr.Tech</t>
  </si>
  <si>
    <t>WSpl</t>
  </si>
  <si>
    <t>24.06.2026</t>
  </si>
  <si>
    <t>Geo Asst</t>
  </si>
  <si>
    <t>Geology</t>
  </si>
  <si>
    <t>02.06.2026</t>
  </si>
  <si>
    <t>03.06.2026</t>
  </si>
  <si>
    <t>05.06.2026</t>
  </si>
  <si>
    <t>Tech.(Mech)</t>
  </si>
  <si>
    <t>Admn.</t>
  </si>
  <si>
    <t>06.06.2026</t>
  </si>
  <si>
    <t>Mast. VO</t>
  </si>
  <si>
    <t>T- Pool</t>
  </si>
  <si>
    <t>08.06.2026</t>
  </si>
  <si>
    <t>09.06.2026</t>
  </si>
  <si>
    <t>Tech.</t>
  </si>
  <si>
    <t>Mech-Doz.</t>
  </si>
  <si>
    <t>11.06.2026</t>
  </si>
  <si>
    <t>Pradyumna K Nahak</t>
  </si>
  <si>
    <t>Mgr.(Mech)</t>
  </si>
  <si>
    <t>Mech(Doz)</t>
  </si>
  <si>
    <t>26.06.2026</t>
  </si>
  <si>
    <t>20.06.2026</t>
  </si>
  <si>
    <t>18.06.2026</t>
  </si>
  <si>
    <t>19.06.2026</t>
  </si>
  <si>
    <t>AM (Min)</t>
  </si>
  <si>
    <t>17.06.2026</t>
  </si>
  <si>
    <t>Tech.(Fitter)</t>
  </si>
  <si>
    <t>Tech.(Electro.)</t>
  </si>
  <si>
    <t>22.06.2026</t>
  </si>
  <si>
    <t>DGM(Mines)</t>
  </si>
  <si>
    <t>43(SB)</t>
  </si>
  <si>
    <t>Subha Ranjan patra</t>
  </si>
  <si>
    <t>27.06.2026</t>
  </si>
  <si>
    <t>Rajendra ku Moharana</t>
  </si>
  <si>
    <t>10.06.2026</t>
  </si>
  <si>
    <t>Mech (Dump)</t>
  </si>
  <si>
    <t>13.06.2026</t>
  </si>
  <si>
    <t xml:space="preserve">Sr.Asst(TO) </t>
  </si>
  <si>
    <t>Time Off</t>
  </si>
  <si>
    <t>02.05.2026</t>
  </si>
  <si>
    <t>FM (Mech)</t>
  </si>
  <si>
    <t>Sr. Supt.Stff</t>
  </si>
  <si>
    <t>04.05.2026</t>
  </si>
  <si>
    <t>DyMgr.(Secrt)</t>
  </si>
  <si>
    <t>GGM Off</t>
  </si>
  <si>
    <t>05.05.2026</t>
  </si>
  <si>
    <t>DGM (Mech)</t>
  </si>
  <si>
    <t>T&amp;C</t>
  </si>
  <si>
    <t>06.05.2026</t>
  </si>
  <si>
    <t>GM (Elect)</t>
  </si>
  <si>
    <t>Hort</t>
  </si>
  <si>
    <t>07.05.2026</t>
  </si>
  <si>
    <t>D K Pattanayak</t>
  </si>
  <si>
    <t>08.05.2026</t>
  </si>
  <si>
    <t>Jatin Kumar Pradhan</t>
  </si>
  <si>
    <t>AGM(Finance)</t>
  </si>
  <si>
    <t>Finance</t>
  </si>
  <si>
    <t xml:space="preserve"> Sr.Mgr(Elect)</t>
  </si>
  <si>
    <t>Electrical (SB)</t>
  </si>
  <si>
    <t>42(SB)</t>
  </si>
  <si>
    <t>09.05.2026</t>
  </si>
  <si>
    <t>25.05.2026</t>
  </si>
  <si>
    <t>Parsu Jani</t>
  </si>
  <si>
    <t>Supdt (Veh.Optr).</t>
  </si>
  <si>
    <t>20.05.2026</t>
  </si>
  <si>
    <t>Subas Chandra Jena</t>
  </si>
  <si>
    <t>Mining</t>
  </si>
  <si>
    <t>22.05.2026</t>
  </si>
  <si>
    <t>21.05.2026</t>
  </si>
  <si>
    <t>Tech(Mech)</t>
  </si>
  <si>
    <t>Matls(C S)</t>
  </si>
  <si>
    <t>18.05.2026</t>
  </si>
  <si>
    <t>23.05.2026</t>
  </si>
  <si>
    <t>Sr.Asst.</t>
  </si>
  <si>
    <t>16.05.2026</t>
  </si>
  <si>
    <t>Mgr. (Elect)</t>
  </si>
  <si>
    <t>Sr. SSW</t>
  </si>
  <si>
    <t>19.05.2026</t>
  </si>
  <si>
    <t>Sr.Mgr.</t>
  </si>
  <si>
    <t>Dy.Mgr.(Mech)</t>
  </si>
  <si>
    <t>Dy. Mgr (Fin)</t>
  </si>
  <si>
    <t>26.05.2026</t>
  </si>
  <si>
    <t>Mgr.(Elect.)</t>
  </si>
  <si>
    <t>27.05.2026</t>
  </si>
  <si>
    <t>29.05.2026</t>
  </si>
  <si>
    <t>Sr. Mgr (Mines)</t>
  </si>
  <si>
    <t>Dy. Mgr (Mech)</t>
  </si>
  <si>
    <t>Sr. Mng Mate</t>
  </si>
  <si>
    <t>SB-14</t>
  </si>
  <si>
    <t>01.04.2026</t>
  </si>
  <si>
    <t>C&amp;C-SMCP</t>
  </si>
  <si>
    <t>03.04.2026</t>
  </si>
  <si>
    <t>Monoj K Choudhury</t>
  </si>
  <si>
    <t>24.04.2026</t>
  </si>
  <si>
    <t>AGM(Mines)</t>
  </si>
  <si>
    <t>04.04.2026</t>
  </si>
  <si>
    <t>Survey</t>
  </si>
  <si>
    <t>22.04.2026</t>
  </si>
  <si>
    <t>06.04.2026</t>
  </si>
  <si>
    <t>07.04.2026</t>
  </si>
  <si>
    <t>Sr. Veh Opt</t>
  </si>
  <si>
    <t>Mgr.(Mines)</t>
  </si>
  <si>
    <t>08.04.2026</t>
  </si>
  <si>
    <t>09.04.2026</t>
  </si>
  <si>
    <t>Iswar Pr Gamango</t>
  </si>
  <si>
    <t>Chargeman.</t>
  </si>
  <si>
    <t>10.04.2026</t>
  </si>
  <si>
    <t>Debanshu Ranjan Behera</t>
  </si>
  <si>
    <t>DGM (Systems)</t>
  </si>
  <si>
    <t>Systems</t>
  </si>
  <si>
    <t>25.04.2026</t>
  </si>
  <si>
    <t>11.04.2026</t>
  </si>
  <si>
    <t>AGM-Mech</t>
  </si>
  <si>
    <t>Mech(LMV)</t>
  </si>
  <si>
    <t>18.04.2026</t>
  </si>
  <si>
    <t>20.04.2026</t>
  </si>
  <si>
    <t>21.04.2026</t>
  </si>
  <si>
    <t>T&amp;S</t>
  </si>
  <si>
    <t>Sr.Optr.</t>
  </si>
  <si>
    <t>20(SB)</t>
  </si>
  <si>
    <t>28.04.2026</t>
  </si>
  <si>
    <t>Mng -CN</t>
  </si>
  <si>
    <t>Amit Kumar Parida</t>
  </si>
  <si>
    <t>AGM</t>
  </si>
  <si>
    <t>Sr.Mgr(Mines)</t>
  </si>
  <si>
    <t>02.03.2026</t>
  </si>
  <si>
    <t>Dozer</t>
  </si>
  <si>
    <t>03.03.2026</t>
  </si>
  <si>
    <t>AGM(Mech)</t>
  </si>
  <si>
    <t>Mech LMV</t>
  </si>
  <si>
    <t>05.03.2026</t>
  </si>
  <si>
    <t>AGM(Geo)</t>
  </si>
  <si>
    <t>06.03.2026</t>
  </si>
  <si>
    <t>07.03.2026</t>
  </si>
  <si>
    <t>09.03.2026</t>
  </si>
  <si>
    <t>Dy.Mgr</t>
  </si>
  <si>
    <t>10.03.2026</t>
  </si>
  <si>
    <t xml:space="preserve">Ch. man </t>
  </si>
  <si>
    <t>Sr.Foreman</t>
  </si>
  <si>
    <t>11.03.2026</t>
  </si>
  <si>
    <t>Sr Tech</t>
  </si>
  <si>
    <t>Hrudaya N Patanaik</t>
  </si>
  <si>
    <t>Sr Foreman</t>
  </si>
  <si>
    <t>12.03.2026</t>
  </si>
  <si>
    <t>13.03.2026</t>
  </si>
  <si>
    <t xml:space="preserve">Sr.Dresser Cum FA </t>
  </si>
  <si>
    <t>FIRST AID</t>
  </si>
  <si>
    <t>Mgr(Geology)</t>
  </si>
  <si>
    <t>14.03.2026</t>
  </si>
  <si>
    <t>Sr.Dresser Cum FA</t>
  </si>
  <si>
    <t>16.03.2026</t>
  </si>
  <si>
    <t>17.03.2026</t>
  </si>
  <si>
    <t>18.03.2026</t>
  </si>
  <si>
    <t>19.03.2026</t>
  </si>
  <si>
    <t>20.03.2026</t>
  </si>
  <si>
    <t>Mgr (Elect)</t>
  </si>
  <si>
    <t>21.03.2026</t>
  </si>
  <si>
    <t>23.03.2026</t>
  </si>
  <si>
    <t>24.03.2026</t>
  </si>
  <si>
    <t>Md Abubakar Siddiq Kamal</t>
  </si>
  <si>
    <t>Mechanical</t>
  </si>
  <si>
    <t>27.03.2026</t>
  </si>
  <si>
    <t>Mng(CN)</t>
  </si>
  <si>
    <t>25.03.2026</t>
  </si>
  <si>
    <t>Naresh Kumar Bag</t>
  </si>
  <si>
    <t>Subhas  Ojha</t>
  </si>
  <si>
    <t>02.02.2026</t>
  </si>
  <si>
    <t>P Ganesh Kokate</t>
  </si>
  <si>
    <t>AM(Elect)</t>
  </si>
  <si>
    <t>03.02.2026</t>
  </si>
  <si>
    <t>Sr.Mgr</t>
  </si>
  <si>
    <t>04.02.2026</t>
  </si>
  <si>
    <t>Mech-WL</t>
  </si>
  <si>
    <t>05.02.2025</t>
  </si>
  <si>
    <t>05.02.2026</t>
  </si>
  <si>
    <t>SB(50)</t>
  </si>
  <si>
    <t>06.02.2026</t>
  </si>
  <si>
    <t>A M (Min)</t>
  </si>
  <si>
    <t>07.02.2026</t>
  </si>
  <si>
    <t>HEMM-LMV</t>
  </si>
  <si>
    <t>Mgr-Mines</t>
  </si>
  <si>
    <t>09.02.2026</t>
  </si>
  <si>
    <t>10.02.2026</t>
  </si>
  <si>
    <t>DM(Mines)</t>
  </si>
  <si>
    <t>11.02.2026</t>
  </si>
  <si>
    <t>12.02.2026</t>
  </si>
  <si>
    <t>Rama krishna Choudhury</t>
  </si>
  <si>
    <t>Sr.Asst-Hrd</t>
  </si>
  <si>
    <t>13.02.2026</t>
  </si>
  <si>
    <t>Mech-AE</t>
  </si>
  <si>
    <t>14.02.2026</t>
  </si>
  <si>
    <t>16.02.2026</t>
  </si>
  <si>
    <t>17.02.2026</t>
  </si>
  <si>
    <t>Asst-Matls</t>
  </si>
  <si>
    <t>Jr. Foreman</t>
  </si>
  <si>
    <t>36 (SB)</t>
  </si>
  <si>
    <t>17.12.2025</t>
  </si>
  <si>
    <t>Kishore Kumar Sethi</t>
  </si>
  <si>
    <t>Jr. Officer</t>
  </si>
  <si>
    <t>Mech Off</t>
  </si>
  <si>
    <t>18.02.2026</t>
  </si>
  <si>
    <t>Asst.Mgr-Admn.</t>
  </si>
  <si>
    <t>19.02.2026</t>
  </si>
  <si>
    <t>20.02.2026</t>
  </si>
  <si>
    <t>21.02.2026</t>
  </si>
  <si>
    <t>Purusuttam Mohanta</t>
  </si>
  <si>
    <t>CGM-Mines</t>
  </si>
  <si>
    <t>CGM- office</t>
  </si>
  <si>
    <t>Prasanna Kumar Behera</t>
  </si>
  <si>
    <t>Ex Asst</t>
  </si>
  <si>
    <t>23.02.2026</t>
  </si>
  <si>
    <t>24.02.2026</t>
  </si>
  <si>
    <t>DGM -Mech</t>
  </si>
  <si>
    <t>CRG</t>
  </si>
  <si>
    <t>25.02.2026</t>
  </si>
  <si>
    <t>Workshop-HEMM</t>
  </si>
  <si>
    <t>Sr. Mgr (Geo)</t>
  </si>
  <si>
    <t>Env</t>
  </si>
  <si>
    <t>05.01.2026</t>
  </si>
  <si>
    <t>Dy Mgr(HR)</t>
  </si>
  <si>
    <t>HRD</t>
  </si>
  <si>
    <t>06.01.2026</t>
  </si>
  <si>
    <t>Mech -AE</t>
  </si>
  <si>
    <t>23.01.2026</t>
  </si>
  <si>
    <t>Sr.Optr</t>
  </si>
  <si>
    <t>08.01.2026</t>
  </si>
  <si>
    <t>Mgr(Geo)</t>
  </si>
  <si>
    <t>09.01.2026</t>
  </si>
  <si>
    <t>Mine FM</t>
  </si>
  <si>
    <t>10.01.2026</t>
  </si>
  <si>
    <t>GM-Mines</t>
  </si>
  <si>
    <t>12.01.2026</t>
  </si>
  <si>
    <t>Mng -(SB)</t>
  </si>
  <si>
    <t>13.01.2026</t>
  </si>
  <si>
    <t>22.01.2026</t>
  </si>
  <si>
    <t>14.01.2026</t>
  </si>
  <si>
    <t>21.01.2025</t>
  </si>
  <si>
    <t>Dy.Mgr.Sys</t>
  </si>
  <si>
    <t>System</t>
  </si>
  <si>
    <t>15.01.2026</t>
  </si>
  <si>
    <t>16.01.2026</t>
  </si>
  <si>
    <t>17.01.2026</t>
  </si>
  <si>
    <t>Sr. Mgr.(Mines)</t>
  </si>
  <si>
    <t>Mng -SB</t>
  </si>
  <si>
    <t>28(SB)</t>
  </si>
  <si>
    <t>Dy.Mgr.(Mines)</t>
  </si>
  <si>
    <t>23(SB)</t>
  </si>
  <si>
    <t>19.01.2026</t>
  </si>
  <si>
    <t>20.01.2026</t>
  </si>
  <si>
    <t>21.01.2026</t>
  </si>
  <si>
    <t>03.12.2025</t>
  </si>
  <si>
    <t>Subash Chandra Mishra</t>
  </si>
  <si>
    <t>GM(Matl)</t>
  </si>
  <si>
    <t>Matls (P)</t>
  </si>
  <si>
    <t>20.12.2025</t>
  </si>
  <si>
    <t>09.12.2025</t>
  </si>
  <si>
    <t>23.12.2025</t>
  </si>
  <si>
    <t>10.12.2025</t>
  </si>
  <si>
    <t>Sanjaya Ku Mohanty</t>
  </si>
  <si>
    <t>Manager</t>
  </si>
  <si>
    <t>13.12.2025</t>
  </si>
  <si>
    <t>11.12.2025</t>
  </si>
  <si>
    <t>12.12.2025</t>
  </si>
  <si>
    <t>AM(MECH)</t>
  </si>
  <si>
    <t>16.12.2025</t>
  </si>
  <si>
    <t>Sr. Mgr(TQM)</t>
  </si>
  <si>
    <t>TQM</t>
  </si>
  <si>
    <t>31.12.2025</t>
  </si>
  <si>
    <t>15.12.2025</t>
  </si>
  <si>
    <t>DM(Elect)</t>
  </si>
  <si>
    <t>Sr Mgr (Matl)</t>
  </si>
  <si>
    <t>Matl (Pur)</t>
  </si>
  <si>
    <t>19.12.2025</t>
  </si>
  <si>
    <t>Mech(Exc)</t>
  </si>
  <si>
    <t>Jr.Engineer</t>
  </si>
  <si>
    <t>Mech (Exv)</t>
  </si>
  <si>
    <t>24.12.2025</t>
  </si>
  <si>
    <t>Asst Mgr(Mech)</t>
  </si>
  <si>
    <t>Dy. Mgr.</t>
  </si>
  <si>
    <t>Bathula V Suresh Babu</t>
  </si>
  <si>
    <t>GM(HR)</t>
  </si>
  <si>
    <t>HRD &amp; Admin</t>
  </si>
  <si>
    <t>30.12.2025</t>
  </si>
  <si>
    <t xml:space="preserve">Sr.Mng Mate </t>
  </si>
  <si>
    <t>32(SB)</t>
  </si>
  <si>
    <t>01.11.2025</t>
  </si>
  <si>
    <t>Asst. Foreman</t>
  </si>
  <si>
    <t>Sr.Mgr-Mech</t>
  </si>
  <si>
    <t>03.11.2025</t>
  </si>
  <si>
    <t>Krishna Chaqndra Maharana</t>
  </si>
  <si>
    <t>35(SB)</t>
  </si>
  <si>
    <t>25.11.2025</t>
  </si>
  <si>
    <t>06.11.2025</t>
  </si>
  <si>
    <t>Mech-WS</t>
  </si>
  <si>
    <t>07.11.2025</t>
  </si>
  <si>
    <t xml:space="preserve">Chargeman </t>
  </si>
  <si>
    <t>Mng Mate</t>
  </si>
  <si>
    <t>08.11.2025</t>
  </si>
  <si>
    <t>Sr Veh Optr</t>
  </si>
  <si>
    <t>T-Pool</t>
  </si>
  <si>
    <t>12.11.2025</t>
  </si>
  <si>
    <t>Dy Mgr(Matls)</t>
  </si>
  <si>
    <t>11.11.2025</t>
  </si>
  <si>
    <t>14.11.2025</t>
  </si>
  <si>
    <t>Asst Mgr(Elect)</t>
  </si>
  <si>
    <t>15.11.2025</t>
  </si>
  <si>
    <t>31(SB)</t>
  </si>
  <si>
    <t>17.11.2025</t>
  </si>
  <si>
    <t>19.11.2025</t>
  </si>
  <si>
    <t>20.11.2025</t>
  </si>
  <si>
    <t>Dy Mgr(Min)</t>
  </si>
  <si>
    <t>22.11.2025</t>
  </si>
  <si>
    <t>24.11.2025</t>
  </si>
  <si>
    <t>04.11.2025</t>
  </si>
  <si>
    <t>SB-48</t>
  </si>
  <si>
    <t>Dy Mgr(Fin.)</t>
  </si>
  <si>
    <t>Aditya Chowdhury</t>
  </si>
  <si>
    <t>Dy Mgr(Geo.)</t>
  </si>
  <si>
    <t>04.10.2025</t>
  </si>
  <si>
    <t>Asst.Foreman</t>
  </si>
  <si>
    <t>06.10.2025</t>
  </si>
  <si>
    <t>07.10.2025</t>
  </si>
  <si>
    <t>Civil</t>
  </si>
  <si>
    <t>08.10.2025</t>
  </si>
  <si>
    <t>Asst.FM</t>
  </si>
  <si>
    <t>Matls-C S</t>
  </si>
  <si>
    <t>09.10.2025</t>
  </si>
  <si>
    <t>10.10.2025</t>
  </si>
  <si>
    <t>11.10.2025</t>
  </si>
  <si>
    <t>Sup. Staff</t>
  </si>
  <si>
    <t xml:space="preserve">Dy. Mgr </t>
  </si>
  <si>
    <t>Horticulture</t>
  </si>
  <si>
    <t>13.10.2025</t>
  </si>
  <si>
    <t>14.10.2025</t>
  </si>
  <si>
    <t>Sr.SSW</t>
  </si>
  <si>
    <t>15.10.2025</t>
  </si>
  <si>
    <t>16.10.2025</t>
  </si>
  <si>
    <t>17.10.2025</t>
  </si>
  <si>
    <t>18.10.2025</t>
  </si>
  <si>
    <t>20.10.2025</t>
  </si>
  <si>
    <t>33(SB)</t>
  </si>
  <si>
    <t>23.10.2025</t>
  </si>
  <si>
    <t>Supdt</t>
  </si>
  <si>
    <t>37 (SB)</t>
  </si>
  <si>
    <t>01.09.2025</t>
  </si>
  <si>
    <t>02.09.2025</t>
  </si>
  <si>
    <t>DM (Mech)</t>
  </si>
  <si>
    <t>Mech(Dump)</t>
  </si>
  <si>
    <t>03.09.2025</t>
  </si>
  <si>
    <t xml:space="preserve"> Sr.Tech-Survey</t>
  </si>
  <si>
    <t>04.09.2025</t>
  </si>
  <si>
    <t xml:space="preserve">Rabindra Badanayak </t>
  </si>
  <si>
    <t>05.09.2025</t>
  </si>
  <si>
    <t>06.09.2025</t>
  </si>
  <si>
    <t>09.09.2025</t>
  </si>
  <si>
    <t>10.09.2025</t>
  </si>
  <si>
    <t>11.09.2025</t>
  </si>
  <si>
    <t>12.09.2025</t>
  </si>
  <si>
    <t>13.09.2025</t>
  </si>
  <si>
    <t>Mech-LMV</t>
  </si>
  <si>
    <t>15.09.2025</t>
  </si>
  <si>
    <t>16.09.2025</t>
  </si>
  <si>
    <t>Ch.Man</t>
  </si>
  <si>
    <t>18.09.2025</t>
  </si>
  <si>
    <t>19.09.2025</t>
  </si>
  <si>
    <t>20.09.2025</t>
  </si>
  <si>
    <t>Sr. Tech</t>
  </si>
  <si>
    <t>22.09.2025</t>
  </si>
  <si>
    <t xml:space="preserve">Sr.SSW </t>
  </si>
  <si>
    <t>23.09.2025</t>
  </si>
  <si>
    <t>Sr. Mgr.</t>
  </si>
  <si>
    <t>24.09.2025</t>
  </si>
  <si>
    <t>Sr.Mgr(Matls)</t>
  </si>
  <si>
    <t>25.09.2025</t>
  </si>
  <si>
    <t>Sk Md Mohsin Mohd Hafij</t>
  </si>
  <si>
    <t>Jr Foreman</t>
  </si>
  <si>
    <t>26.09.2025</t>
  </si>
  <si>
    <t>Optr-HEMM</t>
  </si>
  <si>
    <t>27.09.2025</t>
  </si>
  <si>
    <t>30.09.2025</t>
  </si>
  <si>
    <t>01.08.2025</t>
  </si>
  <si>
    <t>Survey Asst.</t>
  </si>
  <si>
    <t>Asst. Mgr.</t>
  </si>
  <si>
    <t>02.08.2025</t>
  </si>
  <si>
    <t xml:space="preserve"> Mech-WSpl</t>
  </si>
  <si>
    <t>04.08.2025</t>
  </si>
  <si>
    <t xml:space="preserve">Supdt. </t>
  </si>
  <si>
    <t>05.08.2025</t>
  </si>
  <si>
    <t>Sr.Mgr. (Mech)</t>
  </si>
  <si>
    <t>06.08.2025</t>
  </si>
  <si>
    <t>Rajendra K Brahma</t>
  </si>
  <si>
    <t>GM</t>
  </si>
  <si>
    <t>Mech-HEMM</t>
  </si>
  <si>
    <t>07.08.2025</t>
  </si>
  <si>
    <t>Mech-Excv</t>
  </si>
  <si>
    <t>09.08.2025</t>
  </si>
  <si>
    <t>Tankadhar Khinbudi</t>
  </si>
  <si>
    <t>08.08.2025</t>
  </si>
  <si>
    <t>Sup Staff</t>
  </si>
  <si>
    <t>Mech-Dmp</t>
  </si>
  <si>
    <t>11.08.2025</t>
  </si>
  <si>
    <t>Mech-Exc</t>
  </si>
  <si>
    <t>12.08.2025</t>
  </si>
  <si>
    <t>13.08.2025</t>
  </si>
  <si>
    <t>TOT</t>
  </si>
  <si>
    <t>14.08.2025</t>
  </si>
  <si>
    <t>Mech-Dump</t>
  </si>
  <si>
    <t>Kasaiah Yalaka</t>
  </si>
  <si>
    <t>23.08.2025</t>
  </si>
  <si>
    <t>16.08.2025</t>
  </si>
  <si>
    <t>18.08.2025</t>
  </si>
  <si>
    <t>19.08.2025</t>
  </si>
  <si>
    <t>Mech-Dozer</t>
  </si>
  <si>
    <t>20.08.2025</t>
  </si>
  <si>
    <t>21.08.2025</t>
  </si>
  <si>
    <t>Vikash Kumar Singh</t>
  </si>
  <si>
    <t>Elect-SMCP</t>
  </si>
  <si>
    <t>22.08.2025</t>
  </si>
  <si>
    <t>29.08.2025</t>
  </si>
  <si>
    <t>Subhrajeet lenka</t>
  </si>
  <si>
    <t>Asst. Mgr</t>
  </si>
  <si>
    <t>Kailash Chandra Sethy</t>
  </si>
  <si>
    <t>Sr. DFA</t>
  </si>
  <si>
    <t>First-aid</t>
  </si>
  <si>
    <t>25.08.2025</t>
  </si>
  <si>
    <t>Sr. Tech.</t>
  </si>
  <si>
    <t>Dheerendra Ku Pattanayak</t>
  </si>
  <si>
    <t>01.07.2025</t>
  </si>
  <si>
    <t>Bhabani Pr Mohanty</t>
  </si>
  <si>
    <t>02.07.2025</t>
  </si>
  <si>
    <t>03.07.2024</t>
  </si>
  <si>
    <t>03.07.2025</t>
  </si>
  <si>
    <t>04.07.2025</t>
  </si>
  <si>
    <t>05.07.2025</t>
  </si>
  <si>
    <t>07.07.2025</t>
  </si>
  <si>
    <t>08.07.2025</t>
  </si>
  <si>
    <t>09.07.2025</t>
  </si>
  <si>
    <t>10.07.2025</t>
  </si>
  <si>
    <t>11.07.2025</t>
  </si>
  <si>
    <t>12.07.2025</t>
  </si>
  <si>
    <t>14.07.2025</t>
  </si>
  <si>
    <t>Sr.Mgr. (Elect)</t>
  </si>
  <si>
    <t>15.07.2025</t>
  </si>
  <si>
    <t>16.07.2025</t>
  </si>
  <si>
    <t>Koda Takri</t>
  </si>
  <si>
    <t>Supdt (Veh.Optr)</t>
  </si>
  <si>
    <t>17.07.2025</t>
  </si>
  <si>
    <t>18.07.2025</t>
  </si>
  <si>
    <t>19.07.2025</t>
  </si>
  <si>
    <t>21.07.2025</t>
  </si>
  <si>
    <t>22.07.2025</t>
  </si>
  <si>
    <r>
      <rPr>
        <sz val="14"/>
        <rFont val="Times New Roman"/>
      </rPr>
      <t>AM(</t>
    </r>
    <r>
      <rPr>
        <sz val="14"/>
        <color rgb="FF000000"/>
        <rFont val="Times New Roman"/>
      </rPr>
      <t>Inst.</t>
    </r>
    <r>
      <rPr>
        <sz val="14"/>
        <rFont val="Times New Roman"/>
      </rPr>
      <t>)</t>
    </r>
  </si>
  <si>
    <t>23.07.2025</t>
  </si>
  <si>
    <t>T R Arumugam</t>
  </si>
  <si>
    <t>24.07.2025</t>
  </si>
  <si>
    <t>26.07.2025</t>
  </si>
  <si>
    <t>28.07.2025</t>
  </si>
  <si>
    <t>29.07.2025</t>
  </si>
  <si>
    <t>30.07.2025</t>
  </si>
  <si>
    <t>Raju Sahu</t>
  </si>
  <si>
    <t>31.07.2025</t>
  </si>
  <si>
    <t>02.06.2025</t>
  </si>
  <si>
    <t>03.06.2025</t>
  </si>
  <si>
    <t>04.06.2025</t>
  </si>
  <si>
    <t>05.06.2025</t>
  </si>
  <si>
    <t>06.06.2025</t>
  </si>
  <si>
    <t>09.06.2025</t>
  </si>
  <si>
    <t>10.06.2025</t>
  </si>
  <si>
    <t>11.06.2025</t>
  </si>
  <si>
    <t>12.06.2025</t>
  </si>
  <si>
    <t>13.06.2025</t>
  </si>
  <si>
    <t>Mech-C&amp;C</t>
  </si>
  <si>
    <t>14.06.2025</t>
  </si>
  <si>
    <t>16.06.2025</t>
  </si>
  <si>
    <t>17.06.2025</t>
  </si>
  <si>
    <t>19.06.2025</t>
  </si>
  <si>
    <t>20.06.2025</t>
  </si>
  <si>
    <t>DM(Mech)</t>
  </si>
  <si>
    <t>21.06.2025</t>
  </si>
  <si>
    <t>Sukadev Pattayat</t>
  </si>
  <si>
    <t>23.06.2025</t>
  </si>
  <si>
    <t>Pilli Syamasundar</t>
  </si>
  <si>
    <t>GET (Civil)</t>
  </si>
  <si>
    <t>24.06.2025</t>
  </si>
  <si>
    <t>Mgr.</t>
  </si>
  <si>
    <t>25.06.2025</t>
  </si>
  <si>
    <t>JOT (Fitter)</t>
  </si>
  <si>
    <t>26.06.2025</t>
  </si>
  <si>
    <t>Tech (Eltx)</t>
  </si>
  <si>
    <t>28.06.2025</t>
  </si>
  <si>
    <t>AM(Secrt)</t>
  </si>
  <si>
    <t>30.06.2025</t>
  </si>
  <si>
    <t>02.05.2025</t>
  </si>
  <si>
    <t>Ch man</t>
  </si>
  <si>
    <t>Supt.Stff</t>
  </si>
  <si>
    <t>03.05.2025</t>
  </si>
  <si>
    <t>Balaram Tej Peyyala</t>
  </si>
  <si>
    <t>Sr. Mgr(Sys)</t>
  </si>
  <si>
    <t>Madan Mohan Mishra</t>
  </si>
  <si>
    <t>GM-Finance</t>
  </si>
  <si>
    <t>05.04.2025</t>
  </si>
  <si>
    <t>Siba Pradhan</t>
  </si>
  <si>
    <t>05.05.2025</t>
  </si>
  <si>
    <t>06.05.2025</t>
  </si>
  <si>
    <t>07.05.2025</t>
  </si>
  <si>
    <t>08.05.2025</t>
  </si>
  <si>
    <t>09.05.2025</t>
  </si>
  <si>
    <t>10.05.2025</t>
  </si>
  <si>
    <t>Rajendra Ku Maharana</t>
  </si>
  <si>
    <t>12.05.2025</t>
  </si>
  <si>
    <t>13.05.2025</t>
  </si>
  <si>
    <t>14.05.2025</t>
  </si>
  <si>
    <t>Sr.tech</t>
  </si>
  <si>
    <t xml:space="preserve">Asst(TO) </t>
  </si>
  <si>
    <t>16.05.2025</t>
  </si>
  <si>
    <t>Ast.FM (Mch)</t>
  </si>
  <si>
    <t>17.05.2025</t>
  </si>
  <si>
    <t>DM (Elect)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</si>
  <si>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</si>
  <si>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</si>
  <si>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</si>
  <si>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</si>
  <si>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</si>
  <si>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</si>
  <si>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</si>
  <si>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</si>
  <si>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46(SB)</t>
  </si>
  <si>
    <t>27.05.2025</t>
  </si>
  <si>
    <t>28.04.2025</t>
  </si>
  <si>
    <t>29.05.2025</t>
  </si>
  <si>
    <t>30.05.2025</t>
  </si>
  <si>
    <t>Saroj Kumar Mishra</t>
  </si>
  <si>
    <t>31.05.2025</t>
  </si>
  <si>
    <t>Assistant</t>
  </si>
  <si>
    <t>01.04.2025</t>
  </si>
  <si>
    <t>SM(Mines)</t>
  </si>
  <si>
    <t>02.04.2025</t>
  </si>
  <si>
    <t>03.04.2025</t>
  </si>
  <si>
    <t>30.04.2025</t>
  </si>
  <si>
    <t>04.04.2025</t>
  </si>
  <si>
    <t>07.04.2025</t>
  </si>
  <si>
    <t>Sr.Mgr (Min)</t>
  </si>
  <si>
    <t>09.04.2025</t>
  </si>
  <si>
    <t>Umakanta Senapati</t>
  </si>
  <si>
    <t>Sr.Mgr(Finance)</t>
  </si>
  <si>
    <t>10.04.2025</t>
  </si>
  <si>
    <t>11.04.2025</t>
  </si>
  <si>
    <t>12.04.2025</t>
  </si>
  <si>
    <t>15.04.2025</t>
  </si>
  <si>
    <t>16.04.2025</t>
  </si>
  <si>
    <t>17.04.2025</t>
  </si>
  <si>
    <t>18.04.2025</t>
  </si>
  <si>
    <t>19.04.2025</t>
  </si>
  <si>
    <t>Mgr(Mines)</t>
  </si>
  <si>
    <t>21.04.2025</t>
  </si>
  <si>
    <t>22.04.2025</t>
  </si>
  <si>
    <t>24.04.2025</t>
  </si>
  <si>
    <t>Asst.Mgr</t>
  </si>
  <si>
    <t>29.04.2025</t>
  </si>
  <si>
    <t>Bidipta Ch Ray</t>
  </si>
  <si>
    <t>GGM (O&amp;M)</t>
  </si>
  <si>
    <t>Env.</t>
  </si>
  <si>
    <t>Pramod Ku Maharana</t>
  </si>
  <si>
    <t>DGM(Civil)</t>
  </si>
  <si>
    <t>08.04.2025</t>
  </si>
  <si>
    <t>Vedula Surendra Sai Anand</t>
  </si>
  <si>
    <t>GGM (Mines)</t>
  </si>
  <si>
    <t>GGM (Mines Off)</t>
  </si>
  <si>
    <t>06.03.2025</t>
  </si>
  <si>
    <t>Praveen Misal</t>
  </si>
  <si>
    <t>Dy. Mgr (H&amp;A)</t>
  </si>
  <si>
    <t>01.03.2025</t>
  </si>
  <si>
    <t>03.03.2025</t>
  </si>
  <si>
    <t>Manoranjan Panda</t>
  </si>
  <si>
    <t>GM(Mech)</t>
  </si>
  <si>
    <t>04.03.2025</t>
  </si>
  <si>
    <t>05.03.2025</t>
  </si>
  <si>
    <t>07.03.2025</t>
  </si>
  <si>
    <t>08.03.2025</t>
  </si>
  <si>
    <t>10.03.2025</t>
  </si>
  <si>
    <t>11.03.2025</t>
  </si>
  <si>
    <t>12.03.2025</t>
  </si>
  <si>
    <t>14.03.2025</t>
  </si>
  <si>
    <t>Achyutananda Nayak</t>
  </si>
  <si>
    <t>13.03.2025</t>
  </si>
  <si>
    <t>Pravakar Pradhan</t>
  </si>
  <si>
    <t>17.03.2025</t>
  </si>
  <si>
    <t>18.03.2025</t>
  </si>
  <si>
    <t>19.03.2025</t>
  </si>
  <si>
    <t>20.03.2025</t>
  </si>
  <si>
    <t>21.03.2025</t>
  </si>
  <si>
    <t>22.03.2025</t>
  </si>
  <si>
    <t>Sr.Mgr(Geo)</t>
  </si>
  <si>
    <t>25.03.2025</t>
  </si>
  <si>
    <t>26.03.2025</t>
  </si>
  <si>
    <t>27.03.2025</t>
  </si>
  <si>
    <t>28.03.2025</t>
  </si>
  <si>
    <t>AGM-Mines</t>
  </si>
  <si>
    <t>29.03.2025</t>
  </si>
  <si>
    <t>GGM Mines-II</t>
  </si>
  <si>
    <t>02.02.2025</t>
  </si>
  <si>
    <t>Sunil Kumar Mohapatra</t>
  </si>
  <si>
    <t>GM-H&amp;A</t>
  </si>
  <si>
    <t>01.02.2025</t>
  </si>
  <si>
    <t>03.02.2025</t>
  </si>
  <si>
    <t>14.02.2025</t>
  </si>
  <si>
    <t>DM-Matls</t>
  </si>
  <si>
    <t>Materials</t>
  </si>
  <si>
    <t>04.02.2025</t>
  </si>
  <si>
    <t>06.02.2025</t>
  </si>
  <si>
    <t>07.02.2025</t>
  </si>
  <si>
    <t>13.02.2025</t>
  </si>
  <si>
    <t>08.02.2025</t>
  </si>
  <si>
    <t>Satyabrata Dash</t>
  </si>
  <si>
    <t>Fin. &amp; Acc.</t>
  </si>
  <si>
    <t>10.02.2025</t>
  </si>
  <si>
    <t>11.02.2025</t>
  </si>
  <si>
    <t>12.02.2025</t>
  </si>
  <si>
    <t>Asst-Hrd</t>
  </si>
  <si>
    <t>DM-Mines</t>
  </si>
  <si>
    <t>27.02.2025</t>
  </si>
  <si>
    <t>15.02.2025</t>
  </si>
  <si>
    <t>17.02.2025</t>
  </si>
  <si>
    <t>18.02.2025</t>
  </si>
  <si>
    <t>AM-Admn.</t>
  </si>
  <si>
    <t>21.02.2025</t>
  </si>
  <si>
    <t>22.02.2025</t>
  </si>
  <si>
    <t>24.02.2025</t>
  </si>
  <si>
    <t>28.02.2025</t>
  </si>
  <si>
    <t>AGM -Mech</t>
  </si>
  <si>
    <t>26.02.2025</t>
  </si>
  <si>
    <t>Rakesh Ranjan Sahoo</t>
  </si>
  <si>
    <t>Mgr(Mktg)</t>
  </si>
  <si>
    <t>Matls-Pur.</t>
  </si>
  <si>
    <t>20.02.2025</t>
  </si>
  <si>
    <t>Kuntal Anand</t>
  </si>
  <si>
    <t>GM(IE)</t>
  </si>
  <si>
    <t>IE</t>
  </si>
  <si>
    <t xml:space="preserve"> Biswa Ranjan Das</t>
  </si>
  <si>
    <t>GM (MECH)</t>
  </si>
  <si>
    <t>Mech-Office</t>
  </si>
  <si>
    <t>03.01.2025</t>
  </si>
  <si>
    <t>Abhaya Kumar Jena</t>
  </si>
  <si>
    <t>04.01.2025</t>
  </si>
  <si>
    <t>R J Vinchurkar</t>
  </si>
  <si>
    <t>06.01.2025</t>
  </si>
  <si>
    <t>07.01.2025</t>
  </si>
  <si>
    <t>D M(Mines)</t>
  </si>
  <si>
    <t>08.01.2025</t>
  </si>
  <si>
    <t>09.01.2025</t>
  </si>
  <si>
    <t>Mech -LMV</t>
  </si>
  <si>
    <t>10.01.2025</t>
  </si>
  <si>
    <t>11.01.2025</t>
  </si>
  <si>
    <t>Rajiv Talwar</t>
  </si>
  <si>
    <t>GM(Elect.)</t>
  </si>
  <si>
    <t>13.01.2025</t>
  </si>
  <si>
    <t>14.01.2025</t>
  </si>
  <si>
    <t>15.01.2025</t>
  </si>
  <si>
    <t>16.01.2025</t>
  </si>
  <si>
    <t>18.01.2025</t>
  </si>
  <si>
    <t>20.01.2025</t>
  </si>
  <si>
    <t>22.01.2025</t>
  </si>
  <si>
    <t>25.01.2025</t>
  </si>
  <si>
    <t>27.01.2025</t>
  </si>
  <si>
    <t>28.01.2025</t>
  </si>
  <si>
    <t>29.01.2025</t>
  </si>
  <si>
    <t>AM-Sys</t>
  </si>
  <si>
    <t>30.01.2025</t>
  </si>
  <si>
    <t>First Aid (M)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</si>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</sst>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dd\/mm\/yyyy"/>
  </numFmts>
  <fonts count="25">
    <font>
      <sz val="11"/>
      <name val="Calibri"/>
      <scheme val="minor"/>
    </font>
    <font>
      <b/>
      <u/>
      <sz val="12"/>
      <color rgb="FF000000"/>
      <name val="Calibri"/>
    </font>
    <font>
      <b/>
      <sz val="11"/>
      <color rgb="FF000000"/>
      <name val="Calibri"/>
    </font>
    <font>
      <sz val="11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sz val="14"/>
      <name val="Times New Roman"/>
    </font>
    <font>
      <sz val="12"/>
      <name val="Times New Roman"/>
    </font>
    <font>
      <sz val="12"/>
      <color rgb="FF00B0F0"/>
      <name val="Times New Roman"/>
    </font>
    <font>
      <b/>
      <sz val="12"/>
      <name val="Times New Roman"/>
      <family val="1"/>
    </font>
    <font>
      <b/>
      <sz val="12"/>
      <name val="Times New Roman"/>
    </font>
    <font>
      <sz val="14"/>
      <name val="Times New Roman"/>
    </font>
    <font>
      <sz val="14"/>
      <color rgb="FF00B0F0"/>
      <name val="Times New Roman"/>
    </font>
    <font>
      <sz val="12"/>
      <color rgb="FF00B050"/>
      <name val="Times New Roman"/>
    </font>
    <font>
      <sz val="12"/>
      <color rgb="FF000000"/>
      <name val="Times New Roman"/>
    </font>
    <font>
      <sz val="13"/>
      <name val="Times New Roman"/>
    </font>
    <font>
      <i/>
      <sz val="14"/>
      <name val="Times New Roman"/>
    </font>
    <font>
      <sz val="11"/>
      <name val="Times New Roman"/>
    </font>
    <font>
      <sz val="14"/>
      <name val="Calibri"/>
    </font>
    <font>
      <sz val="14"/>
      <color rgb="FF000000"/>
      <name val="Times New Roman"/>
    </font>
    <font>
      <sz val="14"/>
      <color rgb="FFFFC000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0504D"/>
        <bgColor rgb="FFC0504D"/>
      </patternFill>
    </fill>
    <fill>
      <patternFill patternType="solid">
        <fgColor rgb="FFF79646"/>
        <bgColor rgb="FFF79646"/>
      </patternFill>
    </fill>
    <fill>
      <patternFill patternType="solid">
        <fgColor rgb="FF8064A2"/>
        <bgColor rgb="FF8064A2"/>
      </patternFill>
    </fill>
    <fill>
      <patternFill patternType="solid">
        <fgColor rgb="FF31859B"/>
        <bgColor rgb="FF31859B"/>
      </patternFill>
    </fill>
    <fill>
      <patternFill patternType="solid">
        <fgColor rgb="FFE36C09"/>
        <bgColor rgb="FFE36C09"/>
      </patternFill>
    </fill>
    <fill>
      <patternFill patternType="solid">
        <fgColor rgb="FF00B050"/>
        <bgColor rgb="FF00B050"/>
      </patternFill>
    </fill>
    <fill>
      <patternFill patternType="solid">
        <fgColor rgb="FF95B3D7"/>
        <bgColor rgb="FF95B3D7"/>
      </patternFill>
    </fill>
    <fill>
      <patternFill patternType="solid">
        <fgColor rgb="FFD99694"/>
        <bgColor rgb="FFD99694"/>
      </patternFill>
    </fill>
    <fill>
      <patternFill patternType="solid">
        <fgColor rgb="FFFCD5B4"/>
        <bgColor rgb="FFFCD5B4"/>
      </patternFill>
    </fill>
    <fill>
      <patternFill patternType="solid">
        <fgColor rgb="FFB2A2C7"/>
        <bgColor rgb="FFB2A2C7"/>
      </patternFill>
    </fill>
    <fill>
      <patternFill patternType="solid">
        <fgColor rgb="FF93CDDD"/>
        <bgColor rgb="FF93CDDD"/>
      </patternFill>
    </fill>
    <fill>
      <patternFill patternType="solid">
        <fgColor rgb="FF53D382"/>
        <bgColor rgb="FF53D382"/>
      </patternFill>
    </fill>
    <fill>
      <patternFill patternType="solid">
        <fgColor rgb="FFFF5050"/>
        <bgColor indexed="64"/>
      </patternFill>
    </fill>
  </fills>
  <borders count="15">
    <border>
      <left/>
      <right/>
      <top/>
      <bottom/>
      <diagonal/>
    </border>
    <border>
      <left style="thick">
        <color rgb="FF95B3D7"/>
      </left>
      <right style="thick">
        <color rgb="FF243F60"/>
      </right>
      <top style="thick">
        <color rgb="FF95B3D7"/>
      </top>
      <bottom style="thick">
        <color rgb="FF243F60"/>
      </bottom>
      <diagonal/>
    </border>
    <border>
      <left style="thick">
        <color rgb="FFD99694"/>
      </left>
      <right style="thick">
        <color rgb="FF632523"/>
      </right>
      <top style="thick">
        <color rgb="FFD99694"/>
      </top>
      <bottom style="thick">
        <color rgb="FF632523"/>
      </bottom>
      <diagonal/>
    </border>
    <border>
      <left style="thick">
        <color rgb="FFFCD5B4"/>
      </left>
      <right style="thick">
        <color rgb="FF974806"/>
      </right>
      <top style="thick">
        <color rgb="FFFCD5B4"/>
      </top>
      <bottom style="thick">
        <color rgb="FF974806"/>
      </bottom>
      <diagonal/>
    </border>
    <border>
      <left style="thick">
        <color rgb="FFB2A2C7"/>
      </left>
      <right style="thick">
        <color rgb="FF3F3151"/>
      </right>
      <top style="thick">
        <color rgb="FFB2A2C7"/>
      </top>
      <bottom style="thick">
        <color rgb="FF3F3151"/>
      </bottom>
      <diagonal/>
    </border>
    <border>
      <left style="thick">
        <color rgb="FF93CDDD"/>
      </left>
      <right style="thick">
        <color rgb="FF215968"/>
      </right>
      <top style="thick">
        <color rgb="FF93CDDD"/>
      </top>
      <bottom style="thick">
        <color rgb="FF215968"/>
      </bottom>
      <diagonal/>
    </border>
    <border>
      <left style="thick">
        <color rgb="FF53D382"/>
      </left>
      <right style="thick">
        <color rgb="FF005929"/>
      </right>
      <top style="thick">
        <color rgb="FF53D382"/>
      </top>
      <bottom style="thick">
        <color rgb="FF0059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9" borderId="7" xfId="0" applyFont="1" applyFill="1" applyBorder="1"/>
    <xf numFmtId="164" fontId="3" fillId="0" borderId="0" xfId="0" applyNumberFormat="1" applyFont="1"/>
    <xf numFmtId="0" fontId="4" fillId="3" borderId="2" xfId="0" applyFont="1" applyFill="1" applyBorder="1" applyAlignment="1">
      <alignment horizontal="center" vertical="center"/>
    </xf>
    <xf numFmtId="0" fontId="2" fillId="10" borderId="7" xfId="0" applyFont="1" applyFill="1" applyBorder="1"/>
    <xf numFmtId="0" fontId="5" fillId="4" borderId="3" xfId="0" applyFont="1" applyFill="1" applyBorder="1" applyAlignment="1">
      <alignment horizontal="center" vertical="center"/>
    </xf>
    <xf numFmtId="0" fontId="2" fillId="11" borderId="7" xfId="0" applyFont="1" applyFill="1" applyBorder="1"/>
    <xf numFmtId="0" fontId="6" fillId="5" borderId="4" xfId="0" applyFont="1" applyFill="1" applyBorder="1" applyAlignment="1">
      <alignment horizontal="center" vertical="center"/>
    </xf>
    <xf numFmtId="0" fontId="2" fillId="12" borderId="7" xfId="0" applyFont="1" applyFill="1" applyBorder="1"/>
    <xf numFmtId="0" fontId="7" fillId="6" borderId="5" xfId="0" applyFont="1" applyFill="1" applyBorder="1" applyAlignment="1">
      <alignment horizontal="center" vertical="center"/>
    </xf>
    <xf numFmtId="0" fontId="2" fillId="13" borderId="7" xfId="0" applyFont="1" applyFill="1" applyBorder="1"/>
    <xf numFmtId="0" fontId="8" fillId="7" borderId="3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2" fillId="14" borderId="7" xfId="0" applyFont="1" applyFill="1" applyBorder="1"/>
    <xf numFmtId="0" fontId="3" fillId="0" borderId="7" xfId="0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0" fillId="15" borderId="0" xfId="0" applyFill="1"/>
    <xf numFmtId="0" fontId="10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/>
    </xf>
    <xf numFmtId="0" fontId="12" fillId="0" borderId="7" xfId="0" applyFont="1" applyBorder="1"/>
    <xf numFmtId="166" fontId="13" fillId="0" borderId="7" xfId="0" applyNumberFormat="1" applyFont="1" applyBorder="1" applyAlignment="1">
      <alignment horizontal="center" vertical="center"/>
    </xf>
    <xf numFmtId="166" fontId="14" fillId="0" borderId="7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6" fillId="0" borderId="7" xfId="0" applyFont="1" applyBorder="1" applyAlignment="1">
      <alignment horizontal="left"/>
    </xf>
    <xf numFmtId="0" fontId="17" fillId="0" borderId="7" xfId="0" applyFont="1" applyBorder="1" applyAlignment="1">
      <alignment horizontal="center"/>
    </xf>
    <xf numFmtId="0" fontId="17" fillId="0" borderId="7" xfId="0" applyFont="1" applyBorder="1"/>
    <xf numFmtId="0" fontId="12" fillId="0" borderId="7" xfId="0" applyFont="1" applyBorder="1" applyAlignment="1">
      <alignment horizontal="left"/>
    </xf>
    <xf numFmtId="0" fontId="11" fillId="0" borderId="7" xfId="0" applyFont="1" applyBorder="1"/>
    <xf numFmtId="0" fontId="11" fillId="0" borderId="9" xfId="0" applyFont="1" applyBorder="1" applyAlignment="1">
      <alignment horizontal="center"/>
    </xf>
    <xf numFmtId="0" fontId="11" fillId="0" borderId="9" xfId="0" applyFont="1" applyBorder="1"/>
    <xf numFmtId="0" fontId="11" fillId="0" borderId="0" xfId="0" applyFont="1" applyAlignment="1">
      <alignment horizontal="center"/>
    </xf>
    <xf numFmtId="0" fontId="11" fillId="0" borderId="7" xfId="0" applyFont="1" applyBorder="1" applyAlignment="1">
      <alignment horizontal="left"/>
    </xf>
    <xf numFmtId="0" fontId="19" fillId="0" borderId="7" xfId="0" applyFont="1" applyBorder="1" applyAlignment="1">
      <alignment horizontal="center"/>
    </xf>
    <xf numFmtId="0" fontId="19" fillId="0" borderId="7" xfId="0" applyFont="1" applyBorder="1" applyAlignment="1">
      <alignment horizontal="left"/>
    </xf>
    <xf numFmtId="0" fontId="19" fillId="0" borderId="7" xfId="0" applyFont="1" applyBorder="1"/>
    <xf numFmtId="0" fontId="15" fillId="0" borderId="7" xfId="0" applyFont="1" applyBorder="1" applyAlignment="1">
      <alignment horizontal="left"/>
    </xf>
    <xf numFmtId="0" fontId="20" fillId="0" borderId="7" xfId="0" applyFont="1" applyBorder="1" applyAlignment="1">
      <alignment horizontal="center"/>
    </xf>
    <xf numFmtId="0" fontId="15" fillId="0" borderId="7" xfId="0" applyFont="1" applyBorder="1"/>
    <xf numFmtId="0" fontId="14" fillId="0" borderId="7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21" fillId="0" borderId="7" xfId="0" applyFont="1" applyBorder="1" applyAlignment="1">
      <alignment horizontal="center"/>
    </xf>
    <xf numFmtId="0" fontId="21" fillId="0" borderId="7" xfId="0" applyFont="1" applyBorder="1" applyAlignment="1">
      <alignment horizontal="left"/>
    </xf>
    <xf numFmtId="0" fontId="21" fillId="0" borderId="9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7" xfId="0" applyFont="1" applyBorder="1" applyAlignment="1">
      <alignment horizontal="left" vertical="center"/>
    </xf>
    <xf numFmtId="0" fontId="21" fillId="0" borderId="11" xfId="0" applyFont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7" xfId="0" applyFont="1" applyBorder="1" applyAlignment="1">
      <alignment horizontal="center" wrapText="1"/>
    </xf>
    <xf numFmtId="0" fontId="15" fillId="0" borderId="8" xfId="0" applyFont="1" applyBorder="1" applyAlignment="1">
      <alignment horizontal="center"/>
    </xf>
    <xf numFmtId="0" fontId="15" fillId="0" borderId="0" xfId="0" applyFont="1"/>
    <xf numFmtId="0" fontId="15" fillId="0" borderId="13" xfId="0" applyFont="1" applyBorder="1" applyAlignment="1">
      <alignment horizontal="center"/>
    </xf>
    <xf numFmtId="0" fontId="15" fillId="0" borderId="7" xfId="0" applyFont="1" applyBorder="1" applyAlignment="1">
      <alignment vertical="top" wrapText="1"/>
    </xf>
    <xf numFmtId="0" fontId="22" fillId="0" borderId="7" xfId="0" applyFont="1" applyBorder="1" applyAlignment="1">
      <alignment horizontal="center"/>
    </xf>
    <xf numFmtId="0" fontId="22" fillId="0" borderId="7" xfId="0" applyFont="1" applyBorder="1"/>
    <xf numFmtId="0" fontId="15" fillId="0" borderId="14" xfId="0" applyFont="1" applyBorder="1" applyAlignment="1">
      <alignment horizontal="center"/>
    </xf>
    <xf numFmtId="0" fontId="24" fillId="0" borderId="7" xfId="0" applyFont="1" applyBorder="1"/>
    <xf numFmtId="0" fontId="10" fillId="0" borderId="7" xfId="0" applyFont="1" applyBorder="1" applyAlignment="1">
      <alignment horizontal="center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3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IN" b="1" i="0">
                <a:solidFill>
                  <a:srgbClr val="757575"/>
                </a:solidFill>
                <a:latin typeface="+mn-lt"/>
              </a:rPr>
              <a:t>Training Compliance Overview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Compliance Percentage</c:v>
          </c:tx>
          <c:spPr>
            <a:solidFill>
              <a:srgbClr val="00B050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Compliance!$A$5:$A$8</c:f>
              <c:strCache>
                <c:ptCount val="4"/>
                <c:pt idx="0">
                  <c:v>Refresher</c:v>
                </c:pt>
                <c:pt idx="1">
                  <c:v>First Aid</c:v>
                </c:pt>
                <c:pt idx="2">
                  <c:v>Fire Fighting</c:v>
                </c:pt>
                <c:pt idx="3">
                  <c:v>Supervisor</c:v>
                </c:pt>
              </c:strCache>
            </c:strRef>
          </c:cat>
          <c:val>
            <c:numRef>
              <c:f>Compliance!$E$5:$E$8</c:f>
              <c:numCache>
                <c:formatCode>0.0%</c:formatCode>
                <c:ptCount val="4"/>
                <c:pt idx="0">
                  <c:v>0.72039473684210531</c:v>
                </c:pt>
                <c:pt idx="1">
                  <c:v>0.67647058823529416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1-4A65-A851-AFA94E79E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3933395"/>
        <c:axId val="1520037138"/>
      </c:barChart>
      <c:catAx>
        <c:axId val="2053933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0037138"/>
        <c:crosses val="autoZero"/>
        <c:auto val="0"/>
        <c:lblAlgn val="ctr"/>
        <c:lblOffset val="100"/>
        <c:noMultiLvlLbl val="0"/>
      </c:catAx>
      <c:valAx>
        <c:axId val="152003713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1" i="0">
                    <a:solidFill>
                      <a:srgbClr val="000000"/>
                    </a:solidFill>
                    <a:latin typeface="+mn-lt"/>
                  </a:rPr>
                  <a:t>Percentage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3933395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686425" cy="3457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8CAD-5C9C-4438-9E24-5A88F2B7B2F1}">
  <dimension ref="B2:H685"/>
  <sheetViews>
    <sheetView workbookViewId="0">
      <selection activeCell="H1" sqref="H1"/>
    </sheetView>
  </sheetViews>
  <sheetFormatPr defaultRowHeight="14.4"/>
  <cols>
    <col min="4" max="4" width="33.77734375" bestFit="1" customWidth="1"/>
    <col min="5" max="5" width="20.109375" bestFit="1" customWidth="1"/>
    <col min="6" max="6" width="19.88671875" bestFit="1" customWidth="1"/>
    <col min="8" max="8" width="11" bestFit="1" customWidth="1"/>
  </cols>
  <sheetData>
    <row r="2" spans="2:8" ht="52.2">
      <c r="B2" s="18" t="s">
        <v>1418</v>
      </c>
      <c r="C2" s="19" t="s">
        <v>1419</v>
      </c>
      <c r="D2" s="18" t="s">
        <v>1420</v>
      </c>
      <c r="E2" s="18" t="s">
        <v>1421</v>
      </c>
      <c r="F2" s="18" t="s">
        <v>1422</v>
      </c>
      <c r="G2" s="20" t="s">
        <v>1423</v>
      </c>
      <c r="H2" s="20" t="s">
        <v>1424</v>
      </c>
    </row>
    <row r="3" spans="2:8" ht="15.6">
      <c r="B3" s="21">
        <v>1</v>
      </c>
      <c r="C3" s="22">
        <v>8809</v>
      </c>
      <c r="D3" s="23" t="s">
        <v>896</v>
      </c>
      <c r="E3" s="22" t="s">
        <v>1425</v>
      </c>
      <c r="F3" s="22" t="s">
        <v>1426</v>
      </c>
      <c r="G3" s="22">
        <v>1207</v>
      </c>
      <c r="H3" s="24" t="s">
        <v>1427</v>
      </c>
    </row>
    <row r="4" spans="2:8" ht="15.6">
      <c r="B4" s="21">
        <v>2</v>
      </c>
      <c r="C4" s="22">
        <v>9898</v>
      </c>
      <c r="D4" s="23" t="s">
        <v>343</v>
      </c>
      <c r="E4" s="22" t="s">
        <v>1428</v>
      </c>
      <c r="F4" s="22" t="s">
        <v>1429</v>
      </c>
      <c r="G4" s="22">
        <v>1491</v>
      </c>
      <c r="H4" s="25" t="s">
        <v>1427</v>
      </c>
    </row>
    <row r="5" spans="2:8" ht="15.6">
      <c r="B5" s="21">
        <v>3</v>
      </c>
      <c r="C5" s="22">
        <v>9298</v>
      </c>
      <c r="D5" s="23" t="s">
        <v>390</v>
      </c>
      <c r="E5" s="22" t="s">
        <v>1430</v>
      </c>
      <c r="F5" s="22" t="s">
        <v>1431</v>
      </c>
      <c r="G5" s="22">
        <v>1285</v>
      </c>
      <c r="H5" s="25" t="s">
        <v>1427</v>
      </c>
    </row>
    <row r="6" spans="2:8" ht="15.6">
      <c r="B6" s="21">
        <v>4</v>
      </c>
      <c r="C6" s="22">
        <v>6341</v>
      </c>
      <c r="D6" s="23" t="s">
        <v>820</v>
      </c>
      <c r="E6" s="22" t="s">
        <v>1432</v>
      </c>
      <c r="F6" s="22" t="s">
        <v>1433</v>
      </c>
      <c r="G6" s="22">
        <v>1549</v>
      </c>
      <c r="H6" s="25" t="s">
        <v>1434</v>
      </c>
    </row>
    <row r="7" spans="2:8" ht="15.6">
      <c r="B7" s="21">
        <v>5</v>
      </c>
      <c r="C7" s="22">
        <v>9835</v>
      </c>
      <c r="D7" s="23" t="s">
        <v>499</v>
      </c>
      <c r="E7" s="22" t="s">
        <v>1435</v>
      </c>
      <c r="F7" s="22" t="s">
        <v>1436</v>
      </c>
      <c r="G7" s="22">
        <v>1476</v>
      </c>
      <c r="H7" s="25" t="s">
        <v>1434</v>
      </c>
    </row>
    <row r="8" spans="2:8" ht="15.6">
      <c r="B8" s="21">
        <v>6</v>
      </c>
      <c r="C8" s="26">
        <v>10395</v>
      </c>
      <c r="D8" s="23" t="s">
        <v>10</v>
      </c>
      <c r="E8" s="22" t="s">
        <v>1437</v>
      </c>
      <c r="F8" s="26" t="s">
        <v>1438</v>
      </c>
      <c r="G8" s="26">
        <v>1642</v>
      </c>
      <c r="H8" s="25" t="s">
        <v>1439</v>
      </c>
    </row>
    <row r="9" spans="2:8" ht="15.6">
      <c r="B9" s="21">
        <v>7</v>
      </c>
      <c r="C9" s="22">
        <v>9816</v>
      </c>
      <c r="D9" s="23" t="s">
        <v>475</v>
      </c>
      <c r="E9" s="22" t="s">
        <v>1435</v>
      </c>
      <c r="F9" s="22" t="s">
        <v>1436</v>
      </c>
      <c r="G9" s="22">
        <v>1459</v>
      </c>
      <c r="H9" s="25" t="s">
        <v>1439</v>
      </c>
    </row>
    <row r="10" spans="2:8" ht="15.6">
      <c r="B10" s="21">
        <v>8</v>
      </c>
      <c r="C10" s="22">
        <v>9839</v>
      </c>
      <c r="D10" s="23" t="s">
        <v>503</v>
      </c>
      <c r="E10" s="22" t="s">
        <v>1435</v>
      </c>
      <c r="F10" s="22" t="s">
        <v>1436</v>
      </c>
      <c r="G10" s="22">
        <v>1479</v>
      </c>
      <c r="H10" s="25" t="s">
        <v>1440</v>
      </c>
    </row>
    <row r="11" spans="2:8" ht="15.6">
      <c r="B11" s="21">
        <v>9</v>
      </c>
      <c r="C11" s="22">
        <v>8637</v>
      </c>
      <c r="D11" s="23" t="s">
        <v>752</v>
      </c>
      <c r="E11" s="22" t="s">
        <v>1441</v>
      </c>
      <c r="F11" s="22" t="s">
        <v>1442</v>
      </c>
      <c r="G11" s="22">
        <v>1159</v>
      </c>
      <c r="H11" s="25" t="s">
        <v>1443</v>
      </c>
    </row>
    <row r="12" spans="2:8" ht="15.6">
      <c r="B12" s="21">
        <v>10</v>
      </c>
      <c r="C12" s="22">
        <v>9602</v>
      </c>
      <c r="D12" s="23" t="s">
        <v>954</v>
      </c>
      <c r="E12" s="22" t="s">
        <v>1444</v>
      </c>
      <c r="F12" s="22" t="s">
        <v>1445</v>
      </c>
      <c r="G12" s="22">
        <v>1403</v>
      </c>
      <c r="H12" s="25" t="s">
        <v>1443</v>
      </c>
    </row>
    <row r="13" spans="2:8" ht="15.6">
      <c r="B13" s="21">
        <v>11</v>
      </c>
      <c r="C13" s="22">
        <v>7589</v>
      </c>
      <c r="D13" s="23" t="s">
        <v>942</v>
      </c>
      <c r="E13" s="22" t="s">
        <v>1446</v>
      </c>
      <c r="F13" s="22" t="s">
        <v>1447</v>
      </c>
      <c r="G13" s="22">
        <v>1020</v>
      </c>
      <c r="H13" s="25" t="s">
        <v>1448</v>
      </c>
    </row>
    <row r="14" spans="2:8" ht="15.6">
      <c r="B14" s="21">
        <v>12</v>
      </c>
      <c r="C14" s="22">
        <v>9311</v>
      </c>
      <c r="D14" s="23" t="s">
        <v>14</v>
      </c>
      <c r="E14" s="22" t="s">
        <v>1449</v>
      </c>
      <c r="F14" s="22" t="s">
        <v>1438</v>
      </c>
      <c r="G14" s="22">
        <v>1250</v>
      </c>
      <c r="H14" s="25" t="s">
        <v>1448</v>
      </c>
    </row>
    <row r="15" spans="2:8" ht="15.6">
      <c r="B15" s="21">
        <v>13</v>
      </c>
      <c r="C15" s="22">
        <v>9557</v>
      </c>
      <c r="D15" s="23" t="s">
        <v>844</v>
      </c>
      <c r="E15" s="22" t="s">
        <v>1450</v>
      </c>
      <c r="F15" s="22" t="s">
        <v>1451</v>
      </c>
      <c r="G15" s="22">
        <v>1574</v>
      </c>
      <c r="H15" s="25" t="s">
        <v>1452</v>
      </c>
    </row>
    <row r="16" spans="2:8" ht="15.6">
      <c r="B16" s="21">
        <v>14</v>
      </c>
      <c r="C16" s="22">
        <v>9965</v>
      </c>
      <c r="D16" s="23" t="s">
        <v>531</v>
      </c>
      <c r="E16" s="22" t="s">
        <v>1435</v>
      </c>
      <c r="F16" s="22" t="s">
        <v>1436</v>
      </c>
      <c r="G16" s="22">
        <v>1524</v>
      </c>
      <c r="H16" s="25" t="s">
        <v>1452</v>
      </c>
    </row>
    <row r="17" spans="2:8" ht="15.6">
      <c r="B17" s="21">
        <v>15</v>
      </c>
      <c r="C17" s="22">
        <v>9859</v>
      </c>
      <c r="D17" s="23" t="s">
        <v>732</v>
      </c>
      <c r="E17" s="22" t="s">
        <v>1453</v>
      </c>
      <c r="F17" s="22" t="s">
        <v>1454</v>
      </c>
      <c r="G17" s="22">
        <v>1494</v>
      </c>
      <c r="H17" s="25" t="s">
        <v>1455</v>
      </c>
    </row>
    <row r="18" spans="2:8" ht="15.6">
      <c r="B18" s="21">
        <v>16</v>
      </c>
      <c r="C18" s="22">
        <v>6677</v>
      </c>
      <c r="D18" s="23" t="s">
        <v>683</v>
      </c>
      <c r="E18" s="22" t="s">
        <v>1456</v>
      </c>
      <c r="F18" s="22" t="s">
        <v>1457</v>
      </c>
      <c r="G18" s="22">
        <v>870</v>
      </c>
      <c r="H18" s="25" t="s">
        <v>1458</v>
      </c>
    </row>
    <row r="19" spans="2:8" ht="15.6">
      <c r="B19" s="21">
        <v>17</v>
      </c>
      <c r="C19" s="22">
        <v>9825</v>
      </c>
      <c r="D19" s="23" t="s">
        <v>487</v>
      </c>
      <c r="E19" s="22" t="s">
        <v>1435</v>
      </c>
      <c r="F19" s="22" t="s">
        <v>1436</v>
      </c>
      <c r="G19" s="22">
        <v>1467</v>
      </c>
      <c r="H19" s="25" t="s">
        <v>1459</v>
      </c>
    </row>
    <row r="20" spans="2:8" ht="15.6">
      <c r="B20" s="21">
        <v>18</v>
      </c>
      <c r="C20" s="22">
        <v>10117</v>
      </c>
      <c r="D20" s="23" t="s">
        <v>128</v>
      </c>
      <c r="E20" s="22" t="s">
        <v>1437</v>
      </c>
      <c r="F20" s="22" t="s">
        <v>1460</v>
      </c>
      <c r="G20" s="22">
        <v>1568</v>
      </c>
      <c r="H20" s="25" t="s">
        <v>1461</v>
      </c>
    </row>
    <row r="21" spans="2:8" ht="15.6">
      <c r="B21" s="21">
        <v>19</v>
      </c>
      <c r="C21" s="22">
        <v>9988</v>
      </c>
      <c r="D21" s="23" t="s">
        <v>125</v>
      </c>
      <c r="E21" s="22" t="s">
        <v>1437</v>
      </c>
      <c r="F21" s="22" t="s">
        <v>1433</v>
      </c>
      <c r="G21" s="22">
        <v>1538</v>
      </c>
      <c r="H21" s="25" t="s">
        <v>1458</v>
      </c>
    </row>
    <row r="22" spans="2:8" ht="15.6">
      <c r="B22" s="21">
        <v>20</v>
      </c>
      <c r="C22" s="22">
        <v>7974</v>
      </c>
      <c r="D22" s="23" t="s">
        <v>360</v>
      </c>
      <c r="E22" s="22" t="s">
        <v>1430</v>
      </c>
      <c r="F22" s="22" t="s">
        <v>1447</v>
      </c>
      <c r="G22" s="22">
        <v>1068</v>
      </c>
      <c r="H22" s="25" t="s">
        <v>1458</v>
      </c>
    </row>
    <row r="23" spans="2:8" ht="18">
      <c r="B23" s="21">
        <v>21</v>
      </c>
      <c r="C23" s="27">
        <v>9619</v>
      </c>
      <c r="D23" s="28" t="s">
        <v>1462</v>
      </c>
      <c r="E23" s="27" t="s">
        <v>1463</v>
      </c>
      <c r="F23" s="27" t="s">
        <v>1454</v>
      </c>
      <c r="G23" s="27">
        <v>1399</v>
      </c>
      <c r="H23" s="25" t="s">
        <v>1464</v>
      </c>
    </row>
    <row r="24" spans="2:8" ht="15.6">
      <c r="B24" s="21">
        <v>22</v>
      </c>
      <c r="C24" s="22">
        <v>9769</v>
      </c>
      <c r="D24" s="23" t="s">
        <v>881</v>
      </c>
      <c r="E24" s="22" t="s">
        <v>1465</v>
      </c>
      <c r="F24" s="22" t="s">
        <v>1466</v>
      </c>
      <c r="G24" s="22">
        <v>1453</v>
      </c>
      <c r="H24" s="25" t="s">
        <v>1467</v>
      </c>
    </row>
    <row r="25" spans="2:8" ht="15.6">
      <c r="B25" s="21">
        <v>23</v>
      </c>
      <c r="C25" s="22">
        <v>9542</v>
      </c>
      <c r="D25" s="23" t="s">
        <v>888</v>
      </c>
      <c r="E25" s="22" t="s">
        <v>1468</v>
      </c>
      <c r="F25" s="22" t="s">
        <v>1466</v>
      </c>
      <c r="G25" s="22">
        <v>1390</v>
      </c>
      <c r="H25" s="25" t="s">
        <v>1469</v>
      </c>
    </row>
    <row r="26" spans="2:8" ht="15.6">
      <c r="B26" s="21">
        <v>24</v>
      </c>
      <c r="C26" s="22">
        <v>10361</v>
      </c>
      <c r="D26" s="23" t="s">
        <v>1044</v>
      </c>
      <c r="E26" s="22" t="s">
        <v>1470</v>
      </c>
      <c r="F26" s="22" t="s">
        <v>1436</v>
      </c>
      <c r="G26" s="22">
        <v>1630</v>
      </c>
      <c r="H26" s="25" t="s">
        <v>1467</v>
      </c>
    </row>
    <row r="27" spans="2:8" ht="15.6">
      <c r="B27" s="21">
        <v>25</v>
      </c>
      <c r="C27" s="22">
        <v>9371</v>
      </c>
      <c r="D27" s="23" t="s">
        <v>291</v>
      </c>
      <c r="E27" s="22" t="s">
        <v>1430</v>
      </c>
      <c r="F27" s="22" t="s">
        <v>1471</v>
      </c>
      <c r="G27" s="22">
        <v>1328</v>
      </c>
      <c r="H27" s="25" t="s">
        <v>1472</v>
      </c>
    </row>
    <row r="28" spans="2:8" ht="15.6">
      <c r="B28" s="21">
        <v>26</v>
      </c>
      <c r="C28" s="29">
        <v>8243</v>
      </c>
      <c r="D28" s="30" t="s">
        <v>1073</v>
      </c>
      <c r="E28" s="29" t="s">
        <v>1473</v>
      </c>
      <c r="F28" s="29" t="s">
        <v>1474</v>
      </c>
      <c r="G28" s="29" t="s">
        <v>1475</v>
      </c>
      <c r="H28" s="25" t="s">
        <v>1472</v>
      </c>
    </row>
    <row r="29" spans="2:8" ht="15.6">
      <c r="B29" s="21">
        <v>27</v>
      </c>
      <c r="C29" s="22">
        <v>6865</v>
      </c>
      <c r="D29" s="23" t="s">
        <v>415</v>
      </c>
      <c r="E29" s="22" t="s">
        <v>1476</v>
      </c>
      <c r="F29" s="22" t="s">
        <v>1477</v>
      </c>
      <c r="G29" s="22">
        <v>910</v>
      </c>
      <c r="H29" s="25" t="s">
        <v>1478</v>
      </c>
    </row>
    <row r="30" spans="2:8" ht="15.6">
      <c r="B30" s="21">
        <v>28</v>
      </c>
      <c r="C30" s="22">
        <v>10355</v>
      </c>
      <c r="D30" s="23" t="s">
        <v>1016</v>
      </c>
      <c r="E30" s="22" t="s">
        <v>1479</v>
      </c>
      <c r="F30" s="22" t="s">
        <v>1436</v>
      </c>
      <c r="G30" s="22">
        <v>1626</v>
      </c>
      <c r="H30" s="25" t="s">
        <v>1478</v>
      </c>
    </row>
    <row r="31" spans="2:8" ht="15.6">
      <c r="B31" s="21">
        <v>29</v>
      </c>
      <c r="C31" s="22">
        <v>9906</v>
      </c>
      <c r="D31" s="23" t="s">
        <v>32</v>
      </c>
      <c r="E31" s="22" t="s">
        <v>1480</v>
      </c>
      <c r="F31" s="22" t="s">
        <v>1454</v>
      </c>
      <c r="G31" s="22">
        <v>1499</v>
      </c>
      <c r="H31" s="25" t="s">
        <v>1481</v>
      </c>
    </row>
    <row r="32" spans="2:8" ht="15.6">
      <c r="B32" s="21">
        <v>30</v>
      </c>
      <c r="C32" s="22">
        <v>7465</v>
      </c>
      <c r="D32" s="23" t="s">
        <v>764</v>
      </c>
      <c r="E32" s="22" t="s">
        <v>1482</v>
      </c>
      <c r="F32" s="22" t="s">
        <v>1454</v>
      </c>
      <c r="G32" s="22">
        <v>1017</v>
      </c>
      <c r="H32" s="25" t="s">
        <v>1469</v>
      </c>
    </row>
    <row r="33" spans="2:8" ht="15.6">
      <c r="B33" s="21">
        <v>31</v>
      </c>
      <c r="C33" s="22">
        <v>9882</v>
      </c>
      <c r="D33" s="23" t="s">
        <v>1483</v>
      </c>
      <c r="E33" s="22" t="s">
        <v>1484</v>
      </c>
      <c r="F33" s="22" t="s">
        <v>1454</v>
      </c>
      <c r="G33" s="22">
        <v>1506</v>
      </c>
      <c r="H33" s="25" t="s">
        <v>1458</v>
      </c>
    </row>
    <row r="34" spans="2:8" ht="15.6">
      <c r="B34" s="21">
        <v>32</v>
      </c>
      <c r="C34" s="22">
        <v>10501</v>
      </c>
      <c r="D34" s="23" t="s">
        <v>716</v>
      </c>
      <c r="E34" s="22" t="s">
        <v>1485</v>
      </c>
      <c r="F34" s="22" t="s">
        <v>1486</v>
      </c>
      <c r="G34" s="22">
        <v>1667</v>
      </c>
      <c r="H34" s="25" t="s">
        <v>1487</v>
      </c>
    </row>
    <row r="35" spans="2:8" ht="15.6">
      <c r="B35" s="21">
        <v>33</v>
      </c>
      <c r="C35" s="22">
        <v>9905</v>
      </c>
      <c r="D35" s="23" t="s">
        <v>1488</v>
      </c>
      <c r="E35" s="22" t="s">
        <v>1480</v>
      </c>
      <c r="F35" s="22" t="s">
        <v>1454</v>
      </c>
      <c r="G35" s="22">
        <v>1498</v>
      </c>
      <c r="H35" s="25" t="s">
        <v>1481</v>
      </c>
    </row>
    <row r="36" spans="2:8" ht="15.6">
      <c r="B36" s="21">
        <v>34</v>
      </c>
      <c r="C36" s="22">
        <v>7259</v>
      </c>
      <c r="D36" s="23" t="s">
        <v>678</v>
      </c>
      <c r="E36" s="22" t="s">
        <v>1430</v>
      </c>
      <c r="F36" s="22" t="s">
        <v>1457</v>
      </c>
      <c r="G36" s="22">
        <v>980</v>
      </c>
      <c r="H36" s="25" t="s">
        <v>1469</v>
      </c>
    </row>
    <row r="37" spans="2:8" ht="15.6">
      <c r="B37" s="21">
        <v>35</v>
      </c>
      <c r="C37" s="22">
        <v>9259</v>
      </c>
      <c r="D37" s="23" t="s">
        <v>547</v>
      </c>
      <c r="E37" s="22" t="s">
        <v>1430</v>
      </c>
      <c r="F37" s="22" t="s">
        <v>1436</v>
      </c>
      <c r="G37" s="22">
        <v>1297</v>
      </c>
      <c r="H37" s="25" t="s">
        <v>1469</v>
      </c>
    </row>
    <row r="38" spans="2:8" ht="15.6">
      <c r="B38" s="21">
        <v>36</v>
      </c>
      <c r="C38" s="22">
        <v>9948</v>
      </c>
      <c r="D38" s="23" t="s">
        <v>513</v>
      </c>
      <c r="E38" s="22" t="s">
        <v>1435</v>
      </c>
      <c r="F38" s="22" t="s">
        <v>1436</v>
      </c>
      <c r="G38" s="22">
        <v>1519</v>
      </c>
      <c r="H38" s="25" t="s">
        <v>1489</v>
      </c>
    </row>
    <row r="39" spans="2:8" ht="15.6">
      <c r="B39" s="21">
        <v>37</v>
      </c>
      <c r="C39" s="29">
        <v>8150</v>
      </c>
      <c r="D39" s="30" t="s">
        <v>632</v>
      </c>
      <c r="E39" s="29" t="s">
        <v>1430</v>
      </c>
      <c r="F39" s="29" t="s">
        <v>1474</v>
      </c>
      <c r="G39" s="29" t="s">
        <v>1490</v>
      </c>
      <c r="H39" s="25" t="s">
        <v>1489</v>
      </c>
    </row>
    <row r="40" spans="2:8" ht="15.6">
      <c r="B40" s="21">
        <v>38</v>
      </c>
      <c r="C40" s="22">
        <v>8543</v>
      </c>
      <c r="D40" s="23" t="s">
        <v>135</v>
      </c>
      <c r="E40" s="22" t="s">
        <v>1480</v>
      </c>
      <c r="F40" s="22" t="s">
        <v>1491</v>
      </c>
      <c r="G40" s="22">
        <v>1142</v>
      </c>
      <c r="H40" s="25" t="s">
        <v>1481</v>
      </c>
    </row>
    <row r="41" spans="2:8" ht="15.6">
      <c r="B41" s="21">
        <v>39</v>
      </c>
      <c r="C41" s="22">
        <v>9834</v>
      </c>
      <c r="D41" s="23" t="s">
        <v>497</v>
      </c>
      <c r="E41" s="22" t="s">
        <v>1435</v>
      </c>
      <c r="F41" s="22" t="s">
        <v>1436</v>
      </c>
      <c r="G41" s="22">
        <v>1475</v>
      </c>
      <c r="H41" s="25" t="s">
        <v>1461</v>
      </c>
    </row>
    <row r="42" spans="2:8" ht="15.6">
      <c r="B42" s="21">
        <v>40</v>
      </c>
      <c r="C42" s="22">
        <v>9819</v>
      </c>
      <c r="D42" s="31" t="s">
        <v>479</v>
      </c>
      <c r="E42" s="22" t="s">
        <v>1435</v>
      </c>
      <c r="F42" s="22" t="s">
        <v>1436</v>
      </c>
      <c r="G42" s="22">
        <v>1462</v>
      </c>
      <c r="H42" s="25" t="s">
        <v>1492</v>
      </c>
    </row>
    <row r="43" spans="2:8" ht="15.6">
      <c r="B43" s="21">
        <v>41</v>
      </c>
      <c r="C43" s="22">
        <v>10370</v>
      </c>
      <c r="D43" s="32" t="s">
        <v>1493</v>
      </c>
      <c r="E43" s="22" t="s">
        <v>1494</v>
      </c>
      <c r="F43" s="22" t="s">
        <v>1474</v>
      </c>
      <c r="G43" s="22" t="s">
        <v>1495</v>
      </c>
      <c r="H43" s="25" t="s">
        <v>1496</v>
      </c>
    </row>
    <row r="44" spans="2:8" ht="15.6">
      <c r="B44" s="21">
        <v>42</v>
      </c>
      <c r="C44" s="33">
        <v>9302</v>
      </c>
      <c r="D44" s="32" t="s">
        <v>407</v>
      </c>
      <c r="E44" s="22" t="s">
        <v>1497</v>
      </c>
      <c r="F44" s="22" t="s">
        <v>1498</v>
      </c>
      <c r="G44" s="22">
        <v>1295</v>
      </c>
      <c r="H44" s="25" t="s">
        <v>1496</v>
      </c>
    </row>
    <row r="45" spans="2:8" ht="15.6">
      <c r="B45" s="21">
        <v>43</v>
      </c>
      <c r="C45" s="33">
        <v>8736</v>
      </c>
      <c r="D45" s="32" t="s">
        <v>368</v>
      </c>
      <c r="E45" s="22" t="s">
        <v>1430</v>
      </c>
      <c r="F45" s="22" t="s">
        <v>1447</v>
      </c>
      <c r="G45" s="22">
        <v>1189</v>
      </c>
      <c r="H45" s="25" t="s">
        <v>1499</v>
      </c>
    </row>
    <row r="46" spans="2:8" ht="15.6">
      <c r="B46" s="21">
        <v>44</v>
      </c>
      <c r="C46" s="33">
        <v>9909</v>
      </c>
      <c r="D46" s="32" t="s">
        <v>98</v>
      </c>
      <c r="E46" s="22" t="s">
        <v>1500</v>
      </c>
      <c r="F46" s="22" t="s">
        <v>1501</v>
      </c>
      <c r="G46" s="22">
        <v>1502</v>
      </c>
      <c r="H46" s="25" t="s">
        <v>1502</v>
      </c>
    </row>
    <row r="47" spans="2:8" ht="15.6">
      <c r="B47" s="21">
        <v>45</v>
      </c>
      <c r="C47" s="33">
        <v>9282</v>
      </c>
      <c r="D47" s="32" t="s">
        <v>55</v>
      </c>
      <c r="E47" s="22" t="s">
        <v>1430</v>
      </c>
      <c r="F47" s="22" t="s">
        <v>1454</v>
      </c>
      <c r="G47" s="22">
        <v>1267</v>
      </c>
      <c r="H47" s="25" t="s">
        <v>1503</v>
      </c>
    </row>
    <row r="48" spans="2:8" ht="15.6">
      <c r="B48" s="21">
        <v>46</v>
      </c>
      <c r="C48" s="33">
        <v>9238</v>
      </c>
      <c r="D48" s="32" t="s">
        <v>199</v>
      </c>
      <c r="E48" s="22" t="s">
        <v>1430</v>
      </c>
      <c r="F48" s="22" t="s">
        <v>1466</v>
      </c>
      <c r="G48" s="22">
        <v>1279</v>
      </c>
      <c r="H48" s="25" t="s">
        <v>1503</v>
      </c>
    </row>
    <row r="49" spans="2:8" ht="15.6">
      <c r="B49" s="21">
        <v>47</v>
      </c>
      <c r="C49" s="33">
        <v>9520</v>
      </c>
      <c r="D49" s="32" t="s">
        <v>921</v>
      </c>
      <c r="E49" s="22" t="s">
        <v>1468</v>
      </c>
      <c r="F49" s="22" t="s">
        <v>1466</v>
      </c>
      <c r="G49" s="22">
        <v>1376</v>
      </c>
      <c r="H49" s="25" t="s">
        <v>1504</v>
      </c>
    </row>
    <row r="50" spans="2:8" ht="15.6">
      <c r="B50" s="21">
        <v>48</v>
      </c>
      <c r="C50" s="33">
        <v>10129</v>
      </c>
      <c r="D50" s="32" t="s">
        <v>122</v>
      </c>
      <c r="E50" s="22" t="s">
        <v>1505</v>
      </c>
      <c r="F50" s="22" t="s">
        <v>1506</v>
      </c>
      <c r="G50" s="22">
        <v>1576</v>
      </c>
      <c r="H50" s="25" t="s">
        <v>1507</v>
      </c>
    </row>
    <row r="51" spans="2:8" ht="15.6">
      <c r="B51" s="21">
        <v>49</v>
      </c>
      <c r="C51" s="34">
        <v>5715</v>
      </c>
      <c r="D51" s="32" t="s">
        <v>673</v>
      </c>
      <c r="E51" s="22" t="s">
        <v>1508</v>
      </c>
      <c r="F51" s="22" t="s">
        <v>1509</v>
      </c>
      <c r="G51" s="22">
        <v>1679</v>
      </c>
      <c r="H51" s="25" t="s">
        <v>1507</v>
      </c>
    </row>
    <row r="52" spans="2:8" ht="15.6">
      <c r="B52" s="21">
        <v>50</v>
      </c>
      <c r="C52" s="33">
        <v>9180</v>
      </c>
      <c r="D52" s="32" t="s">
        <v>203</v>
      </c>
      <c r="E52" s="22" t="s">
        <v>1430</v>
      </c>
      <c r="F52" s="22" t="s">
        <v>1466</v>
      </c>
      <c r="G52" s="22">
        <v>1309</v>
      </c>
      <c r="H52" s="25" t="s">
        <v>1510</v>
      </c>
    </row>
    <row r="53" spans="2:8" ht="15.6">
      <c r="B53" s="21">
        <v>51</v>
      </c>
      <c r="C53" s="33">
        <v>9303</v>
      </c>
      <c r="D53" s="32" t="s">
        <v>352</v>
      </c>
      <c r="E53" s="22" t="s">
        <v>1430</v>
      </c>
      <c r="F53" s="22" t="s">
        <v>1447</v>
      </c>
      <c r="G53" s="22">
        <v>1300</v>
      </c>
      <c r="H53" s="25" t="s">
        <v>1510</v>
      </c>
    </row>
    <row r="54" spans="2:8" ht="15.6">
      <c r="B54" s="21">
        <v>52</v>
      </c>
      <c r="C54" s="33">
        <v>10037</v>
      </c>
      <c r="D54" s="32" t="s">
        <v>376</v>
      </c>
      <c r="E54" s="22" t="s">
        <v>1437</v>
      </c>
      <c r="F54" s="22" t="s">
        <v>1447</v>
      </c>
      <c r="G54" s="22">
        <v>1554</v>
      </c>
      <c r="H54" s="25" t="s">
        <v>1511</v>
      </c>
    </row>
    <row r="55" spans="2:8" ht="15.6">
      <c r="B55" s="21">
        <v>53</v>
      </c>
      <c r="C55" s="35">
        <v>9802</v>
      </c>
      <c r="D55" s="32" t="s">
        <v>314</v>
      </c>
      <c r="E55" s="22" t="s">
        <v>1512</v>
      </c>
      <c r="F55" s="22" t="s">
        <v>1513</v>
      </c>
      <c r="G55" s="22">
        <v>1448</v>
      </c>
      <c r="H55" s="25" t="s">
        <v>1514</v>
      </c>
    </row>
    <row r="56" spans="2:8" ht="15.6">
      <c r="B56" s="21">
        <v>54</v>
      </c>
      <c r="C56" s="33">
        <v>7242</v>
      </c>
      <c r="D56" s="36" t="s">
        <v>34</v>
      </c>
      <c r="E56" s="22" t="s">
        <v>1497</v>
      </c>
      <c r="F56" s="22" t="s">
        <v>1454</v>
      </c>
      <c r="G56" s="22">
        <v>1177</v>
      </c>
      <c r="H56" s="25" t="s">
        <v>1514</v>
      </c>
    </row>
    <row r="57" spans="2:8" ht="15.6">
      <c r="B57" s="21">
        <v>55</v>
      </c>
      <c r="C57" s="33">
        <v>9743</v>
      </c>
      <c r="D57" s="32" t="s">
        <v>1515</v>
      </c>
      <c r="E57" s="22" t="s">
        <v>1516</v>
      </c>
      <c r="F57" s="22" t="s">
        <v>1517</v>
      </c>
      <c r="G57" s="22">
        <v>1449</v>
      </c>
      <c r="H57" s="25" t="s">
        <v>1518</v>
      </c>
    </row>
    <row r="58" spans="2:8" ht="15.6">
      <c r="B58" s="21">
        <v>56</v>
      </c>
      <c r="C58" s="33">
        <v>9828</v>
      </c>
      <c r="D58" s="32" t="s">
        <v>613</v>
      </c>
      <c r="E58" s="22" t="s">
        <v>1435</v>
      </c>
      <c r="F58" s="22" t="s">
        <v>1436</v>
      </c>
      <c r="G58" s="22">
        <v>1469</v>
      </c>
      <c r="H58" s="25" t="s">
        <v>1519</v>
      </c>
    </row>
    <row r="59" spans="2:8" ht="15.6">
      <c r="B59" s="21">
        <v>57</v>
      </c>
      <c r="C59" s="33">
        <v>9276</v>
      </c>
      <c r="D59" s="32" t="s">
        <v>49</v>
      </c>
      <c r="E59" s="22" t="s">
        <v>1430</v>
      </c>
      <c r="F59" s="22" t="s">
        <v>1454</v>
      </c>
      <c r="G59" s="22">
        <v>1264</v>
      </c>
      <c r="H59" s="25" t="s">
        <v>1520</v>
      </c>
    </row>
    <row r="60" spans="2:8" ht="15.6">
      <c r="B60" s="21">
        <v>58</v>
      </c>
      <c r="C60" s="33">
        <v>9275</v>
      </c>
      <c r="D60" s="32" t="s">
        <v>47</v>
      </c>
      <c r="E60" s="22" t="s">
        <v>1430</v>
      </c>
      <c r="F60" s="22" t="s">
        <v>1454</v>
      </c>
      <c r="G60" s="22">
        <v>1311</v>
      </c>
      <c r="H60" s="25" t="s">
        <v>1521</v>
      </c>
    </row>
    <row r="61" spans="2:8" ht="15.6">
      <c r="B61" s="21">
        <v>59</v>
      </c>
      <c r="C61" s="33">
        <v>9545</v>
      </c>
      <c r="D61" s="32" t="s">
        <v>944</v>
      </c>
      <c r="E61" s="22" t="s">
        <v>1516</v>
      </c>
      <c r="F61" s="22" t="s">
        <v>1451</v>
      </c>
      <c r="G61" s="22">
        <v>1386</v>
      </c>
      <c r="H61" s="25" t="s">
        <v>1499</v>
      </c>
    </row>
    <row r="62" spans="2:8" ht="15.6">
      <c r="B62" s="21">
        <v>60</v>
      </c>
      <c r="C62" s="33">
        <v>10509</v>
      </c>
      <c r="D62" s="32" t="s">
        <v>962</v>
      </c>
      <c r="E62" s="22" t="s">
        <v>1522</v>
      </c>
      <c r="F62" s="22" t="s">
        <v>1436</v>
      </c>
      <c r="G62" s="22">
        <v>1665</v>
      </c>
      <c r="H62" s="25" t="s">
        <v>1523</v>
      </c>
    </row>
    <row r="63" spans="2:8" ht="15.6">
      <c r="B63" s="21">
        <v>61</v>
      </c>
      <c r="C63" s="33">
        <v>10584</v>
      </c>
      <c r="D63" s="32" t="s">
        <v>85</v>
      </c>
      <c r="E63" s="22" t="s">
        <v>1524</v>
      </c>
      <c r="F63" s="22" t="s">
        <v>1501</v>
      </c>
      <c r="G63" s="22">
        <v>1668</v>
      </c>
      <c r="H63" s="25" t="s">
        <v>1520</v>
      </c>
    </row>
    <row r="64" spans="2:8" ht="15.6">
      <c r="B64" s="21">
        <v>62</v>
      </c>
      <c r="C64" s="33">
        <v>9907</v>
      </c>
      <c r="D64" s="32" t="s">
        <v>150</v>
      </c>
      <c r="E64" s="22" t="s">
        <v>1525</v>
      </c>
      <c r="F64" s="22" t="s">
        <v>1451</v>
      </c>
      <c r="G64" s="22">
        <v>1500</v>
      </c>
      <c r="H64" s="25" t="s">
        <v>1520</v>
      </c>
    </row>
    <row r="65" spans="2:8" ht="15.6">
      <c r="B65" s="21">
        <v>63</v>
      </c>
      <c r="C65" s="33">
        <v>9290</v>
      </c>
      <c r="D65" s="32" t="s">
        <v>57</v>
      </c>
      <c r="E65" s="22" t="s">
        <v>1430</v>
      </c>
      <c r="F65" s="22" t="s">
        <v>1454</v>
      </c>
      <c r="G65" s="22">
        <v>1268</v>
      </c>
      <c r="H65" s="25" t="s">
        <v>1521</v>
      </c>
    </row>
    <row r="66" spans="2:8" ht="15.6">
      <c r="B66" s="21">
        <v>64</v>
      </c>
      <c r="C66" s="33">
        <v>9305</v>
      </c>
      <c r="D66" s="32" t="s">
        <v>354</v>
      </c>
      <c r="E66" s="22" t="s">
        <v>1497</v>
      </c>
      <c r="F66" s="22" t="s">
        <v>1447</v>
      </c>
      <c r="G66" s="22">
        <v>1291</v>
      </c>
      <c r="H66" s="25" t="s">
        <v>1521</v>
      </c>
    </row>
    <row r="67" spans="2:8" ht="15.6">
      <c r="B67" s="21">
        <v>65</v>
      </c>
      <c r="C67" s="33">
        <v>9954</v>
      </c>
      <c r="D67" s="32" t="s">
        <v>519</v>
      </c>
      <c r="E67" s="22" t="s">
        <v>1435</v>
      </c>
      <c r="F67" s="22" t="s">
        <v>1436</v>
      </c>
      <c r="G67" s="22">
        <v>1528</v>
      </c>
      <c r="H67" s="25" t="s">
        <v>1499</v>
      </c>
    </row>
    <row r="68" spans="2:8" ht="15.6">
      <c r="B68" s="21">
        <v>66</v>
      </c>
      <c r="C68" s="22">
        <v>7064</v>
      </c>
      <c r="D68" s="32" t="s">
        <v>879</v>
      </c>
      <c r="E68" s="22" t="s">
        <v>1516</v>
      </c>
      <c r="F68" s="22" t="s">
        <v>1466</v>
      </c>
      <c r="G68" s="22">
        <v>1559</v>
      </c>
      <c r="H68" s="25" t="s">
        <v>1526</v>
      </c>
    </row>
    <row r="69" spans="2:8" ht="16.8">
      <c r="B69" s="21">
        <v>67</v>
      </c>
      <c r="C69" s="37">
        <v>9973</v>
      </c>
      <c r="D69" s="38" t="s">
        <v>1087</v>
      </c>
      <c r="E69" s="37" t="s">
        <v>1527</v>
      </c>
      <c r="F69" s="37" t="s">
        <v>1474</v>
      </c>
      <c r="G69" s="37" t="s">
        <v>1528</v>
      </c>
      <c r="H69" s="25" t="s">
        <v>1511</v>
      </c>
    </row>
    <row r="70" spans="2:8" ht="16.8">
      <c r="B70" s="21">
        <v>68</v>
      </c>
      <c r="C70" s="37">
        <v>9193</v>
      </c>
      <c r="D70" s="39" t="s">
        <v>1529</v>
      </c>
      <c r="E70" s="37" t="s">
        <v>1430</v>
      </c>
      <c r="F70" s="37" t="s">
        <v>1466</v>
      </c>
      <c r="G70" s="37">
        <v>1343</v>
      </c>
      <c r="H70" s="25" t="s">
        <v>1499</v>
      </c>
    </row>
    <row r="71" spans="2:8" ht="16.8">
      <c r="B71" s="21">
        <v>69</v>
      </c>
      <c r="C71" s="37">
        <v>7574</v>
      </c>
      <c r="D71" s="39" t="s">
        <v>325</v>
      </c>
      <c r="E71" s="37" t="s">
        <v>1430</v>
      </c>
      <c r="F71" s="22" t="s">
        <v>1517</v>
      </c>
      <c r="G71" s="37"/>
      <c r="H71" s="25" t="s">
        <v>1530</v>
      </c>
    </row>
    <row r="72" spans="2:8" ht="16.8">
      <c r="B72" s="21">
        <v>70</v>
      </c>
      <c r="C72" s="37">
        <v>9269</v>
      </c>
      <c r="D72" s="39" t="s">
        <v>1531</v>
      </c>
      <c r="E72" s="37" t="s">
        <v>1430</v>
      </c>
      <c r="F72" s="22" t="s">
        <v>1454</v>
      </c>
      <c r="G72" s="37"/>
      <c r="H72" s="25" t="s">
        <v>1526</v>
      </c>
    </row>
    <row r="73" spans="2:8" ht="16.8">
      <c r="B73" s="21">
        <v>71</v>
      </c>
      <c r="C73" s="37">
        <v>9813</v>
      </c>
      <c r="D73" s="39" t="s">
        <v>1309</v>
      </c>
      <c r="E73" s="22" t="s">
        <v>1435</v>
      </c>
      <c r="F73" s="37" t="s">
        <v>1474</v>
      </c>
      <c r="G73" s="37"/>
      <c r="H73" s="25" t="s">
        <v>1526</v>
      </c>
    </row>
    <row r="74" spans="2:8" ht="15.6">
      <c r="B74" s="21">
        <v>72</v>
      </c>
      <c r="C74" s="22">
        <v>9812</v>
      </c>
      <c r="D74" s="32" t="s">
        <v>469</v>
      </c>
      <c r="E74" s="22" t="s">
        <v>1435</v>
      </c>
      <c r="F74" s="22" t="s">
        <v>1436</v>
      </c>
      <c r="G74" s="22">
        <v>1455</v>
      </c>
      <c r="H74" s="25" t="s">
        <v>1532</v>
      </c>
    </row>
    <row r="75" spans="2:8" ht="15.6">
      <c r="B75" s="21">
        <v>73</v>
      </c>
      <c r="C75" s="22">
        <v>6327</v>
      </c>
      <c r="D75" s="32" t="s">
        <v>350</v>
      </c>
      <c r="E75" s="22" t="s">
        <v>1430</v>
      </c>
      <c r="F75" s="22" t="s">
        <v>1533</v>
      </c>
      <c r="G75" s="22">
        <v>746</v>
      </c>
      <c r="H75" s="25" t="s">
        <v>1534</v>
      </c>
    </row>
    <row r="76" spans="2:8" ht="18">
      <c r="B76" s="21">
        <v>74</v>
      </c>
      <c r="C76" s="27">
        <v>9715</v>
      </c>
      <c r="D76" s="40" t="s">
        <v>788</v>
      </c>
      <c r="E76" s="27" t="s">
        <v>1535</v>
      </c>
      <c r="F76" s="27" t="s">
        <v>1536</v>
      </c>
      <c r="G76" s="27">
        <v>1426</v>
      </c>
      <c r="H76" s="25" t="s">
        <v>1537</v>
      </c>
    </row>
    <row r="77" spans="2:8" ht="18">
      <c r="B77" s="21">
        <v>75</v>
      </c>
      <c r="C77" s="27">
        <v>9713</v>
      </c>
      <c r="D77" s="40" t="s">
        <v>906</v>
      </c>
      <c r="E77" s="27" t="s">
        <v>1538</v>
      </c>
      <c r="F77" s="27" t="s">
        <v>1466</v>
      </c>
      <c r="G77" s="27">
        <v>1422</v>
      </c>
      <c r="H77" s="25" t="s">
        <v>1537</v>
      </c>
    </row>
    <row r="78" spans="2:8" ht="18">
      <c r="B78" s="21">
        <v>76</v>
      </c>
      <c r="C78" s="27">
        <v>5781</v>
      </c>
      <c r="D78" s="40" t="s">
        <v>420</v>
      </c>
      <c r="E78" s="27" t="s">
        <v>1539</v>
      </c>
      <c r="F78" s="27" t="s">
        <v>1477</v>
      </c>
      <c r="G78" s="27">
        <v>707</v>
      </c>
      <c r="H78" s="25" t="s">
        <v>1540</v>
      </c>
    </row>
    <row r="79" spans="2:8" ht="18">
      <c r="B79" s="21">
        <v>77</v>
      </c>
      <c r="C79" s="27">
        <v>6682</v>
      </c>
      <c r="D79" s="40" t="s">
        <v>698</v>
      </c>
      <c r="E79" s="27" t="s">
        <v>1541</v>
      </c>
      <c r="F79" s="27" t="s">
        <v>1542</v>
      </c>
      <c r="G79" s="27">
        <v>1557</v>
      </c>
      <c r="H79" s="25" t="s">
        <v>1540</v>
      </c>
    </row>
    <row r="80" spans="2:8" ht="18">
      <c r="B80" s="21">
        <v>78</v>
      </c>
      <c r="C80" s="27">
        <v>6711</v>
      </c>
      <c r="D80" s="40" t="s">
        <v>876</v>
      </c>
      <c r="E80" s="27" t="s">
        <v>1516</v>
      </c>
      <c r="F80" s="27" t="s">
        <v>1466</v>
      </c>
      <c r="G80" s="27">
        <v>1488</v>
      </c>
      <c r="H80" s="25" t="s">
        <v>1543</v>
      </c>
    </row>
    <row r="81" spans="2:8" ht="18">
      <c r="B81" s="21">
        <v>79</v>
      </c>
      <c r="C81" s="27">
        <v>7179</v>
      </c>
      <c r="D81" s="40" t="s">
        <v>1131</v>
      </c>
      <c r="E81" s="27" t="s">
        <v>1544</v>
      </c>
      <c r="F81" s="27" t="s">
        <v>1545</v>
      </c>
      <c r="G81" s="27">
        <v>1723</v>
      </c>
      <c r="H81" s="25" t="s">
        <v>1543</v>
      </c>
    </row>
    <row r="82" spans="2:8" ht="18">
      <c r="B82" s="21">
        <v>80</v>
      </c>
      <c r="C82" s="27">
        <v>7243</v>
      </c>
      <c r="D82" s="40" t="s">
        <v>543</v>
      </c>
      <c r="E82" s="27" t="s">
        <v>1430</v>
      </c>
      <c r="F82" s="27" t="s">
        <v>1436</v>
      </c>
      <c r="G82" s="27">
        <v>975</v>
      </c>
      <c r="H82" s="25" t="s">
        <v>1546</v>
      </c>
    </row>
    <row r="83" spans="2:8" ht="18">
      <c r="B83" s="21">
        <v>81</v>
      </c>
      <c r="C83" s="27">
        <v>7504</v>
      </c>
      <c r="D83" s="40" t="s">
        <v>755</v>
      </c>
      <c r="E83" s="27" t="s">
        <v>1547</v>
      </c>
      <c r="F83" s="27" t="s">
        <v>1454</v>
      </c>
      <c r="G83" s="27">
        <v>1025</v>
      </c>
      <c r="H83" s="25" t="s">
        <v>1546</v>
      </c>
    </row>
    <row r="84" spans="2:8" ht="18">
      <c r="B84" s="21">
        <v>82</v>
      </c>
      <c r="C84" s="27">
        <v>7612</v>
      </c>
      <c r="D84" s="40" t="s">
        <v>118</v>
      </c>
      <c r="E84" s="27" t="s">
        <v>1430</v>
      </c>
      <c r="F84" s="27" t="s">
        <v>1548</v>
      </c>
      <c r="G84" s="27">
        <v>1336</v>
      </c>
      <c r="H84" s="25" t="s">
        <v>1549</v>
      </c>
    </row>
    <row r="85" spans="2:8" ht="18">
      <c r="B85" s="21">
        <v>83</v>
      </c>
      <c r="C85" s="27">
        <v>8740</v>
      </c>
      <c r="D85" s="40" t="s">
        <v>1550</v>
      </c>
      <c r="E85" s="27" t="s">
        <v>1430</v>
      </c>
      <c r="F85" s="27" t="s">
        <v>1447</v>
      </c>
      <c r="G85" s="27">
        <v>1193</v>
      </c>
      <c r="H85" s="25" t="s">
        <v>1551</v>
      </c>
    </row>
    <row r="86" spans="2:8" ht="18">
      <c r="B86" s="21">
        <v>84</v>
      </c>
      <c r="C86" s="41">
        <v>10512</v>
      </c>
      <c r="D86" s="40" t="s">
        <v>1552</v>
      </c>
      <c r="E86" s="42" t="s">
        <v>1553</v>
      </c>
      <c r="F86" s="27" t="s">
        <v>1554</v>
      </c>
      <c r="G86" s="27">
        <v>1732</v>
      </c>
      <c r="H86" s="25" t="s">
        <v>1551</v>
      </c>
    </row>
    <row r="87" spans="2:8" ht="18">
      <c r="B87" s="21">
        <v>85</v>
      </c>
      <c r="C87" s="27">
        <v>9070</v>
      </c>
      <c r="D87" s="40" t="s">
        <v>742</v>
      </c>
      <c r="E87" s="27" t="s">
        <v>1555</v>
      </c>
      <c r="F87" s="27" t="s">
        <v>1556</v>
      </c>
      <c r="G87" s="27" t="s">
        <v>1557</v>
      </c>
      <c r="H87" s="25" t="s">
        <v>1558</v>
      </c>
    </row>
    <row r="88" spans="2:8" ht="18">
      <c r="B88" s="21">
        <v>86</v>
      </c>
      <c r="C88" s="27">
        <v>8737</v>
      </c>
      <c r="D88" s="40" t="s">
        <v>370</v>
      </c>
      <c r="E88" s="27" t="s">
        <v>1430</v>
      </c>
      <c r="F88" s="27" t="s">
        <v>1447</v>
      </c>
      <c r="G88" s="27">
        <v>1190</v>
      </c>
      <c r="H88" s="25" t="s">
        <v>1558</v>
      </c>
    </row>
    <row r="89" spans="2:8" ht="18">
      <c r="B89" s="21">
        <v>87</v>
      </c>
      <c r="C89" s="27">
        <v>9359</v>
      </c>
      <c r="D89" s="40" t="s">
        <v>219</v>
      </c>
      <c r="E89" s="27" t="s">
        <v>1430</v>
      </c>
      <c r="F89" s="27" t="s">
        <v>1466</v>
      </c>
      <c r="G89" s="27">
        <v>1322</v>
      </c>
      <c r="H89" s="25" t="s">
        <v>1559</v>
      </c>
    </row>
    <row r="90" spans="2:8" ht="18">
      <c r="B90" s="21">
        <v>88</v>
      </c>
      <c r="C90" s="27">
        <v>5468</v>
      </c>
      <c r="D90" s="40" t="s">
        <v>1560</v>
      </c>
      <c r="E90" s="27" t="s">
        <v>1561</v>
      </c>
      <c r="F90" s="27" t="s">
        <v>1457</v>
      </c>
      <c r="G90" s="27">
        <v>613</v>
      </c>
      <c r="H90" s="25" t="s">
        <v>1562</v>
      </c>
    </row>
    <row r="91" spans="2:8" ht="18">
      <c r="B91" s="21">
        <v>89</v>
      </c>
      <c r="C91" s="27">
        <v>9307</v>
      </c>
      <c r="D91" s="40" t="s">
        <v>1563</v>
      </c>
      <c r="E91" s="42" t="s">
        <v>1060</v>
      </c>
      <c r="F91" s="27" t="s">
        <v>1564</v>
      </c>
      <c r="G91" s="27">
        <v>1255</v>
      </c>
      <c r="H91" s="25" t="s">
        <v>1565</v>
      </c>
    </row>
    <row r="92" spans="2:8" ht="18">
      <c r="B92" s="21">
        <v>90</v>
      </c>
      <c r="C92" s="27">
        <v>9368</v>
      </c>
      <c r="D92" s="40" t="s">
        <v>667</v>
      </c>
      <c r="E92" s="27" t="s">
        <v>1430</v>
      </c>
      <c r="F92" s="27" t="s">
        <v>1436</v>
      </c>
      <c r="G92" s="27">
        <v>1325</v>
      </c>
      <c r="H92" s="25" t="s">
        <v>1566</v>
      </c>
    </row>
    <row r="93" spans="2:8" ht="18">
      <c r="B93" s="21">
        <v>91</v>
      </c>
      <c r="C93" s="27">
        <v>9714</v>
      </c>
      <c r="D93" s="40" t="s">
        <v>130</v>
      </c>
      <c r="E93" s="27" t="s">
        <v>1567</v>
      </c>
      <c r="F93" s="27" t="s">
        <v>1568</v>
      </c>
      <c r="G93" s="27">
        <v>1425</v>
      </c>
      <c r="H93" s="25" t="s">
        <v>1569</v>
      </c>
    </row>
    <row r="94" spans="2:8" ht="18">
      <c r="B94" s="21">
        <v>92</v>
      </c>
      <c r="C94" s="27">
        <v>7248</v>
      </c>
      <c r="D94" s="40" t="s">
        <v>63</v>
      </c>
      <c r="E94" s="27" t="s">
        <v>1430</v>
      </c>
      <c r="F94" s="27" t="s">
        <v>1454</v>
      </c>
      <c r="G94" s="27">
        <v>973</v>
      </c>
      <c r="H94" s="25" t="s">
        <v>1570</v>
      </c>
    </row>
    <row r="95" spans="2:8" ht="18">
      <c r="B95" s="21">
        <v>93</v>
      </c>
      <c r="C95" s="27">
        <v>9763</v>
      </c>
      <c r="D95" s="40" t="s">
        <v>791</v>
      </c>
      <c r="E95" s="27" t="s">
        <v>1571</v>
      </c>
      <c r="F95" s="27" t="s">
        <v>1554</v>
      </c>
      <c r="G95" s="27">
        <v>1445</v>
      </c>
      <c r="H95" s="25" t="s">
        <v>1572</v>
      </c>
    </row>
    <row r="96" spans="2:8" ht="18">
      <c r="B96" s="21">
        <v>94</v>
      </c>
      <c r="C96" s="27">
        <v>9748</v>
      </c>
      <c r="D96" s="40" t="s">
        <v>727</v>
      </c>
      <c r="E96" s="27" t="s">
        <v>1573</v>
      </c>
      <c r="F96" s="27" t="s">
        <v>1454</v>
      </c>
      <c r="G96" s="27">
        <v>1450</v>
      </c>
      <c r="H96" s="25" t="s">
        <v>1569</v>
      </c>
    </row>
    <row r="97" spans="2:8" ht="18">
      <c r="B97" s="21">
        <v>95</v>
      </c>
      <c r="C97" s="27">
        <v>9836</v>
      </c>
      <c r="D97" s="40" t="s">
        <v>501</v>
      </c>
      <c r="E97" s="27" t="s">
        <v>1435</v>
      </c>
      <c r="F97" s="27" t="s">
        <v>1436</v>
      </c>
      <c r="G97" s="27">
        <v>1477</v>
      </c>
      <c r="H97" s="25" t="s">
        <v>1559</v>
      </c>
    </row>
    <row r="98" spans="2:8" ht="18">
      <c r="B98" s="21">
        <v>96</v>
      </c>
      <c r="C98" s="27">
        <v>9941</v>
      </c>
      <c r="D98" s="40" t="s">
        <v>507</v>
      </c>
      <c r="E98" s="27" t="s">
        <v>1435</v>
      </c>
      <c r="F98" s="27" t="s">
        <v>1436</v>
      </c>
      <c r="G98" s="27">
        <v>1512</v>
      </c>
      <c r="H98" s="25" t="s">
        <v>1562</v>
      </c>
    </row>
    <row r="99" spans="2:8" ht="18">
      <c r="B99" s="21">
        <v>97</v>
      </c>
      <c r="C99" s="27">
        <v>9942</v>
      </c>
      <c r="D99" s="42" t="s">
        <v>509</v>
      </c>
      <c r="E99" s="27" t="s">
        <v>1435</v>
      </c>
      <c r="F99" s="27" t="s">
        <v>1436</v>
      </c>
      <c r="G99" s="27">
        <v>1521</v>
      </c>
      <c r="H99" s="25" t="s">
        <v>1562</v>
      </c>
    </row>
    <row r="100" spans="2:8" ht="18">
      <c r="B100" s="21">
        <v>98</v>
      </c>
      <c r="C100" s="27">
        <v>6616</v>
      </c>
      <c r="D100" s="42" t="s">
        <v>378</v>
      </c>
      <c r="E100" s="27" t="s">
        <v>1574</v>
      </c>
      <c r="F100" s="27" t="s">
        <v>1447</v>
      </c>
      <c r="G100" s="27">
        <v>852</v>
      </c>
      <c r="H100" s="25" t="s">
        <v>1566</v>
      </c>
    </row>
    <row r="101" spans="2:8" ht="18">
      <c r="B101" s="21">
        <v>99</v>
      </c>
      <c r="C101" s="27">
        <v>9956</v>
      </c>
      <c r="D101" s="42" t="s">
        <v>521</v>
      </c>
      <c r="E101" s="27" t="s">
        <v>1435</v>
      </c>
      <c r="F101" s="27" t="s">
        <v>1436</v>
      </c>
      <c r="G101" s="27">
        <v>1525</v>
      </c>
      <c r="H101" s="25" t="s">
        <v>1566</v>
      </c>
    </row>
    <row r="102" spans="2:8" ht="18">
      <c r="B102" s="21">
        <v>100</v>
      </c>
      <c r="C102" s="27">
        <v>9215</v>
      </c>
      <c r="D102" s="42" t="s">
        <v>183</v>
      </c>
      <c r="E102" s="27" t="s">
        <v>1430</v>
      </c>
      <c r="F102" s="27" t="s">
        <v>1466</v>
      </c>
      <c r="G102" s="27">
        <v>1304</v>
      </c>
      <c r="H102" s="25" t="s">
        <v>1575</v>
      </c>
    </row>
    <row r="103" spans="2:8" ht="18">
      <c r="B103" s="21">
        <v>101</v>
      </c>
      <c r="C103" s="27">
        <v>9621</v>
      </c>
      <c r="D103" s="42" t="s">
        <v>748</v>
      </c>
      <c r="E103" s="27" t="s">
        <v>1576</v>
      </c>
      <c r="F103" s="27" t="s">
        <v>1454</v>
      </c>
      <c r="G103" s="27">
        <v>1398</v>
      </c>
      <c r="H103" s="25" t="s">
        <v>1570</v>
      </c>
    </row>
    <row r="104" spans="2:8" ht="18">
      <c r="B104" s="21">
        <v>102</v>
      </c>
      <c r="C104" s="27">
        <v>10111</v>
      </c>
      <c r="D104" s="42" t="s">
        <v>886</v>
      </c>
      <c r="E104" s="27" t="s">
        <v>1577</v>
      </c>
      <c r="F104" s="27" t="s">
        <v>1466</v>
      </c>
      <c r="G104" s="27">
        <v>1570</v>
      </c>
      <c r="H104" s="25" t="s">
        <v>1565</v>
      </c>
    </row>
    <row r="105" spans="2:8" ht="18">
      <c r="B105" s="21">
        <v>103</v>
      </c>
      <c r="C105" s="27">
        <v>10402</v>
      </c>
      <c r="D105" s="42" t="s">
        <v>780</v>
      </c>
      <c r="E105" s="27" t="s">
        <v>1578</v>
      </c>
      <c r="F105" s="27" t="s">
        <v>1554</v>
      </c>
      <c r="G105" s="27">
        <v>1643</v>
      </c>
      <c r="H105" s="25" t="s">
        <v>1579</v>
      </c>
    </row>
    <row r="106" spans="2:8" ht="18">
      <c r="B106" s="21">
        <v>104</v>
      </c>
      <c r="C106" s="27">
        <v>5433</v>
      </c>
      <c r="D106" s="42" t="s">
        <v>413</v>
      </c>
      <c r="E106" s="27" t="s">
        <v>1430</v>
      </c>
      <c r="F106" s="27" t="s">
        <v>1477</v>
      </c>
      <c r="G106" s="27">
        <v>605</v>
      </c>
      <c r="H106" s="25" t="s">
        <v>1579</v>
      </c>
    </row>
    <row r="107" spans="2:8" ht="18">
      <c r="B107" s="21">
        <v>105</v>
      </c>
      <c r="C107" s="27">
        <v>9668</v>
      </c>
      <c r="D107" s="42" t="s">
        <v>750</v>
      </c>
      <c r="E107" s="27" t="s">
        <v>1580</v>
      </c>
      <c r="F107" s="27" t="s">
        <v>1454</v>
      </c>
      <c r="G107" s="27">
        <v>1415</v>
      </c>
      <c r="H107" s="25" t="s">
        <v>1581</v>
      </c>
    </row>
    <row r="108" spans="2:8" ht="18">
      <c r="B108" s="21">
        <v>106</v>
      </c>
      <c r="C108" s="27">
        <v>9262</v>
      </c>
      <c r="D108" s="42" t="s">
        <v>551</v>
      </c>
      <c r="E108" s="27" t="s">
        <v>1430</v>
      </c>
      <c r="F108" s="27" t="s">
        <v>1436</v>
      </c>
      <c r="G108" s="27">
        <v>1287</v>
      </c>
      <c r="H108" s="25" t="s">
        <v>1582</v>
      </c>
    </row>
    <row r="109" spans="2:8" ht="18">
      <c r="B109" s="21">
        <v>107</v>
      </c>
      <c r="C109" s="27">
        <v>9530</v>
      </c>
      <c r="D109" s="42" t="s">
        <v>1085</v>
      </c>
      <c r="E109" s="27" t="s">
        <v>1583</v>
      </c>
      <c r="F109" s="27" t="s">
        <v>1474</v>
      </c>
      <c r="G109" s="27">
        <v>1380</v>
      </c>
      <c r="H109" s="25" t="s">
        <v>1575</v>
      </c>
    </row>
    <row r="110" spans="2:8" ht="18">
      <c r="B110" s="21">
        <v>108</v>
      </c>
      <c r="C110" s="27">
        <v>9943</v>
      </c>
      <c r="D110" s="42" t="s">
        <v>511</v>
      </c>
      <c r="E110" s="27" t="s">
        <v>1435</v>
      </c>
      <c r="F110" s="27" t="s">
        <v>1436</v>
      </c>
      <c r="G110" s="42">
        <v>1523</v>
      </c>
      <c r="H110" s="25" t="s">
        <v>1570</v>
      </c>
    </row>
    <row r="111" spans="2:8" ht="18">
      <c r="B111" s="21">
        <v>109</v>
      </c>
      <c r="C111" s="27">
        <v>9874</v>
      </c>
      <c r="D111" s="42" t="s">
        <v>884</v>
      </c>
      <c r="E111" s="27" t="s">
        <v>1444</v>
      </c>
      <c r="F111" s="27" t="s">
        <v>1466</v>
      </c>
      <c r="G111" s="42">
        <v>1504</v>
      </c>
      <c r="H111" s="25" t="s">
        <v>1581</v>
      </c>
    </row>
    <row r="112" spans="2:8" ht="18">
      <c r="B112" s="21">
        <v>110</v>
      </c>
      <c r="C112" s="27">
        <v>8908</v>
      </c>
      <c r="D112" s="42" t="s">
        <v>871</v>
      </c>
      <c r="E112" s="27" t="s">
        <v>1584</v>
      </c>
      <c r="F112" s="27" t="s">
        <v>1466</v>
      </c>
      <c r="G112" s="42">
        <v>1660</v>
      </c>
      <c r="H112" s="25" t="s">
        <v>1549</v>
      </c>
    </row>
    <row r="113" spans="2:8" ht="18">
      <c r="B113" s="21">
        <v>111</v>
      </c>
      <c r="C113" s="27">
        <v>9724</v>
      </c>
      <c r="D113" s="42" t="s">
        <v>1051</v>
      </c>
      <c r="E113" s="27" t="s">
        <v>1585</v>
      </c>
      <c r="F113" s="27" t="s">
        <v>1436</v>
      </c>
      <c r="G113" s="42">
        <v>1437</v>
      </c>
      <c r="H113" s="25" t="s">
        <v>1575</v>
      </c>
    </row>
    <row r="114" spans="2:8" ht="15.6">
      <c r="B114" s="21">
        <v>112</v>
      </c>
      <c r="C114" s="22">
        <v>9260</v>
      </c>
      <c r="D114" s="32" t="s">
        <v>626</v>
      </c>
      <c r="E114" s="22" t="s">
        <v>1430</v>
      </c>
      <c r="F114" s="43" t="s">
        <v>1474</v>
      </c>
      <c r="G114" s="22" t="s">
        <v>1586</v>
      </c>
      <c r="H114" s="25" t="s">
        <v>1587</v>
      </c>
    </row>
    <row r="115" spans="2:8" ht="15.6">
      <c r="B115" s="21">
        <v>113</v>
      </c>
      <c r="C115" s="22">
        <v>10131</v>
      </c>
      <c r="D115" s="32" t="s">
        <v>254</v>
      </c>
      <c r="E115" s="22" t="s">
        <v>1437</v>
      </c>
      <c r="F115" s="22" t="s">
        <v>1588</v>
      </c>
      <c r="G115" s="22">
        <v>1580</v>
      </c>
      <c r="H115" s="25" t="s">
        <v>1587</v>
      </c>
    </row>
    <row r="116" spans="2:8" ht="15.6">
      <c r="B116" s="21">
        <v>114</v>
      </c>
      <c r="C116" s="22">
        <v>9829</v>
      </c>
      <c r="D116" s="32" t="s">
        <v>489</v>
      </c>
      <c r="E116" s="22" t="s">
        <v>1435</v>
      </c>
      <c r="F116" s="22" t="s">
        <v>1436</v>
      </c>
      <c r="G116" s="22">
        <v>1470</v>
      </c>
      <c r="H116" s="25" t="s">
        <v>1589</v>
      </c>
    </row>
    <row r="117" spans="2:8" ht="15.6">
      <c r="B117" s="21">
        <v>115</v>
      </c>
      <c r="C117" s="22">
        <v>9811</v>
      </c>
      <c r="D117" s="32" t="s">
        <v>1590</v>
      </c>
      <c r="E117" s="22" t="s">
        <v>1480</v>
      </c>
      <c r="F117" s="22" t="s">
        <v>1447</v>
      </c>
      <c r="G117" s="22">
        <v>1452</v>
      </c>
      <c r="H117" s="25" t="s">
        <v>1591</v>
      </c>
    </row>
    <row r="118" spans="2:8" ht="15.6">
      <c r="B118" s="21">
        <v>116</v>
      </c>
      <c r="C118" s="22">
        <v>9047</v>
      </c>
      <c r="D118" s="32" t="s">
        <v>1126</v>
      </c>
      <c r="E118" s="22" t="s">
        <v>1592</v>
      </c>
      <c r="F118" s="22" t="s">
        <v>1545</v>
      </c>
      <c r="G118" s="22">
        <v>1256</v>
      </c>
      <c r="H118" s="25" t="s">
        <v>1593</v>
      </c>
    </row>
    <row r="119" spans="2:8" ht="15.6">
      <c r="B119" s="21">
        <v>117</v>
      </c>
      <c r="C119" s="22">
        <v>8734</v>
      </c>
      <c r="D119" s="32" t="s">
        <v>575</v>
      </c>
      <c r="E119" s="22" t="s">
        <v>1430</v>
      </c>
      <c r="F119" s="22" t="s">
        <v>1436</v>
      </c>
      <c r="G119" s="22">
        <v>1184</v>
      </c>
      <c r="H119" s="25" t="s">
        <v>1589</v>
      </c>
    </row>
    <row r="120" spans="2:8" ht="15.6">
      <c r="B120" s="21">
        <v>118</v>
      </c>
      <c r="C120" s="22">
        <v>9333</v>
      </c>
      <c r="D120" s="32" t="s">
        <v>1114</v>
      </c>
      <c r="E120" s="22" t="s">
        <v>1592</v>
      </c>
      <c r="F120" s="22" t="s">
        <v>1594</v>
      </c>
      <c r="G120" s="22">
        <v>1334</v>
      </c>
      <c r="H120" s="25" t="s">
        <v>1595</v>
      </c>
    </row>
    <row r="121" spans="2:8" ht="15.6">
      <c r="B121" s="21">
        <v>119</v>
      </c>
      <c r="C121" s="22">
        <v>9721</v>
      </c>
      <c r="D121" s="32" t="s">
        <v>463</v>
      </c>
      <c r="E121" s="22" t="s">
        <v>1435</v>
      </c>
      <c r="F121" s="22" t="s">
        <v>1436</v>
      </c>
      <c r="G121" s="22">
        <v>1434</v>
      </c>
      <c r="H121" s="25" t="s">
        <v>1596</v>
      </c>
    </row>
    <row r="122" spans="2:8" ht="15.6">
      <c r="B122" s="21">
        <v>120</v>
      </c>
      <c r="C122" s="22">
        <v>9278</v>
      </c>
      <c r="D122" s="32" t="s">
        <v>51</v>
      </c>
      <c r="E122" s="22" t="s">
        <v>1430</v>
      </c>
      <c r="F122" s="22" t="s">
        <v>1454</v>
      </c>
      <c r="G122" s="22">
        <v>1265</v>
      </c>
      <c r="H122" s="25" t="s">
        <v>1596</v>
      </c>
    </row>
    <row r="123" spans="2:8" ht="15.6">
      <c r="B123" s="21">
        <v>121</v>
      </c>
      <c r="C123" s="22">
        <v>9720</v>
      </c>
      <c r="D123" s="32" t="s">
        <v>460</v>
      </c>
      <c r="E123" s="22" t="s">
        <v>1435</v>
      </c>
      <c r="F123" s="22" t="s">
        <v>1436</v>
      </c>
      <c r="G123" s="22">
        <v>1433</v>
      </c>
      <c r="H123" s="25" t="s">
        <v>1597</v>
      </c>
    </row>
    <row r="124" spans="2:8" ht="15.6">
      <c r="B124" s="21">
        <v>122</v>
      </c>
      <c r="C124" s="22">
        <v>5479</v>
      </c>
      <c r="D124" s="32" t="s">
        <v>656</v>
      </c>
      <c r="E124" s="22" t="s">
        <v>1598</v>
      </c>
      <c r="F124" s="22" t="s">
        <v>1457</v>
      </c>
      <c r="G124" s="22">
        <v>704</v>
      </c>
      <c r="H124" s="25" t="s">
        <v>1597</v>
      </c>
    </row>
    <row r="125" spans="2:8" ht="15.6">
      <c r="B125" s="21">
        <v>123</v>
      </c>
      <c r="C125" s="22">
        <v>9649</v>
      </c>
      <c r="D125" s="32" t="s">
        <v>1000</v>
      </c>
      <c r="E125" s="22" t="s">
        <v>1599</v>
      </c>
      <c r="F125" s="22" t="s">
        <v>1436</v>
      </c>
      <c r="G125" s="22">
        <v>1410</v>
      </c>
      <c r="H125" s="25" t="s">
        <v>1600</v>
      </c>
    </row>
    <row r="126" spans="2:8" ht="15.6">
      <c r="B126" s="21">
        <v>124</v>
      </c>
      <c r="C126" s="22">
        <v>9820</v>
      </c>
      <c r="D126" s="32" t="s">
        <v>481</v>
      </c>
      <c r="E126" s="22" t="s">
        <v>1435</v>
      </c>
      <c r="F126" s="22" t="s">
        <v>1436</v>
      </c>
      <c r="G126" s="22">
        <v>1463</v>
      </c>
      <c r="H126" s="25" t="s">
        <v>1600</v>
      </c>
    </row>
    <row r="127" spans="2:8" ht="15.6">
      <c r="B127" s="21">
        <v>125</v>
      </c>
      <c r="C127" s="22">
        <v>9817</v>
      </c>
      <c r="D127" s="32" t="s">
        <v>477</v>
      </c>
      <c r="E127" s="22" t="s">
        <v>1435</v>
      </c>
      <c r="F127" s="22" t="s">
        <v>1436</v>
      </c>
      <c r="G127" s="22">
        <v>1460</v>
      </c>
      <c r="H127" s="25" t="s">
        <v>1601</v>
      </c>
    </row>
    <row r="128" spans="2:8" ht="15.6">
      <c r="B128" s="21">
        <v>126</v>
      </c>
      <c r="C128" s="22">
        <v>6915</v>
      </c>
      <c r="D128" s="32" t="s">
        <v>1602</v>
      </c>
      <c r="E128" s="22" t="s">
        <v>1603</v>
      </c>
      <c r="F128" s="22" t="s">
        <v>1436</v>
      </c>
      <c r="G128" s="22">
        <v>922</v>
      </c>
      <c r="H128" s="25" t="s">
        <v>1604</v>
      </c>
    </row>
    <row r="129" spans="2:8" ht="15.6">
      <c r="B129" s="21">
        <v>127</v>
      </c>
      <c r="C129" s="22">
        <v>7196</v>
      </c>
      <c r="D129" s="32" t="s">
        <v>1605</v>
      </c>
      <c r="E129" s="22" t="s">
        <v>1606</v>
      </c>
      <c r="F129" s="22" t="s">
        <v>1607</v>
      </c>
      <c r="G129" s="22">
        <v>1674</v>
      </c>
      <c r="H129" s="25" t="s">
        <v>1608</v>
      </c>
    </row>
    <row r="130" spans="2:8" ht="15.6">
      <c r="B130" s="21">
        <v>128</v>
      </c>
      <c r="C130" s="22">
        <v>9374</v>
      </c>
      <c r="D130" s="32" t="s">
        <v>61</v>
      </c>
      <c r="E130" s="22" t="s">
        <v>1497</v>
      </c>
      <c r="F130" s="22" t="s">
        <v>1454</v>
      </c>
      <c r="G130" s="22">
        <v>1317</v>
      </c>
      <c r="H130" s="25" t="s">
        <v>1609</v>
      </c>
    </row>
    <row r="131" spans="2:8" ht="15.6">
      <c r="B131" s="21">
        <v>129</v>
      </c>
      <c r="C131" s="22">
        <v>5770</v>
      </c>
      <c r="D131" s="32" t="s">
        <v>847</v>
      </c>
      <c r="E131" s="22" t="s">
        <v>1610</v>
      </c>
      <c r="F131" s="22" t="s">
        <v>1445</v>
      </c>
      <c r="G131" s="22">
        <v>629</v>
      </c>
      <c r="H131" s="25" t="s">
        <v>1593</v>
      </c>
    </row>
    <row r="132" spans="2:8" ht="15.6">
      <c r="B132" s="21">
        <v>130</v>
      </c>
      <c r="C132" s="22">
        <v>9908</v>
      </c>
      <c r="D132" s="32" t="s">
        <v>387</v>
      </c>
      <c r="E132" s="22" t="s">
        <v>1428</v>
      </c>
      <c r="F132" s="22" t="s">
        <v>1611</v>
      </c>
      <c r="G132" s="22">
        <v>1501</v>
      </c>
      <c r="H132" s="25" t="s">
        <v>1609</v>
      </c>
    </row>
    <row r="133" spans="2:8" ht="15.6">
      <c r="B133" s="21">
        <v>131</v>
      </c>
      <c r="C133" s="22">
        <v>9271</v>
      </c>
      <c r="D133" s="32" t="s">
        <v>43</v>
      </c>
      <c r="E133" s="22" t="s">
        <v>1430</v>
      </c>
      <c r="F133" s="22" t="s">
        <v>1454</v>
      </c>
      <c r="G133" s="22">
        <v>1263</v>
      </c>
      <c r="H133" s="25" t="s">
        <v>1604</v>
      </c>
    </row>
    <row r="134" spans="2:8" ht="15.6">
      <c r="B134" s="21">
        <v>132</v>
      </c>
      <c r="C134" s="22">
        <v>7486</v>
      </c>
      <c r="D134" s="32" t="s">
        <v>163</v>
      </c>
      <c r="E134" s="22" t="s">
        <v>1430</v>
      </c>
      <c r="F134" s="22" t="s">
        <v>1436</v>
      </c>
      <c r="G134" s="22">
        <v>1007</v>
      </c>
      <c r="H134" s="25" t="s">
        <v>1604</v>
      </c>
    </row>
    <row r="135" spans="2:8" ht="15.6">
      <c r="B135" s="21">
        <v>133</v>
      </c>
      <c r="C135" s="22">
        <v>10166</v>
      </c>
      <c r="D135" s="32" t="s">
        <v>400</v>
      </c>
      <c r="E135" s="22" t="s">
        <v>1480</v>
      </c>
      <c r="F135" s="22" t="s">
        <v>1429</v>
      </c>
      <c r="G135" s="22">
        <v>1589</v>
      </c>
      <c r="H135" s="25" t="s">
        <v>1612</v>
      </c>
    </row>
    <row r="136" spans="2:8" ht="15.6">
      <c r="B136" s="21">
        <v>134</v>
      </c>
      <c r="C136" s="22">
        <v>9814</v>
      </c>
      <c r="D136" s="32" t="s">
        <v>471</v>
      </c>
      <c r="E136" s="22" t="s">
        <v>1435</v>
      </c>
      <c r="F136" s="22" t="s">
        <v>1436</v>
      </c>
      <c r="G136" s="22">
        <v>1457</v>
      </c>
      <c r="H136" s="25" t="s">
        <v>1613</v>
      </c>
    </row>
    <row r="137" spans="2:8" ht="15.6">
      <c r="B137" s="21">
        <v>135</v>
      </c>
      <c r="C137" s="22">
        <v>10009</v>
      </c>
      <c r="D137" s="32" t="s">
        <v>405</v>
      </c>
      <c r="E137" s="22" t="s">
        <v>1428</v>
      </c>
      <c r="F137" s="22" t="s">
        <v>1498</v>
      </c>
      <c r="G137" s="22">
        <v>1543</v>
      </c>
      <c r="H137" s="25" t="s">
        <v>1613</v>
      </c>
    </row>
    <row r="138" spans="2:8" ht="15.6">
      <c r="B138" s="21">
        <v>136</v>
      </c>
      <c r="C138" s="22">
        <v>9833</v>
      </c>
      <c r="D138" s="32" t="s">
        <v>495</v>
      </c>
      <c r="E138" s="22" t="s">
        <v>1435</v>
      </c>
      <c r="F138" s="22" t="s">
        <v>1436</v>
      </c>
      <c r="G138" s="22">
        <v>1474</v>
      </c>
      <c r="H138" s="25" t="s">
        <v>1614</v>
      </c>
    </row>
    <row r="139" spans="2:8" ht="15.6">
      <c r="B139" s="21">
        <v>137</v>
      </c>
      <c r="C139" s="22">
        <v>8738</v>
      </c>
      <c r="D139" s="32" t="s">
        <v>643</v>
      </c>
      <c r="E139" s="22" t="s">
        <v>1430</v>
      </c>
      <c r="F139" s="22" t="s">
        <v>1615</v>
      </c>
      <c r="G139" s="22">
        <v>1644</v>
      </c>
      <c r="H139" s="25" t="s">
        <v>1591</v>
      </c>
    </row>
    <row r="140" spans="2:8" ht="15.6">
      <c r="B140" s="21">
        <v>138</v>
      </c>
      <c r="C140" s="22">
        <v>8728</v>
      </c>
      <c r="D140" s="32" t="s">
        <v>101</v>
      </c>
      <c r="E140" s="22" t="s">
        <v>102</v>
      </c>
      <c r="F140" s="22" t="s">
        <v>1501</v>
      </c>
      <c r="G140" s="22">
        <v>1181</v>
      </c>
      <c r="H140" s="25" t="s">
        <v>1595</v>
      </c>
    </row>
    <row r="141" spans="2:8" ht="15.6">
      <c r="B141" s="21">
        <v>139</v>
      </c>
      <c r="C141" s="22">
        <v>9263</v>
      </c>
      <c r="D141" s="32" t="s">
        <v>624</v>
      </c>
      <c r="E141" s="22" t="s">
        <v>1616</v>
      </c>
      <c r="F141" s="43" t="s">
        <v>1474</v>
      </c>
      <c r="G141" s="22" t="s">
        <v>1617</v>
      </c>
      <c r="H141" s="25" t="s">
        <v>1601</v>
      </c>
    </row>
    <row r="142" spans="2:8" ht="15.6">
      <c r="B142" s="21">
        <v>140</v>
      </c>
      <c r="C142" s="22">
        <v>9832</v>
      </c>
      <c r="D142" s="32" t="s">
        <v>493</v>
      </c>
      <c r="E142" s="22" t="s">
        <v>1435</v>
      </c>
      <c r="F142" s="22" t="s">
        <v>1436</v>
      </c>
      <c r="G142" s="22">
        <v>1473</v>
      </c>
      <c r="H142" s="25" t="s">
        <v>1618</v>
      </c>
    </row>
    <row r="143" spans="2:8" ht="15.6">
      <c r="B143" s="21">
        <v>141</v>
      </c>
      <c r="C143" s="22">
        <v>9823</v>
      </c>
      <c r="D143" s="32" t="s">
        <v>485</v>
      </c>
      <c r="E143" s="22" t="s">
        <v>1435</v>
      </c>
      <c r="F143" s="22" t="s">
        <v>1619</v>
      </c>
      <c r="G143" s="22">
        <v>1454</v>
      </c>
      <c r="H143" s="25" t="s">
        <v>1591</v>
      </c>
    </row>
    <row r="144" spans="2:8" ht="16.8">
      <c r="B144" s="21">
        <v>142</v>
      </c>
      <c r="C144" s="37">
        <v>9952</v>
      </c>
      <c r="D144" s="39" t="s">
        <v>517</v>
      </c>
      <c r="E144" s="22" t="s">
        <v>1435</v>
      </c>
      <c r="F144" s="22" t="s">
        <v>1436</v>
      </c>
      <c r="G144" s="37">
        <v>1518</v>
      </c>
      <c r="H144" s="25" t="s">
        <v>1618</v>
      </c>
    </row>
    <row r="145" spans="2:8" ht="16.8">
      <c r="B145" s="21">
        <v>143</v>
      </c>
      <c r="C145" s="37">
        <v>8840</v>
      </c>
      <c r="D145" s="39" t="s">
        <v>1620</v>
      </c>
      <c r="E145" s="37" t="s">
        <v>1621</v>
      </c>
      <c r="F145" s="37" t="s">
        <v>1615</v>
      </c>
      <c r="G145" s="37">
        <v>1228</v>
      </c>
      <c r="H145" s="25" t="s">
        <v>1593</v>
      </c>
    </row>
    <row r="146" spans="2:8" ht="15.6">
      <c r="B146" s="21">
        <v>144</v>
      </c>
      <c r="C146" s="22">
        <v>9529</v>
      </c>
      <c r="D146" s="36" t="s">
        <v>997</v>
      </c>
      <c r="E146" s="22" t="s">
        <v>1622</v>
      </c>
      <c r="F146" s="22" t="s">
        <v>1436</v>
      </c>
      <c r="G146" s="22">
        <v>1379</v>
      </c>
      <c r="H146" s="25" t="s">
        <v>1623</v>
      </c>
    </row>
    <row r="147" spans="2:8" ht="15.6">
      <c r="B147" s="21">
        <v>145</v>
      </c>
      <c r="C147" s="22">
        <v>8224</v>
      </c>
      <c r="D147" s="36" t="s">
        <v>319</v>
      </c>
      <c r="E147" s="22" t="s">
        <v>1430</v>
      </c>
      <c r="F147" s="22" t="s">
        <v>1624</v>
      </c>
      <c r="G147" s="22">
        <v>1120</v>
      </c>
      <c r="H147" s="25" t="s">
        <v>1623</v>
      </c>
    </row>
    <row r="148" spans="2:8" ht="15.6">
      <c r="B148" s="21">
        <v>146</v>
      </c>
      <c r="C148" s="22">
        <v>10457</v>
      </c>
      <c r="D148" s="36" t="s">
        <v>783</v>
      </c>
      <c r="E148" s="22" t="s">
        <v>1578</v>
      </c>
      <c r="F148" s="22" t="s">
        <v>1554</v>
      </c>
      <c r="G148" s="22">
        <v>1656</v>
      </c>
      <c r="H148" s="25" t="s">
        <v>1625</v>
      </c>
    </row>
    <row r="149" spans="2:8" ht="15.6">
      <c r="B149" s="21">
        <v>147</v>
      </c>
      <c r="C149" s="22">
        <v>8182</v>
      </c>
      <c r="D149" s="44" t="s">
        <v>949</v>
      </c>
      <c r="E149" s="22" t="s">
        <v>1626</v>
      </c>
      <c r="F149" s="22" t="s">
        <v>1627</v>
      </c>
      <c r="G149" s="22">
        <v>1371</v>
      </c>
      <c r="H149" s="25" t="s">
        <v>1625</v>
      </c>
    </row>
    <row r="150" spans="2:8" ht="15.6">
      <c r="B150" s="21">
        <v>148</v>
      </c>
      <c r="C150" s="22">
        <v>10977</v>
      </c>
      <c r="D150" s="36" t="s">
        <v>861</v>
      </c>
      <c r="E150" s="22" t="s">
        <v>902</v>
      </c>
      <c r="F150" s="22" t="s">
        <v>1466</v>
      </c>
      <c r="G150" s="22">
        <v>1699</v>
      </c>
      <c r="H150" s="25" t="s">
        <v>1628</v>
      </c>
    </row>
    <row r="151" spans="2:8" ht="15.6">
      <c r="B151" s="21">
        <v>149</v>
      </c>
      <c r="C151" s="22">
        <v>9331</v>
      </c>
      <c r="D151" s="36" t="s">
        <v>808</v>
      </c>
      <c r="E151" s="22" t="s">
        <v>1629</v>
      </c>
      <c r="F151" s="22" t="s">
        <v>1501</v>
      </c>
      <c r="G151" s="22">
        <v>1333</v>
      </c>
      <c r="H151" s="25" t="s">
        <v>1628</v>
      </c>
    </row>
    <row r="152" spans="2:8" ht="15.6">
      <c r="B152" s="21">
        <v>150</v>
      </c>
      <c r="C152" s="22">
        <v>8735</v>
      </c>
      <c r="D152" s="36" t="s">
        <v>577</v>
      </c>
      <c r="E152" s="22" t="s">
        <v>1430</v>
      </c>
      <c r="F152" s="22" t="s">
        <v>1436</v>
      </c>
      <c r="G152" s="22">
        <v>1185</v>
      </c>
      <c r="H152" s="25" t="s">
        <v>1630</v>
      </c>
    </row>
    <row r="153" spans="2:8" ht="15.6">
      <c r="B153" s="21">
        <v>151</v>
      </c>
      <c r="C153" s="22">
        <v>9227</v>
      </c>
      <c r="D153" s="36" t="s">
        <v>189</v>
      </c>
      <c r="E153" s="22" t="s">
        <v>1430</v>
      </c>
      <c r="F153" s="22" t="s">
        <v>1426</v>
      </c>
      <c r="G153" s="22">
        <v>1274</v>
      </c>
      <c r="H153" s="25" t="s">
        <v>1630</v>
      </c>
    </row>
    <row r="154" spans="2:8" ht="15.6">
      <c r="B154" s="21">
        <v>152</v>
      </c>
      <c r="C154" s="22">
        <v>8729</v>
      </c>
      <c r="D154" s="36" t="s">
        <v>579</v>
      </c>
      <c r="E154" s="22" t="s">
        <v>1430</v>
      </c>
      <c r="F154" s="22" t="s">
        <v>1436</v>
      </c>
      <c r="G154" s="22">
        <v>1188</v>
      </c>
      <c r="H154" s="25" t="s">
        <v>1631</v>
      </c>
    </row>
    <row r="155" spans="2:8" ht="15.6">
      <c r="B155" s="21">
        <v>153</v>
      </c>
      <c r="C155" s="22">
        <v>10386</v>
      </c>
      <c r="D155" s="36" t="s">
        <v>458</v>
      </c>
      <c r="E155" s="22" t="s">
        <v>1435</v>
      </c>
      <c r="F155" s="22" t="s">
        <v>1436</v>
      </c>
      <c r="G155" s="22">
        <v>1640</v>
      </c>
      <c r="H155" s="25" t="s">
        <v>1631</v>
      </c>
    </row>
    <row r="156" spans="2:8" ht="15.6">
      <c r="B156" s="21">
        <v>154</v>
      </c>
      <c r="C156" s="22">
        <v>8542</v>
      </c>
      <c r="D156" s="36" t="s">
        <v>104</v>
      </c>
      <c r="E156" s="35" t="s">
        <v>105</v>
      </c>
      <c r="F156" s="22" t="s">
        <v>1501</v>
      </c>
      <c r="G156" s="22">
        <v>1140</v>
      </c>
      <c r="H156" s="25" t="s">
        <v>1632</v>
      </c>
    </row>
    <row r="157" spans="2:8" ht="15.6">
      <c r="B157" s="21">
        <v>155</v>
      </c>
      <c r="C157" s="22">
        <v>6709</v>
      </c>
      <c r="D157" s="36" t="s">
        <v>722</v>
      </c>
      <c r="E157" s="22" t="s">
        <v>1633</v>
      </c>
      <c r="F157" s="22" t="s">
        <v>1454</v>
      </c>
      <c r="G157" s="22">
        <v>1395</v>
      </c>
      <c r="H157" s="25" t="s">
        <v>1632</v>
      </c>
    </row>
    <row r="158" spans="2:8" ht="15.6">
      <c r="B158" s="21">
        <v>156</v>
      </c>
      <c r="C158" s="22">
        <v>9187</v>
      </c>
      <c r="D158" s="36" t="s">
        <v>207</v>
      </c>
      <c r="E158" s="22" t="s">
        <v>1497</v>
      </c>
      <c r="F158" s="22" t="s">
        <v>1466</v>
      </c>
      <c r="G158" s="22">
        <v>1269</v>
      </c>
      <c r="H158" s="25" t="s">
        <v>1634</v>
      </c>
    </row>
    <row r="159" spans="2:8" ht="15.6">
      <c r="B159" s="21">
        <v>157</v>
      </c>
      <c r="C159" s="22">
        <v>7976</v>
      </c>
      <c r="D159" s="36" t="s">
        <v>362</v>
      </c>
      <c r="E159" s="22" t="s">
        <v>1635</v>
      </c>
      <c r="F159" s="22" t="s">
        <v>1447</v>
      </c>
      <c r="G159" s="22">
        <v>1073</v>
      </c>
      <c r="H159" s="25" t="s">
        <v>1634</v>
      </c>
    </row>
    <row r="160" spans="2:8" ht="15.6">
      <c r="B160" s="21">
        <v>158</v>
      </c>
      <c r="C160" s="22">
        <v>7256</v>
      </c>
      <c r="D160" s="36" t="s">
        <v>912</v>
      </c>
      <c r="E160" s="22" t="s">
        <v>1636</v>
      </c>
      <c r="F160" s="22" t="s">
        <v>1466</v>
      </c>
      <c r="G160" s="22">
        <v>979</v>
      </c>
      <c r="H160" s="25" t="s">
        <v>1637</v>
      </c>
    </row>
    <row r="161" spans="2:8" ht="15.6">
      <c r="B161" s="21">
        <v>159</v>
      </c>
      <c r="C161" s="22">
        <v>9202</v>
      </c>
      <c r="D161" s="36" t="s">
        <v>176</v>
      </c>
      <c r="E161" s="22" t="s">
        <v>1638</v>
      </c>
      <c r="F161" s="22" t="s">
        <v>1466</v>
      </c>
      <c r="G161" s="22">
        <v>1312</v>
      </c>
      <c r="H161" s="25" t="s">
        <v>1637</v>
      </c>
    </row>
    <row r="162" spans="2:8" ht="15.6">
      <c r="B162" s="21">
        <v>160</v>
      </c>
      <c r="C162" s="22">
        <v>7130</v>
      </c>
      <c r="D162" s="36" t="s">
        <v>1639</v>
      </c>
      <c r="E162" s="22" t="s">
        <v>1640</v>
      </c>
      <c r="F162" s="22" t="s">
        <v>1436</v>
      </c>
      <c r="G162" s="22">
        <v>946</v>
      </c>
      <c r="H162" s="25" t="s">
        <v>1641</v>
      </c>
    </row>
    <row r="163" spans="2:8" ht="15.6">
      <c r="B163" s="21">
        <v>161</v>
      </c>
      <c r="C163" s="22">
        <v>8875</v>
      </c>
      <c r="D163" s="36" t="s">
        <v>233</v>
      </c>
      <c r="E163" s="22" t="s">
        <v>1430</v>
      </c>
      <c r="F163" s="22" t="s">
        <v>1466</v>
      </c>
      <c r="G163" s="22">
        <v>1213</v>
      </c>
      <c r="H163" s="25" t="s">
        <v>1642</v>
      </c>
    </row>
    <row r="164" spans="2:8" ht="15.6">
      <c r="B164" s="21">
        <v>162</v>
      </c>
      <c r="C164" s="45">
        <v>8846</v>
      </c>
      <c r="D164" s="46" t="s">
        <v>427</v>
      </c>
      <c r="E164" s="47" t="s">
        <v>1643</v>
      </c>
      <c r="F164" s="45" t="s">
        <v>1644</v>
      </c>
      <c r="G164" s="48">
        <v>1698</v>
      </c>
      <c r="H164" s="25" t="s">
        <v>1642</v>
      </c>
    </row>
    <row r="165" spans="2:8" ht="15.6">
      <c r="B165" s="21">
        <v>163</v>
      </c>
      <c r="C165" s="22">
        <v>9274</v>
      </c>
      <c r="D165" s="36" t="s">
        <v>805</v>
      </c>
      <c r="E165" s="22" t="s">
        <v>1645</v>
      </c>
      <c r="F165" s="22" t="s">
        <v>1501</v>
      </c>
      <c r="G165" s="22">
        <v>1382</v>
      </c>
      <c r="H165" s="25" t="s">
        <v>1646</v>
      </c>
    </row>
    <row r="166" spans="2:8" ht="15.6">
      <c r="B166" s="21">
        <v>164</v>
      </c>
      <c r="C166" s="45">
        <v>8847</v>
      </c>
      <c r="D166" s="49" t="s">
        <v>430</v>
      </c>
      <c r="E166" s="50" t="s">
        <v>1647</v>
      </c>
      <c r="F166" s="45" t="s">
        <v>1644</v>
      </c>
      <c r="G166" s="48">
        <v>1797</v>
      </c>
      <c r="H166" s="25" t="s">
        <v>1646</v>
      </c>
    </row>
    <row r="167" spans="2:8" ht="15.6">
      <c r="B167" s="21">
        <v>165</v>
      </c>
      <c r="C167" s="22">
        <v>9199</v>
      </c>
      <c r="D167" s="36" t="s">
        <v>211</v>
      </c>
      <c r="E167" s="22" t="s">
        <v>1497</v>
      </c>
      <c r="F167" s="22" t="s">
        <v>1466</v>
      </c>
      <c r="G167" s="22">
        <v>1298</v>
      </c>
      <c r="H167" s="25" t="s">
        <v>1648</v>
      </c>
    </row>
    <row r="168" spans="2:8" ht="15.6">
      <c r="B168" s="21">
        <v>166</v>
      </c>
      <c r="C168" s="22">
        <v>7370</v>
      </c>
      <c r="D168" s="36" t="s">
        <v>918</v>
      </c>
      <c r="E168" s="22" t="s">
        <v>1446</v>
      </c>
      <c r="F168" s="22" t="s">
        <v>1466</v>
      </c>
      <c r="G168" s="22">
        <v>1000</v>
      </c>
      <c r="H168" s="25" t="s">
        <v>1649</v>
      </c>
    </row>
    <row r="169" spans="2:8" ht="15.6">
      <c r="B169" s="21">
        <v>167</v>
      </c>
      <c r="C169" s="22">
        <v>9223</v>
      </c>
      <c r="D169" s="36" t="s">
        <v>185</v>
      </c>
      <c r="E169" s="22" t="s">
        <v>1430</v>
      </c>
      <c r="F169" s="22" t="s">
        <v>1466</v>
      </c>
      <c r="G169" s="22">
        <v>1307</v>
      </c>
      <c r="H169" s="25" t="s">
        <v>1650</v>
      </c>
    </row>
    <row r="170" spans="2:8" ht="15.6">
      <c r="B170" s="21">
        <v>168</v>
      </c>
      <c r="C170" s="22">
        <v>9209</v>
      </c>
      <c r="D170" s="36" t="s">
        <v>181</v>
      </c>
      <c r="E170" s="22" t="s">
        <v>1430</v>
      </c>
      <c r="F170" s="22" t="s">
        <v>1466</v>
      </c>
      <c r="G170" s="22">
        <v>1271</v>
      </c>
      <c r="H170" s="25" t="s">
        <v>1651</v>
      </c>
    </row>
    <row r="171" spans="2:8" ht="15.6">
      <c r="B171" s="21">
        <v>169</v>
      </c>
      <c r="C171" s="22">
        <v>9279</v>
      </c>
      <c r="D171" s="36" t="s">
        <v>53</v>
      </c>
      <c r="E171" s="22" t="s">
        <v>1430</v>
      </c>
      <c r="F171" s="22" t="s">
        <v>1454</v>
      </c>
      <c r="G171" s="22">
        <v>1266</v>
      </c>
      <c r="H171" s="25" t="s">
        <v>1651</v>
      </c>
    </row>
    <row r="172" spans="2:8" ht="15.6">
      <c r="B172" s="21">
        <v>170</v>
      </c>
      <c r="C172" s="22">
        <v>9274</v>
      </c>
      <c r="D172" s="36" t="s">
        <v>187</v>
      </c>
      <c r="E172" s="22" t="s">
        <v>1430</v>
      </c>
      <c r="F172" s="22" t="s">
        <v>1466</v>
      </c>
      <c r="G172" s="22">
        <v>1273</v>
      </c>
      <c r="H172" s="25" t="s">
        <v>1652</v>
      </c>
    </row>
    <row r="173" spans="2:8" ht="15.6">
      <c r="B173" s="21">
        <v>171</v>
      </c>
      <c r="C173" s="22">
        <v>9858</v>
      </c>
      <c r="D173" s="36" t="s">
        <v>730</v>
      </c>
      <c r="E173" s="22" t="s">
        <v>1653</v>
      </c>
      <c r="F173" s="22" t="s">
        <v>1454</v>
      </c>
      <c r="G173" s="22">
        <v>1661</v>
      </c>
      <c r="H173" s="25" t="s">
        <v>1652</v>
      </c>
    </row>
    <row r="174" spans="2:8" ht="15.6">
      <c r="B174" s="21">
        <v>172</v>
      </c>
      <c r="C174" s="22">
        <v>9306</v>
      </c>
      <c r="D174" s="36" t="s">
        <v>356</v>
      </c>
      <c r="E174" s="22" t="s">
        <v>1430</v>
      </c>
      <c r="F174" s="22" t="s">
        <v>1447</v>
      </c>
      <c r="G174" s="22">
        <v>1293</v>
      </c>
      <c r="H174" s="25" t="s">
        <v>1654</v>
      </c>
    </row>
    <row r="175" spans="2:8" ht="15.6">
      <c r="B175" s="21">
        <v>173</v>
      </c>
      <c r="C175" s="22">
        <v>8730</v>
      </c>
      <c r="D175" s="36" t="s">
        <v>581</v>
      </c>
      <c r="E175" s="22" t="s">
        <v>1430</v>
      </c>
      <c r="F175" s="22" t="s">
        <v>1436</v>
      </c>
      <c r="G175" s="22">
        <v>1186</v>
      </c>
      <c r="H175" s="25" t="s">
        <v>1654</v>
      </c>
    </row>
    <row r="176" spans="2:8" ht="15.6">
      <c r="B176" s="21">
        <v>174</v>
      </c>
      <c r="C176" s="22">
        <v>9722</v>
      </c>
      <c r="D176" s="36" t="s">
        <v>465</v>
      </c>
      <c r="E176" s="22" t="s">
        <v>1435</v>
      </c>
      <c r="F176" s="22" t="s">
        <v>1436</v>
      </c>
      <c r="G176" s="22">
        <v>1435</v>
      </c>
      <c r="H176" s="25" t="s">
        <v>1655</v>
      </c>
    </row>
    <row r="177" spans="2:8" ht="15.6">
      <c r="B177" s="21">
        <v>175</v>
      </c>
      <c r="C177" s="22">
        <v>9258</v>
      </c>
      <c r="D177" s="36" t="s">
        <v>665</v>
      </c>
      <c r="E177" s="22" t="s">
        <v>1430</v>
      </c>
      <c r="F177" s="22" t="s">
        <v>1436</v>
      </c>
      <c r="G177" s="22">
        <v>1310</v>
      </c>
      <c r="H177" s="25" t="s">
        <v>1655</v>
      </c>
    </row>
    <row r="178" spans="2:8" ht="15.6">
      <c r="B178" s="21">
        <v>176</v>
      </c>
      <c r="C178" s="22">
        <v>9228</v>
      </c>
      <c r="D178" s="36" t="s">
        <v>191</v>
      </c>
      <c r="E178" s="22" t="s">
        <v>1430</v>
      </c>
      <c r="F178" s="22" t="s">
        <v>1466</v>
      </c>
      <c r="G178" s="22">
        <v>1275</v>
      </c>
      <c r="H178" s="25" t="s">
        <v>1656</v>
      </c>
    </row>
    <row r="179" spans="2:8" ht="15.6">
      <c r="B179" s="21">
        <v>177</v>
      </c>
      <c r="C179" s="22">
        <v>7701</v>
      </c>
      <c r="D179" s="36" t="s">
        <v>1657</v>
      </c>
      <c r="E179" s="22" t="s">
        <v>1425</v>
      </c>
      <c r="F179" s="22" t="s">
        <v>1658</v>
      </c>
      <c r="G179" s="22">
        <v>1722</v>
      </c>
      <c r="H179" s="25" t="s">
        <v>1659</v>
      </c>
    </row>
    <row r="180" spans="2:8" ht="15.6">
      <c r="B180" s="21">
        <v>178</v>
      </c>
      <c r="C180" s="22">
        <v>7979</v>
      </c>
      <c r="D180" s="36" t="s">
        <v>559</v>
      </c>
      <c r="E180" s="22" t="s">
        <v>1430</v>
      </c>
      <c r="F180" s="22" t="s">
        <v>1660</v>
      </c>
      <c r="G180" s="22">
        <v>1070</v>
      </c>
      <c r="H180" s="25" t="s">
        <v>1661</v>
      </c>
    </row>
    <row r="181" spans="2:8" ht="15.6">
      <c r="B181" s="21">
        <v>179</v>
      </c>
      <c r="C181" s="22">
        <v>8211</v>
      </c>
      <c r="D181" s="36" t="s">
        <v>231</v>
      </c>
      <c r="E181" s="22" t="s">
        <v>1430</v>
      </c>
      <c r="F181" s="22" t="s">
        <v>1466</v>
      </c>
      <c r="G181" s="22">
        <v>1105</v>
      </c>
      <c r="H181" s="25" t="s">
        <v>1654</v>
      </c>
    </row>
    <row r="182" spans="2:8" ht="15.6">
      <c r="B182" s="21">
        <v>180</v>
      </c>
      <c r="C182" s="22">
        <v>10132</v>
      </c>
      <c r="D182" s="36" t="s">
        <v>1662</v>
      </c>
      <c r="E182" s="22" t="s">
        <v>1437</v>
      </c>
      <c r="F182" s="22" t="s">
        <v>1554</v>
      </c>
      <c r="G182" s="22">
        <v>1581</v>
      </c>
      <c r="H182" s="25" t="s">
        <v>1654</v>
      </c>
    </row>
    <row r="183" spans="2:8" ht="16.8">
      <c r="B183" s="21">
        <v>181</v>
      </c>
      <c r="C183" s="37">
        <v>7973</v>
      </c>
      <c r="D183" s="39" t="s">
        <v>1663</v>
      </c>
      <c r="E183" s="37" t="s">
        <v>1060</v>
      </c>
      <c r="F183" s="37" t="s">
        <v>1436</v>
      </c>
      <c r="G183" s="37">
        <v>1064</v>
      </c>
      <c r="H183" s="25" t="s">
        <v>1664</v>
      </c>
    </row>
    <row r="184" spans="2:8" ht="16.8">
      <c r="B184" s="21">
        <v>182</v>
      </c>
      <c r="C184" s="37">
        <v>10383</v>
      </c>
      <c r="D184" s="39" t="s">
        <v>1665</v>
      </c>
      <c r="E184" s="37" t="s">
        <v>1666</v>
      </c>
      <c r="F184" s="37" t="s">
        <v>1486</v>
      </c>
      <c r="G184" s="37">
        <v>1639</v>
      </c>
      <c r="H184" s="25" t="s">
        <v>1664</v>
      </c>
    </row>
    <row r="185" spans="2:8" ht="16.8">
      <c r="B185" s="21">
        <v>183</v>
      </c>
      <c r="C185" s="37">
        <v>9725</v>
      </c>
      <c r="D185" s="39" t="s">
        <v>1053</v>
      </c>
      <c r="E185" s="37" t="s">
        <v>1470</v>
      </c>
      <c r="F185" s="37" t="s">
        <v>1436</v>
      </c>
      <c r="G185" s="37">
        <v>1438</v>
      </c>
      <c r="H185" s="25" t="s">
        <v>1667</v>
      </c>
    </row>
    <row r="186" spans="2:8" ht="16.8">
      <c r="B186" s="21">
        <v>184</v>
      </c>
      <c r="C186" s="37">
        <v>6738</v>
      </c>
      <c r="D186" s="38" t="s">
        <v>946</v>
      </c>
      <c r="E186" s="37" t="s">
        <v>1668</v>
      </c>
      <c r="F186" s="37" t="s">
        <v>1658</v>
      </c>
      <c r="G186" s="37">
        <v>1662</v>
      </c>
      <c r="H186" s="25" t="s">
        <v>1669</v>
      </c>
    </row>
    <row r="187" spans="2:8" ht="16.8">
      <c r="B187" s="21">
        <v>185</v>
      </c>
      <c r="C187" s="37">
        <v>7254</v>
      </c>
      <c r="D187" s="39" t="s">
        <v>297</v>
      </c>
      <c r="E187" s="37" t="s">
        <v>1430</v>
      </c>
      <c r="F187" s="37" t="s">
        <v>1670</v>
      </c>
      <c r="G187" s="37">
        <v>978</v>
      </c>
      <c r="H187" s="25" t="s">
        <v>1669</v>
      </c>
    </row>
    <row r="188" spans="2:8" ht="16.8">
      <c r="B188" s="21">
        <v>186</v>
      </c>
      <c r="C188" s="37">
        <v>9300</v>
      </c>
      <c r="D188" s="39" t="s">
        <v>285</v>
      </c>
      <c r="E188" s="37" t="s">
        <v>1430</v>
      </c>
      <c r="F188" s="37" t="s">
        <v>1471</v>
      </c>
      <c r="G188" s="37">
        <v>1288</v>
      </c>
      <c r="H188" s="25" t="s">
        <v>1669</v>
      </c>
    </row>
    <row r="189" spans="2:8" ht="16.8">
      <c r="B189" s="21">
        <v>187</v>
      </c>
      <c r="C189" s="37">
        <v>8223</v>
      </c>
      <c r="D189" s="39" t="s">
        <v>569</v>
      </c>
      <c r="E189" s="37" t="s">
        <v>1430</v>
      </c>
      <c r="F189" s="37" t="s">
        <v>1436</v>
      </c>
      <c r="G189" s="37">
        <v>1119</v>
      </c>
      <c r="H189" s="25" t="s">
        <v>1671</v>
      </c>
    </row>
    <row r="190" spans="2:8" ht="16.8">
      <c r="B190" s="21">
        <v>188</v>
      </c>
      <c r="C190" s="37">
        <v>7446</v>
      </c>
      <c r="D190" s="39" t="s">
        <v>372</v>
      </c>
      <c r="E190" s="37" t="s">
        <v>1430</v>
      </c>
      <c r="F190" s="37" t="s">
        <v>1447</v>
      </c>
      <c r="G190" s="37">
        <v>1004</v>
      </c>
      <c r="H190" s="25" t="s">
        <v>1672</v>
      </c>
    </row>
    <row r="191" spans="2:8" ht="16.8">
      <c r="B191" s="21">
        <v>189</v>
      </c>
      <c r="C191" s="37">
        <v>8143</v>
      </c>
      <c r="D191" s="39" t="s">
        <v>628</v>
      </c>
      <c r="E191" s="37" t="s">
        <v>1430</v>
      </c>
      <c r="F191" s="37" t="s">
        <v>1474</v>
      </c>
      <c r="G191" s="37" t="s">
        <v>1673</v>
      </c>
      <c r="H191" s="25" t="s">
        <v>1674</v>
      </c>
    </row>
    <row r="192" spans="2:8" ht="16.8">
      <c r="B192" s="21">
        <v>190</v>
      </c>
      <c r="C192" s="37">
        <v>8242</v>
      </c>
      <c r="D192" s="39" t="s">
        <v>958</v>
      </c>
      <c r="E192" s="37" t="s">
        <v>1675</v>
      </c>
      <c r="F192" s="37" t="s">
        <v>1619</v>
      </c>
      <c r="G192" s="37">
        <v>1121</v>
      </c>
      <c r="H192" s="25" t="s">
        <v>1674</v>
      </c>
    </row>
    <row r="193" spans="2:8" ht="16.8">
      <c r="B193" s="21">
        <v>191</v>
      </c>
      <c r="C193" s="37">
        <v>7253</v>
      </c>
      <c r="D193" s="39" t="s">
        <v>956</v>
      </c>
      <c r="E193" s="37" t="s">
        <v>1636</v>
      </c>
      <c r="F193" s="37" t="s">
        <v>1498</v>
      </c>
      <c r="G193" s="37">
        <v>977</v>
      </c>
      <c r="H193" s="25" t="s">
        <v>1676</v>
      </c>
    </row>
    <row r="194" spans="2:8" ht="16.8">
      <c r="B194" s="21">
        <v>192</v>
      </c>
      <c r="C194" s="37">
        <v>8141</v>
      </c>
      <c r="D194" s="39" t="s">
        <v>561</v>
      </c>
      <c r="E194" s="37" t="s">
        <v>1430</v>
      </c>
      <c r="F194" s="37" t="s">
        <v>1436</v>
      </c>
      <c r="G194" s="37">
        <v>1090</v>
      </c>
      <c r="H194" s="25" t="s">
        <v>1676</v>
      </c>
    </row>
    <row r="195" spans="2:8" ht="18">
      <c r="B195" s="21">
        <v>193</v>
      </c>
      <c r="C195" s="27">
        <v>9370</v>
      </c>
      <c r="D195" s="39" t="s">
        <v>159</v>
      </c>
      <c r="E195" s="37" t="s">
        <v>1430</v>
      </c>
      <c r="F195" s="37" t="s">
        <v>1677</v>
      </c>
      <c r="G195" s="37">
        <v>1327</v>
      </c>
      <c r="H195" s="25" t="s">
        <v>1676</v>
      </c>
    </row>
    <row r="196" spans="2:8" ht="16.8">
      <c r="B196" s="21">
        <v>194</v>
      </c>
      <c r="C196" s="37">
        <v>7607</v>
      </c>
      <c r="D196" s="39" t="s">
        <v>993</v>
      </c>
      <c r="E196" s="37" t="s">
        <v>1678</v>
      </c>
      <c r="F196" s="37" t="s">
        <v>1436</v>
      </c>
      <c r="G196" s="37">
        <v>1027</v>
      </c>
      <c r="H196" s="25" t="s">
        <v>1679</v>
      </c>
    </row>
    <row r="197" spans="2:8" ht="16.8">
      <c r="B197" s="21">
        <v>195</v>
      </c>
      <c r="C197" s="37">
        <v>9364</v>
      </c>
      <c r="D197" s="39" t="s">
        <v>221</v>
      </c>
      <c r="E197" s="37" t="s">
        <v>1430</v>
      </c>
      <c r="F197" s="37" t="s">
        <v>1466</v>
      </c>
      <c r="G197" s="37">
        <v>1323</v>
      </c>
      <c r="H197" s="25" t="s">
        <v>1679</v>
      </c>
    </row>
    <row r="198" spans="2:8" ht="16.8">
      <c r="B198" s="21">
        <v>196</v>
      </c>
      <c r="C198" s="37">
        <v>8147</v>
      </c>
      <c r="D198" s="39" t="s">
        <v>563</v>
      </c>
      <c r="E198" s="37" t="s">
        <v>1430</v>
      </c>
      <c r="F198" s="37" t="s">
        <v>1436</v>
      </c>
      <c r="G198" s="37">
        <v>1095</v>
      </c>
      <c r="H198" s="25" t="s">
        <v>1680</v>
      </c>
    </row>
    <row r="199" spans="2:8" ht="16.8">
      <c r="B199" s="21">
        <v>197</v>
      </c>
      <c r="C199" s="37">
        <v>9229</v>
      </c>
      <c r="D199" s="39" t="s">
        <v>193</v>
      </c>
      <c r="E199" s="37" t="s">
        <v>1430</v>
      </c>
      <c r="F199" s="37" t="s">
        <v>1466</v>
      </c>
      <c r="G199" s="37">
        <v>1276</v>
      </c>
      <c r="H199" s="25" t="s">
        <v>1680</v>
      </c>
    </row>
    <row r="200" spans="2:8" ht="16.8">
      <c r="B200" s="21">
        <v>198</v>
      </c>
      <c r="C200" s="37">
        <v>6773</v>
      </c>
      <c r="D200" s="39" t="s">
        <v>965</v>
      </c>
      <c r="E200" s="37" t="s">
        <v>1681</v>
      </c>
      <c r="F200" s="37" t="s">
        <v>1436</v>
      </c>
      <c r="G200" s="37">
        <v>892</v>
      </c>
      <c r="H200" s="25" t="s">
        <v>1682</v>
      </c>
    </row>
    <row r="201" spans="2:8" ht="16.8">
      <c r="B201" s="21">
        <v>199</v>
      </c>
      <c r="C201" s="37">
        <v>6866</v>
      </c>
      <c r="D201" s="39" t="s">
        <v>239</v>
      </c>
      <c r="E201" s="37" t="s">
        <v>1430</v>
      </c>
      <c r="F201" s="37" t="s">
        <v>1466</v>
      </c>
      <c r="G201" s="37">
        <v>911</v>
      </c>
      <c r="H201" s="25" t="s">
        <v>1682</v>
      </c>
    </row>
    <row r="202" spans="2:8" ht="16.8">
      <c r="B202" s="21">
        <v>200</v>
      </c>
      <c r="C202" s="37">
        <v>7278</v>
      </c>
      <c r="D202" s="39" t="s">
        <v>915</v>
      </c>
      <c r="E202" s="37" t="s">
        <v>1636</v>
      </c>
      <c r="F202" s="37" t="s">
        <v>1466</v>
      </c>
      <c r="G202" s="37">
        <v>991</v>
      </c>
      <c r="H202" s="25" t="s">
        <v>1683</v>
      </c>
    </row>
    <row r="203" spans="2:8" ht="16.8">
      <c r="B203" s="21">
        <v>201</v>
      </c>
      <c r="C203" s="37">
        <v>9799</v>
      </c>
      <c r="D203" s="39" t="s">
        <v>1684</v>
      </c>
      <c r="E203" s="37" t="s">
        <v>1685</v>
      </c>
      <c r="F203" s="37" t="s">
        <v>1433</v>
      </c>
      <c r="G203" s="37">
        <v>1658</v>
      </c>
      <c r="H203" s="25" t="s">
        <v>1683</v>
      </c>
    </row>
    <row r="204" spans="2:8" ht="16.8">
      <c r="B204" s="21">
        <v>202</v>
      </c>
      <c r="C204" s="37">
        <v>9369</v>
      </c>
      <c r="D204" s="39" t="s">
        <v>358</v>
      </c>
      <c r="E204" s="37" t="s">
        <v>1430</v>
      </c>
      <c r="F204" s="37" t="s">
        <v>1447</v>
      </c>
      <c r="G204" s="37">
        <v>1326</v>
      </c>
      <c r="H204" s="25" t="s">
        <v>1686</v>
      </c>
    </row>
    <row r="205" spans="2:8" ht="16.8">
      <c r="B205" s="21">
        <v>203</v>
      </c>
      <c r="C205" s="37">
        <v>9936</v>
      </c>
      <c r="D205" s="39" t="s">
        <v>811</v>
      </c>
      <c r="E205" s="37" t="s">
        <v>1629</v>
      </c>
      <c r="F205" s="37" t="s">
        <v>1501</v>
      </c>
      <c r="G205" s="37">
        <v>1510</v>
      </c>
      <c r="H205" s="25" t="s">
        <v>1686</v>
      </c>
    </row>
    <row r="206" spans="2:8" ht="16.8">
      <c r="B206" s="21">
        <v>204</v>
      </c>
      <c r="C206" s="37">
        <v>8741</v>
      </c>
      <c r="D206" s="39" t="s">
        <v>163</v>
      </c>
      <c r="E206" s="37" t="s">
        <v>1430</v>
      </c>
      <c r="F206" s="37" t="s">
        <v>1687</v>
      </c>
      <c r="G206" s="37">
        <v>1194</v>
      </c>
      <c r="H206" s="25" t="s">
        <v>1688</v>
      </c>
    </row>
    <row r="207" spans="2:8" ht="16.8">
      <c r="B207" s="21">
        <v>205</v>
      </c>
      <c r="C207" s="37">
        <v>8211</v>
      </c>
      <c r="D207" s="39" t="s">
        <v>231</v>
      </c>
      <c r="E207" s="37" t="s">
        <v>1430</v>
      </c>
      <c r="F207" s="37" t="s">
        <v>1466</v>
      </c>
      <c r="G207" s="37">
        <v>1105</v>
      </c>
      <c r="H207" s="25" t="s">
        <v>1688</v>
      </c>
    </row>
    <row r="208" spans="2:8" ht="16.8">
      <c r="B208" s="21">
        <v>206</v>
      </c>
      <c r="C208" s="37">
        <v>7572</v>
      </c>
      <c r="D208" s="39" t="s">
        <v>931</v>
      </c>
      <c r="E208" s="37" t="s">
        <v>1636</v>
      </c>
      <c r="F208" s="37" t="s">
        <v>1431</v>
      </c>
      <c r="G208" s="37">
        <v>1012</v>
      </c>
      <c r="H208" s="25" t="s">
        <v>1689</v>
      </c>
    </row>
    <row r="209" spans="2:8" ht="16.8">
      <c r="B209" s="21">
        <v>207</v>
      </c>
      <c r="C209" s="37">
        <v>8146</v>
      </c>
      <c r="D209" s="39" t="s">
        <v>630</v>
      </c>
      <c r="E209" s="37" t="s">
        <v>1430</v>
      </c>
      <c r="F209" s="37" t="s">
        <v>1474</v>
      </c>
      <c r="G209" s="37">
        <v>1092</v>
      </c>
      <c r="H209" s="25" t="s">
        <v>1689</v>
      </c>
    </row>
    <row r="210" spans="2:8" ht="16.8">
      <c r="B210" s="21">
        <v>208</v>
      </c>
      <c r="C210" s="37">
        <v>7990</v>
      </c>
      <c r="D210" s="39" t="s">
        <v>227</v>
      </c>
      <c r="E210" s="37" t="s">
        <v>1430</v>
      </c>
      <c r="F210" s="37" t="s">
        <v>1466</v>
      </c>
      <c r="G210" s="37">
        <v>1074</v>
      </c>
      <c r="H210" s="25" t="s">
        <v>1690</v>
      </c>
    </row>
    <row r="211" spans="2:8" ht="16.8">
      <c r="B211" s="21">
        <v>209</v>
      </c>
      <c r="C211" s="37">
        <v>10169</v>
      </c>
      <c r="D211" s="39" t="s">
        <v>835</v>
      </c>
      <c r="E211" s="37" t="s">
        <v>1691</v>
      </c>
      <c r="F211" s="37" t="s">
        <v>1568</v>
      </c>
      <c r="G211" s="37">
        <v>1588</v>
      </c>
      <c r="H211" s="25" t="s">
        <v>1690</v>
      </c>
    </row>
    <row r="212" spans="2:8" ht="18">
      <c r="B212" s="21">
        <v>210</v>
      </c>
      <c r="C212" s="27">
        <v>10384</v>
      </c>
      <c r="D212" s="39" t="s">
        <v>1094</v>
      </c>
      <c r="E212" s="37" t="s">
        <v>1692</v>
      </c>
      <c r="F212" s="37" t="s">
        <v>1474</v>
      </c>
      <c r="G212" s="37" t="s">
        <v>1693</v>
      </c>
      <c r="H212" s="25" t="s">
        <v>1694</v>
      </c>
    </row>
    <row r="213" spans="2:8" ht="16.8">
      <c r="B213" s="21">
        <v>211</v>
      </c>
      <c r="C213" s="37">
        <v>5308</v>
      </c>
      <c r="D213" s="39" t="s">
        <v>1695</v>
      </c>
      <c r="E213" s="37" t="s">
        <v>1696</v>
      </c>
      <c r="F213" s="37" t="s">
        <v>1697</v>
      </c>
      <c r="G213" s="37">
        <v>580</v>
      </c>
      <c r="H213" s="25" t="s">
        <v>1698</v>
      </c>
    </row>
    <row r="214" spans="2:8" ht="16.8">
      <c r="B214" s="21">
        <v>212</v>
      </c>
      <c r="C214" s="37">
        <v>9254</v>
      </c>
      <c r="D214" s="39" t="s">
        <v>213</v>
      </c>
      <c r="E214" s="37" t="s">
        <v>1430</v>
      </c>
      <c r="F214" s="37" t="s">
        <v>1466</v>
      </c>
      <c r="G214" s="37">
        <v>1296</v>
      </c>
      <c r="H214" s="25" t="s">
        <v>1698</v>
      </c>
    </row>
    <row r="215" spans="2:8" ht="16.8">
      <c r="B215" s="21">
        <v>213</v>
      </c>
      <c r="C215" s="37">
        <v>6374</v>
      </c>
      <c r="D215" s="39" t="s">
        <v>687</v>
      </c>
      <c r="E215" s="37" t="s">
        <v>1699</v>
      </c>
      <c r="F215" s="37" t="s">
        <v>1433</v>
      </c>
      <c r="G215" s="37">
        <v>1586</v>
      </c>
      <c r="H215" s="25" t="s">
        <v>1700</v>
      </c>
    </row>
    <row r="216" spans="2:8" ht="16.8">
      <c r="B216" s="21">
        <v>214</v>
      </c>
      <c r="C216" s="37">
        <v>8222</v>
      </c>
      <c r="D216" s="39" t="s">
        <v>321</v>
      </c>
      <c r="E216" s="37" t="s">
        <v>1430</v>
      </c>
      <c r="F216" s="37" t="s">
        <v>1624</v>
      </c>
      <c r="G216" s="37">
        <v>1118</v>
      </c>
      <c r="H216" s="25" t="s">
        <v>1700</v>
      </c>
    </row>
    <row r="217" spans="2:8" ht="16.8">
      <c r="B217" s="21">
        <v>215</v>
      </c>
      <c r="C217" s="37">
        <v>7991</v>
      </c>
      <c r="D217" s="39" t="s">
        <v>229</v>
      </c>
      <c r="E217" s="37" t="s">
        <v>1430</v>
      </c>
      <c r="F217" s="37" t="s">
        <v>1466</v>
      </c>
      <c r="G217" s="37">
        <v>1075</v>
      </c>
      <c r="H217" s="25" t="s">
        <v>1701</v>
      </c>
    </row>
    <row r="218" spans="2:8" ht="16.8">
      <c r="B218" s="21">
        <v>216</v>
      </c>
      <c r="C218" s="37">
        <v>8134</v>
      </c>
      <c r="D218" s="39" t="s">
        <v>403</v>
      </c>
      <c r="E218" s="37" t="s">
        <v>1480</v>
      </c>
      <c r="F218" s="37" t="s">
        <v>1498</v>
      </c>
      <c r="G218" s="37">
        <v>1101</v>
      </c>
      <c r="H218" s="25" t="s">
        <v>1701</v>
      </c>
    </row>
    <row r="219" spans="2:8" ht="16.8">
      <c r="B219" s="21">
        <v>217</v>
      </c>
      <c r="C219" s="37">
        <v>8144</v>
      </c>
      <c r="D219" s="39" t="s">
        <v>669</v>
      </c>
      <c r="E219" s="37" t="s">
        <v>1430</v>
      </c>
      <c r="F219" s="37" t="s">
        <v>1457</v>
      </c>
      <c r="G219" s="37">
        <v>1094</v>
      </c>
      <c r="H219" s="25" t="s">
        <v>1702</v>
      </c>
    </row>
    <row r="220" spans="2:8" ht="16.8">
      <c r="B220" s="21">
        <v>218</v>
      </c>
      <c r="C220" s="37">
        <v>8149</v>
      </c>
      <c r="D220" s="39" t="s">
        <v>567</v>
      </c>
      <c r="E220" s="37" t="s">
        <v>1430</v>
      </c>
      <c r="F220" s="37" t="s">
        <v>1436</v>
      </c>
      <c r="G220" s="37">
        <v>1096</v>
      </c>
      <c r="H220" s="25" t="s">
        <v>1702</v>
      </c>
    </row>
    <row r="221" spans="2:8" ht="18">
      <c r="B221" s="21">
        <v>219</v>
      </c>
      <c r="C221" s="42">
        <v>9732</v>
      </c>
      <c r="D221" s="39" t="s">
        <v>1703</v>
      </c>
      <c r="E221" s="39" t="s">
        <v>1704</v>
      </c>
      <c r="F221" s="39" t="s">
        <v>1705</v>
      </c>
      <c r="G221" s="37">
        <v>1446</v>
      </c>
      <c r="H221" s="25" t="s">
        <v>1702</v>
      </c>
    </row>
    <row r="222" spans="2:8" ht="16.8">
      <c r="B222" s="21">
        <v>220</v>
      </c>
      <c r="C222" s="37">
        <v>7371</v>
      </c>
      <c r="D222" s="39" t="s">
        <v>1706</v>
      </c>
      <c r="E222" s="37" t="s">
        <v>1707</v>
      </c>
      <c r="F222" s="37" t="s">
        <v>1568</v>
      </c>
      <c r="G222" s="37">
        <v>1002</v>
      </c>
      <c r="H222" s="25" t="s">
        <v>1708</v>
      </c>
    </row>
    <row r="223" spans="2:8" ht="16.8">
      <c r="B223" s="21">
        <v>221</v>
      </c>
      <c r="C223" s="37">
        <v>8732</v>
      </c>
      <c r="D223" s="39" t="s">
        <v>573</v>
      </c>
      <c r="E223" s="37" t="s">
        <v>1430</v>
      </c>
      <c r="F223" s="37" t="s">
        <v>1436</v>
      </c>
      <c r="G223" s="37">
        <v>1187</v>
      </c>
      <c r="H223" s="25" t="s">
        <v>1708</v>
      </c>
    </row>
    <row r="224" spans="2:8" ht="16.8">
      <c r="B224" s="21">
        <v>222</v>
      </c>
      <c r="C224" s="37">
        <v>9246</v>
      </c>
      <c r="D224" s="39" t="s">
        <v>553</v>
      </c>
      <c r="E224" s="37" t="s">
        <v>1430</v>
      </c>
      <c r="F224" s="37" t="s">
        <v>1436</v>
      </c>
      <c r="G224" s="37">
        <v>1282</v>
      </c>
      <c r="H224" s="25" t="s">
        <v>1709</v>
      </c>
    </row>
    <row r="225" spans="2:8" ht="16.8">
      <c r="B225" s="21">
        <v>223</v>
      </c>
      <c r="C225" s="37">
        <v>8224</v>
      </c>
      <c r="D225" s="39" t="s">
        <v>319</v>
      </c>
      <c r="E225" s="37" t="s">
        <v>1430</v>
      </c>
      <c r="F225" s="37" t="s">
        <v>1624</v>
      </c>
      <c r="G225" s="37">
        <v>1120</v>
      </c>
      <c r="H225" s="25" t="s">
        <v>1709</v>
      </c>
    </row>
    <row r="226" spans="2:8" ht="16.8">
      <c r="B226" s="21">
        <v>224</v>
      </c>
      <c r="C226" s="37">
        <v>7708</v>
      </c>
      <c r="D226" s="39" t="s">
        <v>853</v>
      </c>
      <c r="E226" s="37" t="s">
        <v>1710</v>
      </c>
      <c r="F226" s="37" t="s">
        <v>1711</v>
      </c>
      <c r="G226" s="37">
        <v>1507</v>
      </c>
      <c r="H226" s="25" t="s">
        <v>1712</v>
      </c>
    </row>
    <row r="227" spans="2:8" ht="16.8">
      <c r="B227" s="21">
        <v>225</v>
      </c>
      <c r="C227" s="39">
        <v>10187</v>
      </c>
      <c r="D227" s="39" t="s">
        <v>409</v>
      </c>
      <c r="E227" s="39" t="s">
        <v>1480</v>
      </c>
      <c r="F227" s="39" t="s">
        <v>1713</v>
      </c>
      <c r="G227" s="37">
        <v>1596</v>
      </c>
      <c r="H227" s="25" t="s">
        <v>1712</v>
      </c>
    </row>
    <row r="228" spans="2:8" ht="18">
      <c r="B228" s="21">
        <v>226</v>
      </c>
      <c r="C228" s="27">
        <v>9985</v>
      </c>
      <c r="D228" s="42" t="s">
        <v>770</v>
      </c>
      <c r="E228" s="27" t="s">
        <v>1714</v>
      </c>
      <c r="F228" s="27" t="s">
        <v>1715</v>
      </c>
      <c r="G228" s="27">
        <v>1536</v>
      </c>
      <c r="H228" s="25" t="s">
        <v>1716</v>
      </c>
    </row>
    <row r="229" spans="2:8" ht="18">
      <c r="B229" s="21">
        <v>227</v>
      </c>
      <c r="C229" s="27">
        <v>10820</v>
      </c>
      <c r="D229" s="40" t="s">
        <v>817</v>
      </c>
      <c r="E229" s="27" t="s">
        <v>1717</v>
      </c>
      <c r="F229" s="27" t="s">
        <v>1718</v>
      </c>
      <c r="G229" s="27">
        <v>1696</v>
      </c>
      <c r="H229" s="25" t="s">
        <v>1719</v>
      </c>
    </row>
    <row r="230" spans="2:8" ht="18">
      <c r="B230" s="21">
        <v>228</v>
      </c>
      <c r="C230" s="27">
        <v>8742</v>
      </c>
      <c r="D230" s="42" t="s">
        <v>165</v>
      </c>
      <c r="E230" s="27" t="s">
        <v>1430</v>
      </c>
      <c r="F230" s="27" t="s">
        <v>1720</v>
      </c>
      <c r="G230" s="27">
        <v>1195</v>
      </c>
      <c r="H230" s="25" t="s">
        <v>1719</v>
      </c>
    </row>
    <row r="231" spans="2:8" ht="18">
      <c r="B231" s="21">
        <v>229</v>
      </c>
      <c r="C231" s="27">
        <v>9738</v>
      </c>
      <c r="D231" s="42" t="s">
        <v>467</v>
      </c>
      <c r="E231" s="27" t="s">
        <v>1435</v>
      </c>
      <c r="F231" s="27" t="s">
        <v>1619</v>
      </c>
      <c r="G231" s="27">
        <v>1444</v>
      </c>
      <c r="H231" s="25" t="s">
        <v>1721</v>
      </c>
    </row>
    <row r="232" spans="2:8" ht="18">
      <c r="B232" s="21">
        <v>230</v>
      </c>
      <c r="C232" s="27">
        <v>9247</v>
      </c>
      <c r="D232" s="42" t="s">
        <v>555</v>
      </c>
      <c r="E232" s="27" t="s">
        <v>1722</v>
      </c>
      <c r="F232" s="27" t="s">
        <v>1619</v>
      </c>
      <c r="G232" s="27">
        <v>1280</v>
      </c>
      <c r="H232" s="25" t="s">
        <v>1723</v>
      </c>
    </row>
    <row r="233" spans="2:8" ht="18">
      <c r="B233" s="21">
        <v>231</v>
      </c>
      <c r="C233" s="27">
        <v>9531</v>
      </c>
      <c r="D233" s="42" t="s">
        <v>802</v>
      </c>
      <c r="E233" s="27" t="s">
        <v>1724</v>
      </c>
      <c r="F233" s="27" t="s">
        <v>1501</v>
      </c>
      <c r="G233" s="27">
        <v>1381</v>
      </c>
      <c r="H233" s="25" t="s">
        <v>1723</v>
      </c>
    </row>
    <row r="234" spans="2:8" ht="18">
      <c r="B234" s="21">
        <v>232</v>
      </c>
      <c r="C234" s="27">
        <v>9234</v>
      </c>
      <c r="D234" s="42" t="s">
        <v>197</v>
      </c>
      <c r="E234" s="27" t="s">
        <v>1497</v>
      </c>
      <c r="F234" s="27" t="s">
        <v>1466</v>
      </c>
      <c r="G234" s="27">
        <v>1278</v>
      </c>
      <c r="H234" s="25" t="s">
        <v>1725</v>
      </c>
    </row>
    <row r="235" spans="2:8" ht="18">
      <c r="B235" s="21">
        <v>233</v>
      </c>
      <c r="C235" s="27">
        <v>9301</v>
      </c>
      <c r="D235" s="42" t="s">
        <v>287</v>
      </c>
      <c r="E235" s="27" t="s">
        <v>1497</v>
      </c>
      <c r="F235" s="27" t="s">
        <v>1670</v>
      </c>
      <c r="G235" s="27">
        <v>1292</v>
      </c>
      <c r="H235" s="25" t="s">
        <v>1725</v>
      </c>
    </row>
    <row r="236" spans="2:8" ht="18">
      <c r="B236" s="21">
        <v>234</v>
      </c>
      <c r="C236" s="27">
        <v>5732</v>
      </c>
      <c r="D236" s="42" t="s">
        <v>1028</v>
      </c>
      <c r="E236" s="27" t="s">
        <v>1726</v>
      </c>
      <c r="F236" s="27" t="s">
        <v>1619</v>
      </c>
      <c r="G236" s="27">
        <v>678</v>
      </c>
      <c r="H236" s="25" t="s">
        <v>1727</v>
      </c>
    </row>
    <row r="237" spans="2:8" ht="18">
      <c r="B237" s="21">
        <v>235</v>
      </c>
      <c r="C237" s="27">
        <v>7556</v>
      </c>
      <c r="D237" s="42" t="s">
        <v>1009</v>
      </c>
      <c r="E237" s="27" t="s">
        <v>1728</v>
      </c>
      <c r="F237" s="27" t="s">
        <v>1619</v>
      </c>
      <c r="G237" s="27">
        <v>1022</v>
      </c>
      <c r="H237" s="25" t="s">
        <v>1727</v>
      </c>
    </row>
    <row r="238" spans="2:8" ht="18">
      <c r="B238" s="21">
        <v>236</v>
      </c>
      <c r="C238" s="27">
        <v>7978</v>
      </c>
      <c r="D238" s="42" t="s">
        <v>909</v>
      </c>
      <c r="E238" s="27" t="s">
        <v>1636</v>
      </c>
      <c r="F238" s="27" t="s">
        <v>1466</v>
      </c>
      <c r="G238" s="27">
        <v>1072</v>
      </c>
      <c r="H238" s="25" t="s">
        <v>1729</v>
      </c>
    </row>
    <row r="239" spans="2:8" ht="18">
      <c r="B239" s="21">
        <v>237</v>
      </c>
      <c r="C239" s="27">
        <v>9818</v>
      </c>
      <c r="D239" s="42" t="s">
        <v>615</v>
      </c>
      <c r="E239" s="27" t="s">
        <v>1435</v>
      </c>
      <c r="F239" s="27" t="s">
        <v>1730</v>
      </c>
      <c r="G239" s="27">
        <v>1461</v>
      </c>
      <c r="H239" s="25" t="s">
        <v>1729</v>
      </c>
    </row>
    <row r="240" spans="2:8" ht="18">
      <c r="B240" s="21">
        <v>238</v>
      </c>
      <c r="C240" s="27">
        <v>8148</v>
      </c>
      <c r="D240" s="42" t="s">
        <v>565</v>
      </c>
      <c r="E240" s="27" t="s">
        <v>1430</v>
      </c>
      <c r="F240" s="27" t="s">
        <v>1619</v>
      </c>
      <c r="G240" s="27">
        <v>1088</v>
      </c>
      <c r="H240" s="25" t="s">
        <v>1731</v>
      </c>
    </row>
    <row r="241" spans="2:8" ht="18">
      <c r="B241" s="21">
        <v>239</v>
      </c>
      <c r="C241" s="27">
        <v>4401</v>
      </c>
      <c r="D241" s="42" t="s">
        <v>437</v>
      </c>
      <c r="E241" s="27" t="s">
        <v>1476</v>
      </c>
      <c r="F241" s="27" t="s">
        <v>1413</v>
      </c>
      <c r="G241" s="27">
        <v>498</v>
      </c>
      <c r="H241" s="25" t="s">
        <v>1732</v>
      </c>
    </row>
    <row r="242" spans="2:8" ht="18">
      <c r="B242" s="21">
        <v>240</v>
      </c>
      <c r="C242" s="27">
        <v>7261</v>
      </c>
      <c r="D242" s="42" t="s">
        <v>583</v>
      </c>
      <c r="E242" s="27" t="s">
        <v>1430</v>
      </c>
      <c r="F242" s="27" t="s">
        <v>1619</v>
      </c>
      <c r="G242" s="27">
        <v>982</v>
      </c>
      <c r="H242" s="25" t="s">
        <v>1733</v>
      </c>
    </row>
    <row r="243" spans="2:8" ht="18">
      <c r="B243" s="21">
        <v>241</v>
      </c>
      <c r="C243" s="27">
        <v>8142</v>
      </c>
      <c r="D243" s="42" t="s">
        <v>432</v>
      </c>
      <c r="E243" s="27" t="s">
        <v>1430</v>
      </c>
      <c r="F243" s="27" t="s">
        <v>1619</v>
      </c>
      <c r="G243" s="27">
        <v>1087</v>
      </c>
      <c r="H243" s="25" t="s">
        <v>1734</v>
      </c>
    </row>
    <row r="244" spans="2:8" ht="18">
      <c r="B244" s="21">
        <v>242</v>
      </c>
      <c r="C244" s="27">
        <v>8712</v>
      </c>
      <c r="D244" s="42" t="s">
        <v>1117</v>
      </c>
      <c r="E244" s="27" t="s">
        <v>1735</v>
      </c>
      <c r="F244" s="27" t="s">
        <v>1736</v>
      </c>
      <c r="G244" s="27">
        <v>1657</v>
      </c>
      <c r="H244" s="25" t="s">
        <v>1737</v>
      </c>
    </row>
    <row r="245" spans="2:8" ht="18">
      <c r="B245" s="21">
        <v>243</v>
      </c>
      <c r="C245" s="27">
        <v>9308</v>
      </c>
      <c r="D245" s="42" t="s">
        <v>1062</v>
      </c>
      <c r="E245" s="27" t="s">
        <v>1060</v>
      </c>
      <c r="F245" s="27" t="s">
        <v>1619</v>
      </c>
      <c r="G245" s="27">
        <v>1313</v>
      </c>
      <c r="H245" s="25" t="s">
        <v>1738</v>
      </c>
    </row>
    <row r="246" spans="2:8" ht="18">
      <c r="B246" s="21">
        <v>244</v>
      </c>
      <c r="C246" s="27">
        <v>7567</v>
      </c>
      <c r="D246" s="42" t="s">
        <v>587</v>
      </c>
      <c r="E246" s="27" t="s">
        <v>1430</v>
      </c>
      <c r="F246" s="27" t="s">
        <v>1619</v>
      </c>
      <c r="G246" s="27">
        <v>1009</v>
      </c>
      <c r="H246" s="25" t="s">
        <v>1739</v>
      </c>
    </row>
    <row r="247" spans="2:8" ht="18">
      <c r="B247" s="21">
        <v>245</v>
      </c>
      <c r="C247" s="27">
        <v>9528</v>
      </c>
      <c r="D247" s="42" t="s">
        <v>1106</v>
      </c>
      <c r="E247" s="27" t="s">
        <v>1740</v>
      </c>
      <c r="F247" s="27" t="s">
        <v>1741</v>
      </c>
      <c r="G247" s="27" t="s">
        <v>1742</v>
      </c>
      <c r="H247" s="25" t="s">
        <v>1739</v>
      </c>
    </row>
    <row r="248" spans="2:8" ht="18">
      <c r="B248" s="21">
        <v>246</v>
      </c>
      <c r="C248" s="27">
        <v>7568</v>
      </c>
      <c r="D248" s="42" t="s">
        <v>1075</v>
      </c>
      <c r="E248" s="27" t="s">
        <v>1743</v>
      </c>
      <c r="F248" s="27" t="s">
        <v>1741</v>
      </c>
      <c r="G248" s="27" t="s">
        <v>1744</v>
      </c>
      <c r="H248" s="25" t="s">
        <v>1745</v>
      </c>
    </row>
    <row r="249" spans="2:8" ht="18">
      <c r="B249" s="21">
        <v>247</v>
      </c>
      <c r="C249" s="27">
        <v>9815</v>
      </c>
      <c r="D249" s="42" t="s">
        <v>473</v>
      </c>
      <c r="E249" s="27" t="s">
        <v>1435</v>
      </c>
      <c r="F249" s="27" t="s">
        <v>1619</v>
      </c>
      <c r="G249" s="27">
        <v>1458</v>
      </c>
      <c r="H249" s="25" t="s">
        <v>1745</v>
      </c>
    </row>
    <row r="250" spans="2:8" ht="18">
      <c r="B250" s="21">
        <v>248</v>
      </c>
      <c r="C250" s="27">
        <v>10336</v>
      </c>
      <c r="D250" s="42" t="s">
        <v>394</v>
      </c>
      <c r="E250" s="27" t="s">
        <v>1437</v>
      </c>
      <c r="F250" s="27" t="s">
        <v>1697</v>
      </c>
      <c r="G250" s="27">
        <v>1636</v>
      </c>
      <c r="H250" s="25" t="s">
        <v>1746</v>
      </c>
    </row>
    <row r="251" spans="2:8" ht="18">
      <c r="B251" s="21">
        <v>249</v>
      </c>
      <c r="C251" s="27">
        <v>9726</v>
      </c>
      <c r="D251" s="42" t="s">
        <v>1055</v>
      </c>
      <c r="E251" s="27" t="s">
        <v>1470</v>
      </c>
      <c r="F251" s="27" t="s">
        <v>1619</v>
      </c>
      <c r="G251" s="27">
        <v>1439</v>
      </c>
      <c r="H251" s="25" t="s">
        <v>1747</v>
      </c>
    </row>
    <row r="252" spans="2:8" ht="18">
      <c r="B252" s="21">
        <v>250</v>
      </c>
      <c r="C252" s="27">
        <v>9185</v>
      </c>
      <c r="D252" s="42" t="s">
        <v>205</v>
      </c>
      <c r="E252" s="27" t="s">
        <v>1497</v>
      </c>
      <c r="F252" s="27" t="s">
        <v>1466</v>
      </c>
      <c r="G252" s="27">
        <v>1306</v>
      </c>
      <c r="H252" s="25" t="s">
        <v>1732</v>
      </c>
    </row>
    <row r="253" spans="2:8" ht="18">
      <c r="B253" s="21">
        <v>251</v>
      </c>
      <c r="C253" s="27">
        <v>8837</v>
      </c>
      <c r="D253" s="42" t="s">
        <v>1006</v>
      </c>
      <c r="E253" s="27" t="s">
        <v>1527</v>
      </c>
      <c r="F253" s="27" t="s">
        <v>1619</v>
      </c>
      <c r="G253" s="27">
        <v>1199</v>
      </c>
      <c r="H253" s="25" t="s">
        <v>1721</v>
      </c>
    </row>
    <row r="254" spans="2:8" ht="18">
      <c r="B254" s="21">
        <v>252</v>
      </c>
      <c r="C254" s="27">
        <v>6932</v>
      </c>
      <c r="D254" s="42" t="s">
        <v>1083</v>
      </c>
      <c r="E254" s="27" t="s">
        <v>1599</v>
      </c>
      <c r="F254" s="27" t="s">
        <v>1474</v>
      </c>
      <c r="G254" s="27">
        <v>934</v>
      </c>
      <c r="H254" s="25" t="s">
        <v>1748</v>
      </c>
    </row>
    <row r="255" spans="2:8" ht="18">
      <c r="B255" s="21">
        <v>253</v>
      </c>
      <c r="C255" s="27">
        <v>7184</v>
      </c>
      <c r="D255" s="42" t="s">
        <v>1749</v>
      </c>
      <c r="E255" s="27" t="s">
        <v>1750</v>
      </c>
      <c r="F255" s="27" t="s">
        <v>1751</v>
      </c>
      <c r="G255" s="27">
        <v>1374</v>
      </c>
      <c r="H255" s="25" t="s">
        <v>1752</v>
      </c>
    </row>
    <row r="256" spans="2:8" ht="18">
      <c r="B256" s="21">
        <v>254</v>
      </c>
      <c r="C256" s="27">
        <v>6627</v>
      </c>
      <c r="D256" s="42" t="s">
        <v>411</v>
      </c>
      <c r="E256" s="27" t="s">
        <v>1603</v>
      </c>
      <c r="F256" s="27" t="s">
        <v>1477</v>
      </c>
      <c r="G256" s="27">
        <v>856</v>
      </c>
      <c r="H256" s="25" t="s">
        <v>1753</v>
      </c>
    </row>
    <row r="257" spans="2:8" ht="18">
      <c r="B257" s="21">
        <v>255</v>
      </c>
      <c r="C257" s="27">
        <v>8137</v>
      </c>
      <c r="D257" s="42" t="s">
        <v>26</v>
      </c>
      <c r="E257" s="27" t="s">
        <v>1480</v>
      </c>
      <c r="F257" s="27" t="s">
        <v>1454</v>
      </c>
      <c r="G257" s="27">
        <v>1102</v>
      </c>
      <c r="H257" s="25" t="s">
        <v>1754</v>
      </c>
    </row>
    <row r="258" spans="2:8" ht="18">
      <c r="B258" s="21">
        <v>256</v>
      </c>
      <c r="C258" s="27">
        <v>7133</v>
      </c>
      <c r="D258" s="42" t="s">
        <v>120</v>
      </c>
      <c r="E258" s="27" t="s">
        <v>1603</v>
      </c>
      <c r="F258" s="27" t="s">
        <v>1619</v>
      </c>
      <c r="G258" s="51">
        <v>949</v>
      </c>
      <c r="H258" s="25" t="s">
        <v>1755</v>
      </c>
    </row>
    <row r="259" spans="2:8" ht="18">
      <c r="B259" s="21">
        <v>257</v>
      </c>
      <c r="C259" s="27">
        <v>7111</v>
      </c>
      <c r="D259" s="42" t="s">
        <v>1756</v>
      </c>
      <c r="E259" s="27" t="s">
        <v>1757</v>
      </c>
      <c r="F259" s="27" t="s">
        <v>1501</v>
      </c>
      <c r="G259" s="27">
        <v>945</v>
      </c>
      <c r="H259" s="25" t="s">
        <v>1758</v>
      </c>
    </row>
    <row r="260" spans="2:8" ht="18">
      <c r="B260" s="21">
        <v>258</v>
      </c>
      <c r="C260" s="27">
        <v>9345</v>
      </c>
      <c r="D260" s="42" t="s">
        <v>179</v>
      </c>
      <c r="E260" s="27" t="s">
        <v>1497</v>
      </c>
      <c r="F260" s="27" t="s">
        <v>1466</v>
      </c>
      <c r="G260" s="27">
        <v>1319</v>
      </c>
      <c r="H260" s="25" t="s">
        <v>1759</v>
      </c>
    </row>
    <row r="261" spans="2:8" ht="18">
      <c r="B261" s="21">
        <v>259</v>
      </c>
      <c r="C261" s="27">
        <v>10134</v>
      </c>
      <c r="D261" s="42" t="s">
        <v>654</v>
      </c>
      <c r="E261" s="27" t="s">
        <v>1437</v>
      </c>
      <c r="F261" s="27" t="s">
        <v>1594</v>
      </c>
      <c r="G261" s="27">
        <v>1578</v>
      </c>
      <c r="H261" s="25" t="s">
        <v>1760</v>
      </c>
    </row>
    <row r="262" spans="2:8" ht="18">
      <c r="B262" s="21">
        <v>260</v>
      </c>
      <c r="C262" s="27">
        <v>10369</v>
      </c>
      <c r="D262" s="42" t="s">
        <v>874</v>
      </c>
      <c r="E262" s="27" t="s">
        <v>1761</v>
      </c>
      <c r="F262" s="27" t="s">
        <v>1588</v>
      </c>
      <c r="G262" s="27">
        <v>1638</v>
      </c>
      <c r="H262" s="25" t="s">
        <v>1758</v>
      </c>
    </row>
    <row r="263" spans="2:8" ht="18">
      <c r="B263" s="21">
        <v>261</v>
      </c>
      <c r="C263" s="27">
        <v>10343</v>
      </c>
      <c r="D263" s="42" t="s">
        <v>252</v>
      </c>
      <c r="E263" s="27" t="s">
        <v>1437</v>
      </c>
      <c r="F263" s="27" t="s">
        <v>1466</v>
      </c>
      <c r="G263" s="27">
        <v>1637</v>
      </c>
      <c r="H263" s="25" t="s">
        <v>1762</v>
      </c>
    </row>
    <row r="264" spans="2:8" ht="18">
      <c r="B264" s="21">
        <v>262</v>
      </c>
      <c r="C264" s="27">
        <v>9058</v>
      </c>
      <c r="D264" s="42" t="s">
        <v>1133</v>
      </c>
      <c r="E264" s="27" t="s">
        <v>1763</v>
      </c>
      <c r="F264" s="27" t="s">
        <v>1764</v>
      </c>
      <c r="G264" s="27">
        <v>1259</v>
      </c>
      <c r="H264" s="25" t="s">
        <v>1765</v>
      </c>
    </row>
    <row r="265" spans="2:8" ht="18">
      <c r="B265" s="21">
        <v>263</v>
      </c>
      <c r="C265" s="27">
        <v>9957</v>
      </c>
      <c r="D265" s="42" t="s">
        <v>440</v>
      </c>
      <c r="E265" s="27" t="s">
        <v>1435</v>
      </c>
      <c r="F265" s="27" t="s">
        <v>1436</v>
      </c>
      <c r="G265" s="27">
        <v>1533</v>
      </c>
      <c r="H265" s="25" t="s">
        <v>1766</v>
      </c>
    </row>
    <row r="266" spans="2:8" ht="18">
      <c r="B266" s="21">
        <v>264</v>
      </c>
      <c r="C266" s="27">
        <v>10069</v>
      </c>
      <c r="D266" s="42" t="s">
        <v>737</v>
      </c>
      <c r="E266" s="27" t="s">
        <v>1767</v>
      </c>
      <c r="F266" s="27" t="s">
        <v>1588</v>
      </c>
      <c r="G266" s="27">
        <v>1562</v>
      </c>
      <c r="H266" s="25" t="s">
        <v>1759</v>
      </c>
    </row>
    <row r="267" spans="2:8" ht="18">
      <c r="B267" s="21">
        <v>265</v>
      </c>
      <c r="C267" s="27">
        <v>9372</v>
      </c>
      <c r="D267" s="42" t="s">
        <v>161</v>
      </c>
      <c r="E267" s="27" t="s">
        <v>1497</v>
      </c>
      <c r="F267" s="27" t="s">
        <v>1451</v>
      </c>
      <c r="G267" s="27">
        <v>1329</v>
      </c>
      <c r="H267" s="25" t="s">
        <v>1762</v>
      </c>
    </row>
    <row r="268" spans="2:8" ht="18">
      <c r="B268" s="21">
        <v>266</v>
      </c>
      <c r="C268" s="27">
        <v>10444</v>
      </c>
      <c r="D268" s="42" t="s">
        <v>841</v>
      </c>
      <c r="E268" s="52" t="s">
        <v>1768</v>
      </c>
      <c r="F268" s="52" t="s">
        <v>1769</v>
      </c>
      <c r="G268" s="27">
        <v>1654</v>
      </c>
      <c r="H268" s="25" t="s">
        <v>1694</v>
      </c>
    </row>
    <row r="269" spans="2:8" ht="18">
      <c r="B269" s="21">
        <v>267</v>
      </c>
      <c r="C269" s="27">
        <v>10362</v>
      </c>
      <c r="D269" s="42" t="s">
        <v>1046</v>
      </c>
      <c r="E269" s="27" t="s">
        <v>1470</v>
      </c>
      <c r="F269" s="27" t="s">
        <v>1436</v>
      </c>
      <c r="G269" s="27">
        <v>1631</v>
      </c>
      <c r="H269" s="25" t="s">
        <v>1770</v>
      </c>
    </row>
    <row r="270" spans="2:8" ht="18">
      <c r="B270" s="21">
        <v>268</v>
      </c>
      <c r="C270" s="27">
        <v>4935</v>
      </c>
      <c r="D270" s="42" t="s">
        <v>293</v>
      </c>
      <c r="E270" s="27" t="s">
        <v>1603</v>
      </c>
      <c r="F270" s="27" t="s">
        <v>1771</v>
      </c>
      <c r="G270" s="27">
        <v>572</v>
      </c>
      <c r="H270" s="25" t="s">
        <v>1770</v>
      </c>
    </row>
    <row r="271" spans="2:8" ht="18">
      <c r="B271" s="21">
        <v>269</v>
      </c>
      <c r="C271" s="27">
        <v>8885</v>
      </c>
      <c r="D271" s="42" t="s">
        <v>926</v>
      </c>
      <c r="E271" s="27" t="s">
        <v>1772</v>
      </c>
      <c r="F271" s="27" t="s">
        <v>1773</v>
      </c>
      <c r="G271" s="27">
        <v>1215</v>
      </c>
      <c r="H271" s="25" t="s">
        <v>1774</v>
      </c>
    </row>
    <row r="272" spans="2:8" ht="18">
      <c r="B272" s="21">
        <v>270</v>
      </c>
      <c r="C272" s="27">
        <v>10648</v>
      </c>
      <c r="D272" s="42" t="s">
        <v>933</v>
      </c>
      <c r="E272" s="27" t="s">
        <v>1775</v>
      </c>
      <c r="F272" s="27" t="s">
        <v>1658</v>
      </c>
      <c r="G272" s="27">
        <v>1673</v>
      </c>
      <c r="H272" s="25" t="s">
        <v>1748</v>
      </c>
    </row>
    <row r="273" spans="2:8" ht="18">
      <c r="B273" s="21">
        <v>271</v>
      </c>
      <c r="C273" s="27">
        <v>6933</v>
      </c>
      <c r="D273" s="42" t="s">
        <v>968</v>
      </c>
      <c r="E273" s="27" t="s">
        <v>1776</v>
      </c>
      <c r="F273" s="27" t="s">
        <v>1619</v>
      </c>
      <c r="G273" s="27">
        <v>935</v>
      </c>
      <c r="H273" s="25" t="s">
        <v>1754</v>
      </c>
    </row>
    <row r="274" spans="2:8" ht="18">
      <c r="B274" s="21">
        <v>272</v>
      </c>
      <c r="C274" s="27">
        <v>7166</v>
      </c>
      <c r="D274" s="42" t="s">
        <v>1777</v>
      </c>
      <c r="E274" s="27" t="s">
        <v>1778</v>
      </c>
      <c r="F274" s="27" t="s">
        <v>1779</v>
      </c>
      <c r="G274" s="27">
        <v>1713</v>
      </c>
      <c r="H274" s="25" t="s">
        <v>1780</v>
      </c>
    </row>
    <row r="275" spans="2:8" ht="18">
      <c r="B275" s="21">
        <v>273</v>
      </c>
      <c r="C275" s="27">
        <v>10359</v>
      </c>
      <c r="D275" s="42" t="s">
        <v>1102</v>
      </c>
      <c r="E275" s="27" t="s">
        <v>1781</v>
      </c>
      <c r="F275" s="27" t="s">
        <v>1741</v>
      </c>
      <c r="G275" s="27" t="s">
        <v>1782</v>
      </c>
      <c r="H275" s="25" t="s">
        <v>1783</v>
      </c>
    </row>
    <row r="276" spans="2:8" ht="18">
      <c r="B276" s="21">
        <v>274</v>
      </c>
      <c r="C276" s="27">
        <v>9728</v>
      </c>
      <c r="D276" s="42" t="s">
        <v>1021</v>
      </c>
      <c r="E276" s="27" t="s">
        <v>1784</v>
      </c>
      <c r="F276" s="27" t="s">
        <v>1619</v>
      </c>
      <c r="G276" s="27">
        <v>1441</v>
      </c>
      <c r="H276" s="25" t="s">
        <v>1783</v>
      </c>
    </row>
    <row r="277" spans="2:8" ht="18">
      <c r="B277" s="21">
        <v>275</v>
      </c>
      <c r="C277" s="27">
        <v>9591</v>
      </c>
      <c r="D277" s="42" t="s">
        <v>891</v>
      </c>
      <c r="E277" s="27" t="s">
        <v>1785</v>
      </c>
      <c r="F277" s="27" t="s">
        <v>1426</v>
      </c>
      <c r="G277" s="27">
        <v>1402</v>
      </c>
      <c r="H277" s="25" t="s">
        <v>1786</v>
      </c>
    </row>
    <row r="278" spans="2:8" ht="18">
      <c r="B278" s="21">
        <v>276</v>
      </c>
      <c r="C278" s="27">
        <v>10374</v>
      </c>
      <c r="D278" s="42" t="s">
        <v>1787</v>
      </c>
      <c r="E278" s="27" t="s">
        <v>1494</v>
      </c>
      <c r="F278" s="27" t="s">
        <v>1741</v>
      </c>
      <c r="G278" s="27" t="s">
        <v>1788</v>
      </c>
      <c r="H278" s="25" t="s">
        <v>1789</v>
      </c>
    </row>
    <row r="279" spans="2:8" ht="18">
      <c r="B279" s="21">
        <v>277</v>
      </c>
      <c r="C279" s="27">
        <v>8717</v>
      </c>
      <c r="D279" s="42" t="s">
        <v>381</v>
      </c>
      <c r="E279" s="27" t="s">
        <v>1574</v>
      </c>
      <c r="F279" s="27" t="s">
        <v>1447</v>
      </c>
      <c r="G279" s="27">
        <v>1146</v>
      </c>
      <c r="H279" s="25" t="s">
        <v>1790</v>
      </c>
    </row>
    <row r="280" spans="2:8" ht="18">
      <c r="B280" s="21">
        <v>278</v>
      </c>
      <c r="C280" s="27">
        <v>6871</v>
      </c>
      <c r="D280" s="42" t="s">
        <v>418</v>
      </c>
      <c r="E280" s="27" t="s">
        <v>1476</v>
      </c>
      <c r="F280" s="27" t="s">
        <v>1791</v>
      </c>
      <c r="G280" s="27">
        <v>912</v>
      </c>
      <c r="H280" s="25" t="s">
        <v>1792</v>
      </c>
    </row>
    <row r="281" spans="2:8" ht="18">
      <c r="B281" s="21">
        <v>279</v>
      </c>
      <c r="C281" s="27">
        <v>8221</v>
      </c>
      <c r="D281" s="42" t="s">
        <v>571</v>
      </c>
      <c r="E281" s="27" t="s">
        <v>1793</v>
      </c>
      <c r="F281" s="27" t="s">
        <v>1619</v>
      </c>
      <c r="G281" s="27">
        <v>1117</v>
      </c>
      <c r="H281" s="25" t="s">
        <v>1792</v>
      </c>
    </row>
    <row r="282" spans="2:8" ht="18">
      <c r="B282" s="21">
        <v>280</v>
      </c>
      <c r="C282" s="27">
        <v>10364</v>
      </c>
      <c r="D282" s="42" t="s">
        <v>1034</v>
      </c>
      <c r="E282" s="27" t="s">
        <v>1794</v>
      </c>
      <c r="F282" s="27" t="s">
        <v>1619</v>
      </c>
      <c r="G282" s="27">
        <v>1632</v>
      </c>
      <c r="H282" s="25" t="s">
        <v>1795</v>
      </c>
    </row>
    <row r="283" spans="2:8" ht="18">
      <c r="B283" s="21">
        <v>281</v>
      </c>
      <c r="C283" s="27">
        <v>5603</v>
      </c>
      <c r="D283" s="42" t="s">
        <v>658</v>
      </c>
      <c r="E283" s="27" t="s">
        <v>1796</v>
      </c>
      <c r="F283" s="27" t="s">
        <v>1797</v>
      </c>
      <c r="G283" s="27">
        <v>1652</v>
      </c>
      <c r="H283" s="25" t="s">
        <v>1795</v>
      </c>
    </row>
    <row r="284" spans="2:8" ht="18">
      <c r="B284" s="21">
        <v>282</v>
      </c>
      <c r="C284" s="27">
        <v>7262</v>
      </c>
      <c r="D284" s="42" t="s">
        <v>1064</v>
      </c>
      <c r="E284" s="27" t="s">
        <v>1726</v>
      </c>
      <c r="F284" s="27" t="s">
        <v>1619</v>
      </c>
      <c r="G284" s="27">
        <v>984</v>
      </c>
      <c r="H284" s="25" t="s">
        <v>1798</v>
      </c>
    </row>
    <row r="285" spans="2:8" ht="18">
      <c r="B285" s="21">
        <v>283</v>
      </c>
      <c r="C285" s="27">
        <v>10074</v>
      </c>
      <c r="D285" s="42" t="s">
        <v>838</v>
      </c>
      <c r="E285" s="27" t="s">
        <v>1799</v>
      </c>
      <c r="F285" s="27" t="s">
        <v>1751</v>
      </c>
      <c r="G285" s="27">
        <v>1567</v>
      </c>
      <c r="H285" s="25" t="s">
        <v>1800</v>
      </c>
    </row>
    <row r="286" spans="2:8" ht="18">
      <c r="B286" s="21">
        <v>284</v>
      </c>
      <c r="C286" s="27">
        <v>10365</v>
      </c>
      <c r="D286" s="42" t="s">
        <v>1037</v>
      </c>
      <c r="E286" s="27" t="s">
        <v>1794</v>
      </c>
      <c r="F286" s="27" t="s">
        <v>1619</v>
      </c>
      <c r="G286" s="27">
        <v>1633</v>
      </c>
      <c r="H286" s="25" t="s">
        <v>1800</v>
      </c>
    </row>
    <row r="287" spans="2:8" ht="18">
      <c r="B287" s="21">
        <v>285</v>
      </c>
      <c r="C287" s="27">
        <v>8731</v>
      </c>
      <c r="D287" s="42" t="s">
        <v>545</v>
      </c>
      <c r="E287" s="27" t="s">
        <v>1793</v>
      </c>
      <c r="F287" s="27" t="s">
        <v>1619</v>
      </c>
      <c r="G287" s="27">
        <v>1182</v>
      </c>
      <c r="H287" s="25" t="s">
        <v>1798</v>
      </c>
    </row>
    <row r="288" spans="2:8" ht="18">
      <c r="B288" s="21">
        <v>286</v>
      </c>
      <c r="C288" s="27">
        <v>10175</v>
      </c>
      <c r="D288" s="42" t="s">
        <v>312</v>
      </c>
      <c r="E288" s="27" t="s">
        <v>1480</v>
      </c>
      <c r="F288" s="27" t="s">
        <v>1624</v>
      </c>
      <c r="G288" s="27">
        <v>1593</v>
      </c>
      <c r="H288" s="25" t="s">
        <v>1801</v>
      </c>
    </row>
    <row r="289" spans="2:8" ht="18">
      <c r="B289" s="21">
        <v>287</v>
      </c>
      <c r="C289" s="27">
        <v>7279</v>
      </c>
      <c r="D289" s="42" t="s">
        <v>237</v>
      </c>
      <c r="E289" s="27" t="s">
        <v>1793</v>
      </c>
      <c r="F289" s="27" t="s">
        <v>1466</v>
      </c>
      <c r="G289" s="27">
        <v>992</v>
      </c>
      <c r="H289" s="25" t="s">
        <v>1801</v>
      </c>
    </row>
    <row r="290" spans="2:8" ht="18">
      <c r="B290" s="21">
        <v>288</v>
      </c>
      <c r="C290" s="27">
        <v>10651</v>
      </c>
      <c r="D290" s="42" t="s">
        <v>719</v>
      </c>
      <c r="E290" s="27" t="s">
        <v>1802</v>
      </c>
      <c r="F290" s="27" t="s">
        <v>1454</v>
      </c>
      <c r="G290" s="27">
        <v>1678</v>
      </c>
      <c r="H290" s="25" t="s">
        <v>1803</v>
      </c>
    </row>
    <row r="291" spans="2:8" ht="18">
      <c r="B291" s="21">
        <v>289</v>
      </c>
      <c r="C291" s="27">
        <v>10356</v>
      </c>
      <c r="D291" s="42" t="s">
        <v>1092</v>
      </c>
      <c r="E291" s="27" t="s">
        <v>1692</v>
      </c>
      <c r="F291" s="27" t="s">
        <v>1741</v>
      </c>
      <c r="G291" s="27" t="s">
        <v>1804</v>
      </c>
      <c r="H291" s="25" t="s">
        <v>1805</v>
      </c>
    </row>
    <row r="292" spans="2:8" ht="18">
      <c r="B292" s="21">
        <v>290</v>
      </c>
      <c r="C292" s="27">
        <v>9946</v>
      </c>
      <c r="D292" s="42" t="s">
        <v>620</v>
      </c>
      <c r="E292" s="27" t="s">
        <v>1435</v>
      </c>
      <c r="F292" s="27" t="s">
        <v>1741</v>
      </c>
      <c r="G292" s="27">
        <v>1513</v>
      </c>
      <c r="H292" s="25" t="s">
        <v>1806</v>
      </c>
    </row>
    <row r="293" spans="2:8" ht="18">
      <c r="B293" s="21">
        <v>291</v>
      </c>
      <c r="C293" s="27">
        <v>10133</v>
      </c>
      <c r="D293" s="42" t="s">
        <v>602</v>
      </c>
      <c r="E293" s="27" t="s">
        <v>1437</v>
      </c>
      <c r="F293" s="27" t="s">
        <v>1436</v>
      </c>
      <c r="G293" s="27">
        <v>1579</v>
      </c>
      <c r="H293" s="25" t="s">
        <v>1806</v>
      </c>
    </row>
    <row r="294" spans="2:8" ht="18">
      <c r="B294" s="21">
        <v>292</v>
      </c>
      <c r="C294" s="27">
        <v>10360</v>
      </c>
      <c r="D294" s="42" t="s">
        <v>1042</v>
      </c>
      <c r="E294" s="27" t="s">
        <v>1470</v>
      </c>
      <c r="F294" s="27" t="s">
        <v>1436</v>
      </c>
      <c r="G294" s="27">
        <v>1629</v>
      </c>
      <c r="H294" s="25" t="s">
        <v>1807</v>
      </c>
    </row>
    <row r="295" spans="2:8" ht="18">
      <c r="B295" s="21">
        <v>293</v>
      </c>
      <c r="C295" s="52">
        <v>10663</v>
      </c>
      <c r="D295" s="40" t="s">
        <v>970</v>
      </c>
      <c r="E295" s="27" t="s">
        <v>1808</v>
      </c>
      <c r="F295" s="27" t="s">
        <v>1619</v>
      </c>
      <c r="G295" s="52">
        <v>1684</v>
      </c>
      <c r="H295" s="25" t="s">
        <v>1809</v>
      </c>
    </row>
    <row r="296" spans="2:8" ht="18">
      <c r="B296" s="21">
        <v>294</v>
      </c>
      <c r="C296" s="52">
        <v>10668</v>
      </c>
      <c r="D296" s="40" t="s">
        <v>1343</v>
      </c>
      <c r="E296" s="27" t="s">
        <v>1808</v>
      </c>
      <c r="F296" s="27" t="s">
        <v>1619</v>
      </c>
      <c r="G296" s="27">
        <v>1685</v>
      </c>
      <c r="H296" s="25" t="s">
        <v>1786</v>
      </c>
    </row>
    <row r="297" spans="2:8" ht="18">
      <c r="B297" s="21">
        <v>295</v>
      </c>
      <c r="C297" s="52">
        <v>10670</v>
      </c>
      <c r="D297" s="40" t="s">
        <v>973</v>
      </c>
      <c r="E297" s="27" t="s">
        <v>1808</v>
      </c>
      <c r="F297" s="27" t="s">
        <v>1619</v>
      </c>
      <c r="G297" s="27">
        <v>1686</v>
      </c>
      <c r="H297" s="25" t="s">
        <v>1810</v>
      </c>
    </row>
    <row r="298" spans="2:8" ht="18">
      <c r="B298" s="21">
        <v>296</v>
      </c>
      <c r="C298" s="27">
        <v>10672</v>
      </c>
      <c r="D298" s="40" t="s">
        <v>975</v>
      </c>
      <c r="E298" s="27" t="s">
        <v>1808</v>
      </c>
      <c r="F298" s="27" t="s">
        <v>1619</v>
      </c>
      <c r="G298" s="27">
        <v>1687</v>
      </c>
      <c r="H298" s="25" t="s">
        <v>1811</v>
      </c>
    </row>
    <row r="299" spans="2:8" ht="18">
      <c r="B299" s="21">
        <v>297</v>
      </c>
      <c r="C299" s="27">
        <v>10673</v>
      </c>
      <c r="D299" s="40" t="s">
        <v>977</v>
      </c>
      <c r="E299" s="27" t="s">
        <v>1808</v>
      </c>
      <c r="F299" s="27" t="s">
        <v>1619</v>
      </c>
      <c r="G299" s="27">
        <v>1688</v>
      </c>
      <c r="H299" s="25" t="s">
        <v>1789</v>
      </c>
    </row>
    <row r="300" spans="2:8" ht="18">
      <c r="B300" s="21">
        <v>298</v>
      </c>
      <c r="C300" s="27">
        <v>10674</v>
      </c>
      <c r="D300" s="40" t="s">
        <v>979</v>
      </c>
      <c r="E300" s="27" t="s">
        <v>1808</v>
      </c>
      <c r="F300" s="27" t="s">
        <v>1619</v>
      </c>
      <c r="G300" s="27">
        <v>1689</v>
      </c>
      <c r="H300" s="25" t="s">
        <v>1789</v>
      </c>
    </row>
    <row r="301" spans="2:8" ht="18">
      <c r="B301" s="21">
        <v>299</v>
      </c>
      <c r="C301" s="27">
        <v>10718</v>
      </c>
      <c r="D301" s="40" t="s">
        <v>1077</v>
      </c>
      <c r="E301" s="27" t="s">
        <v>1808</v>
      </c>
      <c r="F301" s="27" t="s">
        <v>1741</v>
      </c>
      <c r="G301" s="27" t="s">
        <v>1812</v>
      </c>
      <c r="H301" s="25" t="s">
        <v>1786</v>
      </c>
    </row>
    <row r="302" spans="2:8" ht="18">
      <c r="B302" s="21">
        <v>300</v>
      </c>
      <c r="C302" s="27">
        <v>10744</v>
      </c>
      <c r="D302" s="40" t="s">
        <v>981</v>
      </c>
      <c r="E302" s="27" t="s">
        <v>1808</v>
      </c>
      <c r="F302" s="27" t="s">
        <v>1619</v>
      </c>
      <c r="G302" s="27">
        <v>1693</v>
      </c>
      <c r="H302" s="25" t="s">
        <v>1790</v>
      </c>
    </row>
    <row r="303" spans="2:8" ht="18">
      <c r="B303" s="21">
        <v>301</v>
      </c>
      <c r="C303" s="27">
        <v>10756</v>
      </c>
      <c r="D303" s="40" t="s">
        <v>777</v>
      </c>
      <c r="E303" s="27" t="s">
        <v>1813</v>
      </c>
      <c r="F303" s="27" t="s">
        <v>1554</v>
      </c>
      <c r="G303" s="27">
        <v>1694</v>
      </c>
      <c r="H303" s="25" t="s">
        <v>1798</v>
      </c>
    </row>
    <row r="304" spans="2:8" ht="18">
      <c r="B304" s="21">
        <v>302</v>
      </c>
      <c r="C304" s="27">
        <v>10788</v>
      </c>
      <c r="D304" s="40" t="s">
        <v>1814</v>
      </c>
      <c r="E304" s="27" t="s">
        <v>1815</v>
      </c>
      <c r="F304" s="27" t="s">
        <v>1501</v>
      </c>
      <c r="G304" s="27">
        <v>1695</v>
      </c>
      <c r="H304" s="25" t="s">
        <v>1803</v>
      </c>
    </row>
    <row r="305" spans="2:8" ht="18">
      <c r="B305" s="21">
        <v>303</v>
      </c>
      <c r="C305" s="53">
        <v>7069</v>
      </c>
      <c r="D305" s="42" t="s">
        <v>634</v>
      </c>
      <c r="E305" s="27" t="s">
        <v>1430</v>
      </c>
      <c r="F305" s="53" t="s">
        <v>1741</v>
      </c>
      <c r="G305" s="53">
        <v>937</v>
      </c>
      <c r="H305" s="25" t="s">
        <v>1816</v>
      </c>
    </row>
    <row r="306" spans="2:8" ht="18">
      <c r="B306" s="21">
        <v>304</v>
      </c>
      <c r="C306" s="27">
        <v>10375</v>
      </c>
      <c r="D306" s="42" t="s">
        <v>1024</v>
      </c>
      <c r="E306" s="27" t="s">
        <v>1817</v>
      </c>
      <c r="F306" s="27" t="s">
        <v>1619</v>
      </c>
      <c r="G306" s="27">
        <v>1635</v>
      </c>
      <c r="H306" s="25" t="s">
        <v>1816</v>
      </c>
    </row>
    <row r="307" spans="2:8" ht="18">
      <c r="B307" s="21">
        <v>305</v>
      </c>
      <c r="C307" s="27">
        <v>9947</v>
      </c>
      <c r="D307" s="42" t="s">
        <v>622</v>
      </c>
      <c r="E307" s="27" t="s">
        <v>1435</v>
      </c>
      <c r="F307" s="27" t="s">
        <v>1741</v>
      </c>
      <c r="G307" s="27">
        <v>1515</v>
      </c>
      <c r="H307" s="25" t="s">
        <v>1818</v>
      </c>
    </row>
    <row r="308" spans="2:8" ht="18">
      <c r="B308" s="21">
        <v>306</v>
      </c>
      <c r="C308" s="27">
        <v>6936</v>
      </c>
      <c r="D308" s="42" t="s">
        <v>661</v>
      </c>
      <c r="E308" s="27" t="s">
        <v>1430</v>
      </c>
      <c r="F308" s="27" t="s">
        <v>1797</v>
      </c>
      <c r="G308" s="27">
        <v>1651</v>
      </c>
      <c r="H308" s="25" t="s">
        <v>1819</v>
      </c>
    </row>
    <row r="309" spans="2:8" ht="18">
      <c r="B309" s="21">
        <v>307</v>
      </c>
      <c r="C309" s="27">
        <v>7467</v>
      </c>
      <c r="D309" s="54" t="s">
        <v>767</v>
      </c>
      <c r="E309" s="27" t="s">
        <v>1640</v>
      </c>
      <c r="F309" s="27" t="s">
        <v>1454</v>
      </c>
      <c r="G309" s="27">
        <v>1018</v>
      </c>
      <c r="H309" s="25" t="s">
        <v>1819</v>
      </c>
    </row>
    <row r="310" spans="2:8" ht="18">
      <c r="B310" s="21">
        <v>308</v>
      </c>
      <c r="C310" s="27">
        <v>9899</v>
      </c>
      <c r="D310" s="42" t="s">
        <v>22</v>
      </c>
      <c r="E310" s="27" t="s">
        <v>1480</v>
      </c>
      <c r="F310" s="27" t="s">
        <v>1820</v>
      </c>
      <c r="G310" s="27">
        <v>1492</v>
      </c>
      <c r="H310" s="25" t="s">
        <v>1821</v>
      </c>
    </row>
    <row r="311" spans="2:8" ht="18">
      <c r="B311" s="21">
        <v>309</v>
      </c>
      <c r="C311" s="27">
        <v>10095</v>
      </c>
      <c r="D311" s="42" t="s">
        <v>951</v>
      </c>
      <c r="E311" s="27" t="s">
        <v>1822</v>
      </c>
      <c r="F311" s="27" t="s">
        <v>1823</v>
      </c>
      <c r="G311" s="27">
        <v>1561</v>
      </c>
      <c r="H311" s="25" t="s">
        <v>1824</v>
      </c>
    </row>
    <row r="312" spans="2:8" ht="18">
      <c r="B312" s="21">
        <v>310</v>
      </c>
      <c r="C312" s="27">
        <v>10215</v>
      </c>
      <c r="D312" s="42" t="s">
        <v>374</v>
      </c>
      <c r="E312" s="27" t="s">
        <v>1437</v>
      </c>
      <c r="F312" s="27" t="s">
        <v>1447</v>
      </c>
      <c r="G312" s="27">
        <v>1607</v>
      </c>
      <c r="H312" s="25" t="s">
        <v>1825</v>
      </c>
    </row>
    <row r="313" spans="2:8" ht="18">
      <c r="B313" s="21">
        <v>311</v>
      </c>
      <c r="C313" s="27">
        <v>9951</v>
      </c>
      <c r="D313" s="42" t="s">
        <v>515</v>
      </c>
      <c r="E313" s="27" t="s">
        <v>1435</v>
      </c>
      <c r="F313" s="27" t="s">
        <v>1619</v>
      </c>
      <c r="G313" s="27">
        <v>1517</v>
      </c>
      <c r="H313" s="25" t="s">
        <v>1826</v>
      </c>
    </row>
    <row r="314" spans="2:8" ht="18">
      <c r="B314" s="21">
        <v>312</v>
      </c>
      <c r="C314" s="27">
        <v>6345</v>
      </c>
      <c r="D314" s="42" t="s">
        <v>170</v>
      </c>
      <c r="E314" s="27" t="s">
        <v>1827</v>
      </c>
      <c r="F314" s="27" t="s">
        <v>1445</v>
      </c>
      <c r="G314" s="27">
        <v>883</v>
      </c>
      <c r="H314" s="25" t="s">
        <v>1826</v>
      </c>
    </row>
    <row r="315" spans="2:8" ht="18">
      <c r="B315" s="21">
        <v>313</v>
      </c>
      <c r="C315" s="27">
        <v>10610</v>
      </c>
      <c r="D315" s="42" t="s">
        <v>814</v>
      </c>
      <c r="E315" s="27" t="s">
        <v>1828</v>
      </c>
      <c r="F315" s="27" t="s">
        <v>1829</v>
      </c>
      <c r="G315" s="27">
        <v>1669</v>
      </c>
      <c r="H315" s="25" t="s">
        <v>1830</v>
      </c>
    </row>
    <row r="316" spans="2:8" ht="18">
      <c r="B316" s="21">
        <v>314</v>
      </c>
      <c r="C316" s="27">
        <v>5682</v>
      </c>
      <c r="D316" s="42" t="s">
        <v>539</v>
      </c>
      <c r="E316" s="27" t="s">
        <v>1430</v>
      </c>
      <c r="F316" s="27" t="s">
        <v>1619</v>
      </c>
      <c r="G316" s="27">
        <v>759</v>
      </c>
      <c r="H316" s="25" t="s">
        <v>1831</v>
      </c>
    </row>
    <row r="317" spans="2:8" ht="18">
      <c r="B317" s="21">
        <v>315</v>
      </c>
      <c r="C317" s="53">
        <v>9504</v>
      </c>
      <c r="D317" s="54" t="s">
        <v>17</v>
      </c>
      <c r="E317" s="27" t="s">
        <v>1832</v>
      </c>
      <c r="F317" s="55" t="s">
        <v>1438</v>
      </c>
      <c r="G317" s="27">
        <v>1360</v>
      </c>
      <c r="H317" s="25" t="s">
        <v>1833</v>
      </c>
    </row>
    <row r="318" spans="2:8" ht="18">
      <c r="B318" s="21">
        <v>316</v>
      </c>
      <c r="C318" s="27">
        <v>9945</v>
      </c>
      <c r="D318" s="42" t="s">
        <v>289</v>
      </c>
      <c r="E318" s="27" t="s">
        <v>1435</v>
      </c>
      <c r="F318" s="27" t="s">
        <v>1741</v>
      </c>
      <c r="G318" s="27">
        <v>1514</v>
      </c>
      <c r="H318" s="25" t="s">
        <v>1833</v>
      </c>
    </row>
    <row r="319" spans="2:8" ht="18">
      <c r="B319" s="21">
        <v>317</v>
      </c>
      <c r="C319" s="27">
        <v>10368</v>
      </c>
      <c r="D319" s="42" t="s">
        <v>1031</v>
      </c>
      <c r="E319" s="27" t="s">
        <v>1794</v>
      </c>
      <c r="F319" s="27" t="s">
        <v>1619</v>
      </c>
      <c r="G319" s="27">
        <v>1634</v>
      </c>
      <c r="H319" s="25" t="s">
        <v>1834</v>
      </c>
    </row>
    <row r="320" spans="2:8" ht="18">
      <c r="B320" s="21">
        <v>318</v>
      </c>
      <c r="C320" s="27">
        <v>6675</v>
      </c>
      <c r="D320" s="42" t="s">
        <v>676</v>
      </c>
      <c r="E320" s="27" t="s">
        <v>1430</v>
      </c>
      <c r="F320" s="27" t="s">
        <v>1457</v>
      </c>
      <c r="G320" s="27">
        <v>874</v>
      </c>
      <c r="H320" s="25" t="s">
        <v>1835</v>
      </c>
    </row>
    <row r="321" spans="2:8" ht="18">
      <c r="B321" s="21">
        <v>319</v>
      </c>
      <c r="C321" s="27">
        <v>10358</v>
      </c>
      <c r="D321" s="42" t="s">
        <v>1039</v>
      </c>
      <c r="E321" s="27" t="s">
        <v>1585</v>
      </c>
      <c r="F321" s="27" t="s">
        <v>1436</v>
      </c>
      <c r="G321" s="27">
        <v>1628</v>
      </c>
      <c r="H321" s="25" t="s">
        <v>1836</v>
      </c>
    </row>
    <row r="322" spans="2:8" ht="18">
      <c r="B322" s="21">
        <v>320</v>
      </c>
      <c r="C322" s="27">
        <v>10616</v>
      </c>
      <c r="D322" s="42" t="s">
        <v>800</v>
      </c>
      <c r="E322" s="27" t="s">
        <v>1828</v>
      </c>
      <c r="F322" s="27" t="s">
        <v>1501</v>
      </c>
      <c r="G322" s="27">
        <v>1670</v>
      </c>
      <c r="H322" s="25" t="s">
        <v>1837</v>
      </c>
    </row>
    <row r="323" spans="2:8" ht="18">
      <c r="B323" s="21">
        <v>321</v>
      </c>
      <c r="C323" s="27">
        <v>9727</v>
      </c>
      <c r="D323" s="42" t="s">
        <v>1057</v>
      </c>
      <c r="E323" s="27" t="s">
        <v>1470</v>
      </c>
      <c r="F323" s="27" t="s">
        <v>1619</v>
      </c>
      <c r="G323" s="27">
        <v>1440</v>
      </c>
      <c r="H323" s="25" t="s">
        <v>1837</v>
      </c>
    </row>
    <row r="324" spans="2:8" ht="18">
      <c r="B324" s="21">
        <v>322</v>
      </c>
      <c r="C324" s="27">
        <v>10363</v>
      </c>
      <c r="D324" s="42" t="s">
        <v>1100</v>
      </c>
      <c r="E324" s="27" t="s">
        <v>1781</v>
      </c>
      <c r="F324" s="27" t="s">
        <v>1741</v>
      </c>
      <c r="G324" s="27" t="s">
        <v>1838</v>
      </c>
      <c r="H324" s="25" t="s">
        <v>1839</v>
      </c>
    </row>
    <row r="325" spans="2:8" ht="18">
      <c r="B325" s="21">
        <v>323</v>
      </c>
      <c r="C325" s="40">
        <v>3342</v>
      </c>
      <c r="D325" s="42" t="s">
        <v>855</v>
      </c>
      <c r="E325" s="27" t="s">
        <v>1840</v>
      </c>
      <c r="F325" s="27" t="s">
        <v>1451</v>
      </c>
      <c r="G325" s="27">
        <v>389</v>
      </c>
      <c r="H325" s="25" t="s">
        <v>1839</v>
      </c>
    </row>
    <row r="326" spans="2:8" ht="18">
      <c r="B326" s="21">
        <v>324</v>
      </c>
      <c r="C326" s="27">
        <v>10385</v>
      </c>
      <c r="D326" s="42" t="s">
        <v>609</v>
      </c>
      <c r="E326" s="27" t="s">
        <v>1435</v>
      </c>
      <c r="F326" s="27" t="s">
        <v>1474</v>
      </c>
      <c r="G326" s="27" t="s">
        <v>1841</v>
      </c>
      <c r="H326" s="25" t="s">
        <v>1842</v>
      </c>
    </row>
    <row r="327" spans="2:8" ht="18">
      <c r="B327" s="21">
        <v>325</v>
      </c>
      <c r="C327" s="27">
        <v>9489</v>
      </c>
      <c r="D327" s="42" t="s">
        <v>1124</v>
      </c>
      <c r="E327" s="27" t="s">
        <v>1450</v>
      </c>
      <c r="F327" s="27" t="s">
        <v>1454</v>
      </c>
      <c r="G327" s="27">
        <v>1582</v>
      </c>
      <c r="H327" s="25" t="s">
        <v>1843</v>
      </c>
    </row>
    <row r="328" spans="2:8" ht="18">
      <c r="B328" s="21">
        <v>326</v>
      </c>
      <c r="C328" s="27">
        <v>10085</v>
      </c>
      <c r="D328" s="42" t="s">
        <v>935</v>
      </c>
      <c r="E328" s="27" t="s">
        <v>1844</v>
      </c>
      <c r="F328" s="27" t="s">
        <v>1845</v>
      </c>
      <c r="G328" s="27">
        <v>1563</v>
      </c>
      <c r="H328" s="25" t="s">
        <v>1843</v>
      </c>
    </row>
    <row r="329" spans="2:8" ht="18">
      <c r="B329" s="21">
        <v>327</v>
      </c>
      <c r="C329" s="27">
        <v>10182</v>
      </c>
      <c r="D329" s="42" t="s">
        <v>242</v>
      </c>
      <c r="E329" s="27" t="s">
        <v>1437</v>
      </c>
      <c r="F329" s="27" t="s">
        <v>1466</v>
      </c>
      <c r="G329" s="27">
        <v>1595</v>
      </c>
      <c r="H329" s="25" t="s">
        <v>1846</v>
      </c>
    </row>
    <row r="330" spans="2:8" ht="18">
      <c r="B330" s="21">
        <v>328</v>
      </c>
      <c r="C330" s="27">
        <v>6152</v>
      </c>
      <c r="D330" s="42" t="s">
        <v>651</v>
      </c>
      <c r="E330" s="27" t="s">
        <v>1847</v>
      </c>
      <c r="F330" s="27" t="s">
        <v>1594</v>
      </c>
      <c r="G330" s="27">
        <v>749</v>
      </c>
      <c r="H330" s="25" t="s">
        <v>1848</v>
      </c>
    </row>
    <row r="331" spans="2:8" ht="18">
      <c r="B331" s="21">
        <v>329</v>
      </c>
      <c r="C331" s="27">
        <v>9986</v>
      </c>
      <c r="D331" s="56" t="s">
        <v>1849</v>
      </c>
      <c r="E331" s="27" t="s">
        <v>1435</v>
      </c>
      <c r="F331" s="27" t="s">
        <v>1436</v>
      </c>
      <c r="G331" s="27">
        <v>1537</v>
      </c>
      <c r="H331" s="25" t="s">
        <v>1848</v>
      </c>
    </row>
    <row r="332" spans="2:8" ht="18">
      <c r="B332" s="21">
        <v>330</v>
      </c>
      <c r="C332" s="27">
        <v>10029</v>
      </c>
      <c r="D332" s="42" t="s">
        <v>454</v>
      </c>
      <c r="E332" s="27" t="s">
        <v>1435</v>
      </c>
      <c r="F332" s="27" t="s">
        <v>1436</v>
      </c>
      <c r="G332" s="27">
        <v>1550</v>
      </c>
      <c r="H332" s="25" t="s">
        <v>1850</v>
      </c>
    </row>
    <row r="333" spans="2:8" ht="18">
      <c r="B333" s="21">
        <v>331</v>
      </c>
      <c r="C333" s="27">
        <v>9963</v>
      </c>
      <c r="D333" s="42" t="s">
        <v>529</v>
      </c>
      <c r="E333" s="27" t="s">
        <v>1435</v>
      </c>
      <c r="F333" s="27" t="s">
        <v>1436</v>
      </c>
      <c r="G333" s="27">
        <v>1530</v>
      </c>
      <c r="H333" s="25" t="s">
        <v>1850</v>
      </c>
    </row>
    <row r="334" spans="2:8" ht="18">
      <c r="B334" s="21">
        <v>332</v>
      </c>
      <c r="C334" s="27">
        <v>10415</v>
      </c>
      <c r="D334" s="42" t="s">
        <v>452</v>
      </c>
      <c r="E334" s="27" t="s">
        <v>1435</v>
      </c>
      <c r="F334" s="27" t="s">
        <v>1436</v>
      </c>
      <c r="G334" s="27">
        <v>1650</v>
      </c>
      <c r="H334" s="25" t="s">
        <v>1851</v>
      </c>
    </row>
    <row r="335" spans="2:8" ht="18">
      <c r="B335" s="21">
        <v>333</v>
      </c>
      <c r="C335" s="27">
        <v>9243</v>
      </c>
      <c r="D335" s="42" t="s">
        <v>557</v>
      </c>
      <c r="E335" s="27" t="s">
        <v>1722</v>
      </c>
      <c r="F335" s="27" t="s">
        <v>1436</v>
      </c>
      <c r="G335" s="27">
        <v>1284</v>
      </c>
      <c r="H335" s="25" t="s">
        <v>1851</v>
      </c>
    </row>
    <row r="336" spans="2:8" ht="18">
      <c r="B336" s="21">
        <v>334</v>
      </c>
      <c r="C336" s="27">
        <v>9257</v>
      </c>
      <c r="D336" s="42" t="s">
        <v>215</v>
      </c>
      <c r="E336" s="27" t="s">
        <v>1497</v>
      </c>
      <c r="F336" s="27" t="s">
        <v>1466</v>
      </c>
      <c r="G336" s="27">
        <v>1294</v>
      </c>
      <c r="H336" s="25" t="s">
        <v>1852</v>
      </c>
    </row>
    <row r="337" spans="2:8" ht="18">
      <c r="B337" s="21">
        <v>335</v>
      </c>
      <c r="C337" s="27">
        <v>891</v>
      </c>
      <c r="D337" s="42" t="s">
        <v>235</v>
      </c>
      <c r="E337" s="27" t="s">
        <v>1430</v>
      </c>
      <c r="F337" s="27" t="s">
        <v>1466</v>
      </c>
      <c r="G337" s="27">
        <v>122</v>
      </c>
      <c r="H337" s="25" t="s">
        <v>1852</v>
      </c>
    </row>
    <row r="338" spans="2:8" ht="18">
      <c r="B338" s="21">
        <v>336</v>
      </c>
      <c r="C338" s="27">
        <v>6633</v>
      </c>
      <c r="D338" s="42" t="s">
        <v>157</v>
      </c>
      <c r="E338" s="27" t="s">
        <v>1497</v>
      </c>
      <c r="F338" s="27" t="s">
        <v>1451</v>
      </c>
      <c r="G338" s="27">
        <v>860</v>
      </c>
      <c r="H338" s="25" t="s">
        <v>1853</v>
      </c>
    </row>
    <row r="339" spans="2:8" ht="18">
      <c r="B339" s="21">
        <v>337</v>
      </c>
      <c r="C339" s="27">
        <v>9962</v>
      </c>
      <c r="D339" s="42" t="s">
        <v>527</v>
      </c>
      <c r="E339" s="27" t="s">
        <v>1435</v>
      </c>
      <c r="F339" s="27" t="s">
        <v>1436</v>
      </c>
      <c r="G339" s="27">
        <v>1526</v>
      </c>
      <c r="H339" s="25" t="s">
        <v>1853</v>
      </c>
    </row>
    <row r="340" spans="2:8" ht="18">
      <c r="B340" s="21">
        <v>338</v>
      </c>
      <c r="C340" s="27">
        <v>9959</v>
      </c>
      <c r="D340" s="42" t="s">
        <v>523</v>
      </c>
      <c r="E340" s="27" t="s">
        <v>1435</v>
      </c>
      <c r="F340" s="27" t="s">
        <v>1436</v>
      </c>
      <c r="G340" s="27">
        <v>1527</v>
      </c>
      <c r="H340" s="25" t="s">
        <v>1854</v>
      </c>
    </row>
    <row r="341" spans="2:8" ht="18">
      <c r="B341" s="21">
        <v>339</v>
      </c>
      <c r="C341" s="27">
        <v>10413</v>
      </c>
      <c r="D341" s="42" t="s">
        <v>448</v>
      </c>
      <c r="E341" s="27" t="s">
        <v>1435</v>
      </c>
      <c r="F341" s="27" t="s">
        <v>1436</v>
      </c>
      <c r="G341" s="27">
        <v>1648</v>
      </c>
      <c r="H341" s="25" t="s">
        <v>1855</v>
      </c>
    </row>
    <row r="342" spans="2:8" ht="18">
      <c r="B342" s="21">
        <v>340</v>
      </c>
      <c r="C342" s="27">
        <v>8145</v>
      </c>
      <c r="D342" s="42" t="s">
        <v>434</v>
      </c>
      <c r="E342" s="27" t="s">
        <v>1430</v>
      </c>
      <c r="F342" s="27" t="s">
        <v>1413</v>
      </c>
      <c r="G342" s="27">
        <v>1091</v>
      </c>
      <c r="H342" s="25" t="s">
        <v>1856</v>
      </c>
    </row>
    <row r="343" spans="2:8" ht="18">
      <c r="B343" s="21">
        <v>341</v>
      </c>
      <c r="C343" s="27">
        <v>8538</v>
      </c>
      <c r="D343" s="42" t="s">
        <v>293</v>
      </c>
      <c r="E343" s="27" t="s">
        <v>1480</v>
      </c>
      <c r="F343" s="27" t="s">
        <v>1857</v>
      </c>
      <c r="G343" s="27">
        <v>1135</v>
      </c>
      <c r="H343" s="25" t="s">
        <v>1856</v>
      </c>
    </row>
    <row r="344" spans="2:8" ht="18">
      <c r="B344" s="21">
        <v>342</v>
      </c>
      <c r="C344" s="27">
        <v>10411</v>
      </c>
      <c r="D344" s="42" t="s">
        <v>443</v>
      </c>
      <c r="E344" s="27" t="s">
        <v>1435</v>
      </c>
      <c r="F344" s="27" t="s">
        <v>1436</v>
      </c>
      <c r="G344" s="27">
        <v>1646</v>
      </c>
      <c r="H344" s="25" t="s">
        <v>1858</v>
      </c>
    </row>
    <row r="345" spans="2:8" ht="18">
      <c r="B345" s="21">
        <v>343</v>
      </c>
      <c r="C345" s="27">
        <v>10412</v>
      </c>
      <c r="D345" s="42" t="s">
        <v>446</v>
      </c>
      <c r="E345" s="27" t="s">
        <v>1435</v>
      </c>
      <c r="F345" s="27" t="s">
        <v>1436</v>
      </c>
      <c r="G345" s="27">
        <v>1647</v>
      </c>
      <c r="H345" s="25" t="s">
        <v>1859</v>
      </c>
    </row>
    <row r="346" spans="2:8" ht="18">
      <c r="B346" s="21">
        <v>344</v>
      </c>
      <c r="C346" s="27">
        <v>5432</v>
      </c>
      <c r="D346" s="42" t="s">
        <v>348</v>
      </c>
      <c r="E346" s="27" t="s">
        <v>1860</v>
      </c>
      <c r="F346" s="27" t="s">
        <v>1447</v>
      </c>
      <c r="G346" s="27">
        <v>604</v>
      </c>
      <c r="H346" s="25" t="s">
        <v>1861</v>
      </c>
    </row>
    <row r="347" spans="2:8" ht="18">
      <c r="B347" s="21">
        <v>345</v>
      </c>
      <c r="C347" s="27">
        <v>10414</v>
      </c>
      <c r="D347" s="42" t="s">
        <v>450</v>
      </c>
      <c r="E347" s="27" t="s">
        <v>1435</v>
      </c>
      <c r="F347" s="27" t="s">
        <v>1436</v>
      </c>
      <c r="G347" s="27">
        <v>1649</v>
      </c>
      <c r="H347" s="25" t="s">
        <v>1862</v>
      </c>
    </row>
    <row r="348" spans="2:8" ht="18">
      <c r="B348" s="21">
        <v>346</v>
      </c>
      <c r="C348" s="27">
        <v>6915</v>
      </c>
      <c r="D348" s="42" t="s">
        <v>596</v>
      </c>
      <c r="E348" s="27" t="s">
        <v>1840</v>
      </c>
      <c r="F348" s="27" t="s">
        <v>1436</v>
      </c>
      <c r="G348" s="27">
        <v>921</v>
      </c>
      <c r="H348" s="25" t="s">
        <v>1862</v>
      </c>
    </row>
    <row r="349" spans="2:8" ht="18">
      <c r="B349" s="21">
        <v>347</v>
      </c>
      <c r="C349" s="27">
        <v>6629</v>
      </c>
      <c r="D349" s="42" t="s">
        <v>154</v>
      </c>
      <c r="E349" s="27" t="s">
        <v>1497</v>
      </c>
      <c r="F349" s="27" t="s">
        <v>1451</v>
      </c>
      <c r="G349" s="27">
        <v>857</v>
      </c>
      <c r="H349" s="25" t="s">
        <v>1863</v>
      </c>
    </row>
    <row r="350" spans="2:8" ht="18">
      <c r="B350" s="21">
        <v>348</v>
      </c>
      <c r="C350" s="57">
        <v>6815</v>
      </c>
      <c r="D350" s="58" t="s">
        <v>898</v>
      </c>
      <c r="E350" s="57" t="s">
        <v>1425</v>
      </c>
      <c r="F350" s="57" t="s">
        <v>1466</v>
      </c>
      <c r="G350" s="57">
        <v>902</v>
      </c>
      <c r="H350" s="25" t="s">
        <v>1863</v>
      </c>
    </row>
    <row r="351" spans="2:8" ht="18">
      <c r="B351" s="21">
        <v>349</v>
      </c>
      <c r="C351" s="27">
        <v>6626</v>
      </c>
      <c r="D351" s="42" t="s">
        <v>648</v>
      </c>
      <c r="E351" s="27" t="s">
        <v>1864</v>
      </c>
      <c r="F351" s="27" t="s">
        <v>1594</v>
      </c>
      <c r="G351" s="27">
        <v>855</v>
      </c>
      <c r="H351" s="25" t="s">
        <v>1865</v>
      </c>
    </row>
    <row r="352" spans="2:8" ht="18">
      <c r="B352" s="21">
        <v>350</v>
      </c>
      <c r="C352" s="27">
        <v>9505</v>
      </c>
      <c r="D352" s="42" t="s">
        <v>604</v>
      </c>
      <c r="E352" s="27" t="s">
        <v>1866</v>
      </c>
      <c r="F352" s="27" t="s">
        <v>1436</v>
      </c>
      <c r="G352" s="27">
        <v>1359</v>
      </c>
      <c r="H352" s="25" t="s">
        <v>1865</v>
      </c>
    </row>
    <row r="353" spans="2:8" ht="18">
      <c r="B353" s="21">
        <v>351</v>
      </c>
      <c r="C353" s="27">
        <v>10030</v>
      </c>
      <c r="D353" s="42" t="s">
        <v>456</v>
      </c>
      <c r="E353" s="27" t="s">
        <v>1435</v>
      </c>
      <c r="F353" s="27" t="s">
        <v>1436</v>
      </c>
      <c r="G353" s="27">
        <v>1551</v>
      </c>
      <c r="H353" s="25" t="s">
        <v>1867</v>
      </c>
    </row>
    <row r="354" spans="2:8" ht="18">
      <c r="B354" s="21">
        <v>352</v>
      </c>
      <c r="C354" s="27">
        <v>9904</v>
      </c>
      <c r="D354" s="42" t="s">
        <v>1003</v>
      </c>
      <c r="E354" s="27" t="s">
        <v>1868</v>
      </c>
      <c r="F354" s="27" t="s">
        <v>1619</v>
      </c>
      <c r="G354" s="27">
        <v>1497</v>
      </c>
      <c r="H354" s="25" t="s">
        <v>1869</v>
      </c>
    </row>
    <row r="355" spans="2:8" ht="18">
      <c r="B355" s="21">
        <v>353</v>
      </c>
      <c r="C355" s="27">
        <v>5665</v>
      </c>
      <c r="D355" s="42" t="s">
        <v>832</v>
      </c>
      <c r="E355" s="27" t="s">
        <v>1870</v>
      </c>
      <c r="F355" s="27" t="s">
        <v>1568</v>
      </c>
      <c r="G355" s="27">
        <v>1396</v>
      </c>
      <c r="H355" s="25" t="s">
        <v>1871</v>
      </c>
    </row>
    <row r="356" spans="2:8" ht="18">
      <c r="B356" s="21">
        <v>354</v>
      </c>
      <c r="C356" s="27">
        <v>10357</v>
      </c>
      <c r="D356" s="42" t="s">
        <v>1872</v>
      </c>
      <c r="E356" s="27" t="s">
        <v>1873</v>
      </c>
      <c r="F356" s="27" t="s">
        <v>1436</v>
      </c>
      <c r="G356" s="27">
        <v>1534</v>
      </c>
      <c r="H356" s="25" t="s">
        <v>1871</v>
      </c>
    </row>
    <row r="357" spans="2:8" ht="18">
      <c r="B357" s="21">
        <v>355</v>
      </c>
      <c r="C357" s="27">
        <v>7449</v>
      </c>
      <c r="D357" s="42" t="s">
        <v>761</v>
      </c>
      <c r="E357" s="27" t="s">
        <v>1636</v>
      </c>
      <c r="F357" s="27" t="s">
        <v>1454</v>
      </c>
      <c r="G357" s="27">
        <v>1015</v>
      </c>
      <c r="H357" s="25" t="s">
        <v>1874</v>
      </c>
    </row>
    <row r="358" spans="2:8" ht="18">
      <c r="B358" s="21">
        <v>356</v>
      </c>
      <c r="C358" s="27">
        <v>9310</v>
      </c>
      <c r="D358" s="42" t="s">
        <v>19</v>
      </c>
      <c r="E358" s="27" t="s">
        <v>1832</v>
      </c>
      <c r="F358" s="27" t="s">
        <v>1438</v>
      </c>
      <c r="G358" s="27">
        <v>1249</v>
      </c>
      <c r="H358" s="25" t="s">
        <v>1874</v>
      </c>
    </row>
    <row r="359" spans="2:8" ht="18">
      <c r="B359" s="21">
        <v>357</v>
      </c>
      <c r="C359" s="27">
        <v>8874</v>
      </c>
      <c r="D359" s="42" t="s">
        <v>95</v>
      </c>
      <c r="E359" s="27" t="s">
        <v>1875</v>
      </c>
      <c r="F359" s="27" t="s">
        <v>1501</v>
      </c>
      <c r="G359" s="27">
        <v>1209</v>
      </c>
      <c r="H359" s="25" t="s">
        <v>1876</v>
      </c>
    </row>
    <row r="360" spans="2:8" ht="18">
      <c r="B360" s="21">
        <v>358</v>
      </c>
      <c r="C360" s="27">
        <v>9972</v>
      </c>
      <c r="D360" s="42" t="s">
        <v>535</v>
      </c>
      <c r="E360" s="27" t="s">
        <v>1435</v>
      </c>
      <c r="F360" s="27" t="s">
        <v>1436</v>
      </c>
      <c r="G360" s="27">
        <v>1534</v>
      </c>
      <c r="H360" s="25" t="s">
        <v>1877</v>
      </c>
    </row>
    <row r="361" spans="2:8" ht="18">
      <c r="B361" s="21">
        <v>359</v>
      </c>
      <c r="C361" s="40">
        <v>6834</v>
      </c>
      <c r="D361" s="42" t="s">
        <v>591</v>
      </c>
      <c r="E361" s="27" t="s">
        <v>1476</v>
      </c>
      <c r="F361" s="27" t="s">
        <v>1619</v>
      </c>
      <c r="G361" s="27">
        <v>898</v>
      </c>
      <c r="H361" s="25" t="s">
        <v>1878</v>
      </c>
    </row>
    <row r="362" spans="2:8" ht="18">
      <c r="B362" s="21">
        <v>360</v>
      </c>
      <c r="C362" s="40">
        <v>10002</v>
      </c>
      <c r="D362" s="42" t="s">
        <v>645</v>
      </c>
      <c r="E362" s="27" t="s">
        <v>1879</v>
      </c>
      <c r="F362" s="27" t="s">
        <v>1594</v>
      </c>
      <c r="G362" s="27">
        <v>1539</v>
      </c>
      <c r="H362" s="25" t="s">
        <v>1878</v>
      </c>
    </row>
    <row r="363" spans="2:8" ht="18">
      <c r="B363" s="21">
        <v>361</v>
      </c>
      <c r="C363" s="40">
        <v>5716</v>
      </c>
      <c r="D363" s="42" t="s">
        <v>691</v>
      </c>
      <c r="E363" s="27" t="s">
        <v>1880</v>
      </c>
      <c r="F363" s="27" t="s">
        <v>1460</v>
      </c>
      <c r="G363" s="27">
        <v>1483</v>
      </c>
      <c r="H363" s="25" t="s">
        <v>1881</v>
      </c>
    </row>
    <row r="364" spans="2:8" ht="18">
      <c r="B364" s="21">
        <v>362</v>
      </c>
      <c r="C364" s="40">
        <v>6774</v>
      </c>
      <c r="D364" s="42" t="s">
        <v>990</v>
      </c>
      <c r="E364" s="27" t="s">
        <v>1757</v>
      </c>
      <c r="F364" s="27" t="s">
        <v>1619</v>
      </c>
      <c r="G364" s="27">
        <v>893</v>
      </c>
      <c r="H364" s="25" t="s">
        <v>1881</v>
      </c>
    </row>
    <row r="365" spans="2:8" ht="18">
      <c r="B365" s="21">
        <v>363</v>
      </c>
      <c r="C365" s="40">
        <v>6521</v>
      </c>
      <c r="D365" s="42" t="s">
        <v>167</v>
      </c>
      <c r="E365" s="27" t="s">
        <v>1476</v>
      </c>
      <c r="F365" s="27" t="s">
        <v>1882</v>
      </c>
      <c r="G365" s="27">
        <v>844</v>
      </c>
      <c r="H365" s="25" t="s">
        <v>1883</v>
      </c>
    </row>
    <row r="366" spans="2:8" ht="18">
      <c r="B366" s="21">
        <v>364</v>
      </c>
      <c r="C366" s="40">
        <v>6522</v>
      </c>
      <c r="D366" s="42" t="s">
        <v>589</v>
      </c>
      <c r="E366" s="27" t="s">
        <v>1884</v>
      </c>
      <c r="F366" s="27" t="s">
        <v>1619</v>
      </c>
      <c r="G366" s="27">
        <v>845</v>
      </c>
      <c r="H366" s="25" t="s">
        <v>1885</v>
      </c>
    </row>
    <row r="367" spans="2:8" ht="18">
      <c r="B367" s="21">
        <v>365</v>
      </c>
      <c r="C367" s="40">
        <v>9960</v>
      </c>
      <c r="D367" s="42" t="s">
        <v>525</v>
      </c>
      <c r="E367" s="27" t="s">
        <v>1435</v>
      </c>
      <c r="F367" s="27" t="s">
        <v>1619</v>
      </c>
      <c r="G367" s="27">
        <v>1529</v>
      </c>
      <c r="H367" s="25" t="s">
        <v>1885</v>
      </c>
    </row>
    <row r="368" spans="2:8" ht="18">
      <c r="B368" s="21">
        <v>366</v>
      </c>
      <c r="C368" s="40">
        <v>9479</v>
      </c>
      <c r="D368" s="42" t="s">
        <v>893</v>
      </c>
      <c r="E368" s="27" t="s">
        <v>1886</v>
      </c>
      <c r="F368" s="27" t="s">
        <v>1466</v>
      </c>
      <c r="G368" s="27">
        <v>1346</v>
      </c>
      <c r="H368" s="25" t="s">
        <v>1887</v>
      </c>
    </row>
    <row r="369" spans="2:8" ht="18">
      <c r="B369" s="21">
        <v>367</v>
      </c>
      <c r="C369" s="40">
        <v>6375</v>
      </c>
      <c r="D369" s="42" t="s">
        <v>1888</v>
      </c>
      <c r="E369" s="27" t="s">
        <v>1889</v>
      </c>
      <c r="F369" s="27" t="s">
        <v>1890</v>
      </c>
      <c r="G369" s="27">
        <v>957</v>
      </c>
      <c r="H369" s="25" t="s">
        <v>1887</v>
      </c>
    </row>
    <row r="370" spans="2:8" ht="18">
      <c r="B370" s="21">
        <v>368</v>
      </c>
      <c r="C370" s="40">
        <v>10239</v>
      </c>
      <c r="D370" s="42" t="s">
        <v>250</v>
      </c>
      <c r="E370" s="27" t="s">
        <v>1437</v>
      </c>
      <c r="F370" s="27" t="s">
        <v>1466</v>
      </c>
      <c r="G370" s="27">
        <v>1617</v>
      </c>
      <c r="H370" s="25" t="s">
        <v>1891</v>
      </c>
    </row>
    <row r="371" spans="2:8" ht="18">
      <c r="B371" s="21">
        <v>369</v>
      </c>
      <c r="C371" s="40">
        <v>9304</v>
      </c>
      <c r="D371" s="42" t="s">
        <v>289</v>
      </c>
      <c r="E371" s="27" t="s">
        <v>1497</v>
      </c>
      <c r="F371" s="27" t="s">
        <v>1892</v>
      </c>
      <c r="G371" s="27">
        <v>1289</v>
      </c>
      <c r="H371" s="25" t="s">
        <v>1891</v>
      </c>
    </row>
    <row r="372" spans="2:8" ht="18">
      <c r="B372" s="21">
        <v>370</v>
      </c>
      <c r="C372" s="40">
        <v>7131</v>
      </c>
      <c r="D372" s="42" t="s">
        <v>600</v>
      </c>
      <c r="E372" s="27" t="s">
        <v>1430</v>
      </c>
      <c r="F372" s="27" t="s">
        <v>1619</v>
      </c>
      <c r="G372" s="27">
        <v>947</v>
      </c>
      <c r="H372" s="25" t="s">
        <v>1893</v>
      </c>
    </row>
    <row r="373" spans="2:8" ht="18">
      <c r="B373" s="21">
        <v>371</v>
      </c>
      <c r="C373" s="40">
        <v>10241</v>
      </c>
      <c r="D373" s="42" t="s">
        <v>1894</v>
      </c>
      <c r="E373" s="27" t="s">
        <v>1692</v>
      </c>
      <c r="F373" s="27" t="s">
        <v>1588</v>
      </c>
      <c r="G373" s="27">
        <v>1615</v>
      </c>
      <c r="H373" s="25" t="s">
        <v>1895</v>
      </c>
    </row>
    <row r="374" spans="2:8" ht="18">
      <c r="B374" s="21">
        <v>372</v>
      </c>
      <c r="C374" s="40">
        <v>9244</v>
      </c>
      <c r="D374" s="42" t="s">
        <v>663</v>
      </c>
      <c r="E374" s="27" t="s">
        <v>1616</v>
      </c>
      <c r="F374" s="27" t="s">
        <v>1457</v>
      </c>
      <c r="G374" s="27">
        <v>1283</v>
      </c>
      <c r="H374" s="25" t="s">
        <v>1893</v>
      </c>
    </row>
    <row r="375" spans="2:8" ht="18">
      <c r="B375" s="21">
        <v>373</v>
      </c>
      <c r="C375" s="40">
        <v>6326</v>
      </c>
      <c r="D375" s="42" t="s">
        <v>299</v>
      </c>
      <c r="E375" s="27" t="s">
        <v>1896</v>
      </c>
      <c r="F375" s="27" t="s">
        <v>1771</v>
      </c>
      <c r="G375" s="52">
        <v>745</v>
      </c>
      <c r="H375" s="25" t="s">
        <v>1893</v>
      </c>
    </row>
    <row r="376" spans="2:8" ht="18">
      <c r="B376" s="21">
        <v>374</v>
      </c>
      <c r="C376" s="40">
        <v>10210</v>
      </c>
      <c r="D376" s="42" t="s">
        <v>333</v>
      </c>
      <c r="E376" s="27" t="s">
        <v>1480</v>
      </c>
      <c r="F376" s="27" t="s">
        <v>1897</v>
      </c>
      <c r="G376" s="27">
        <v>1604</v>
      </c>
      <c r="H376" s="25" t="s">
        <v>1898</v>
      </c>
    </row>
    <row r="377" spans="2:8" ht="18">
      <c r="B377" s="21">
        <v>375</v>
      </c>
      <c r="C377" s="40">
        <v>10197</v>
      </c>
      <c r="D377" s="42" t="s">
        <v>256</v>
      </c>
      <c r="E377" s="27" t="s">
        <v>1437</v>
      </c>
      <c r="F377" s="27" t="s">
        <v>1466</v>
      </c>
      <c r="G377" s="27">
        <v>1601</v>
      </c>
      <c r="H377" s="25" t="s">
        <v>1898</v>
      </c>
    </row>
    <row r="378" spans="2:8" ht="18">
      <c r="B378" s="21">
        <v>376</v>
      </c>
      <c r="C378" s="40">
        <v>10232</v>
      </c>
      <c r="D378" s="42" t="s">
        <v>282</v>
      </c>
      <c r="E378" s="27" t="s">
        <v>1480</v>
      </c>
      <c r="F378" s="27" t="s">
        <v>1899</v>
      </c>
      <c r="G378" s="27">
        <v>1612</v>
      </c>
      <c r="H378" s="25" t="s">
        <v>1900</v>
      </c>
    </row>
    <row r="379" spans="2:8" ht="18">
      <c r="B379" s="21">
        <v>377</v>
      </c>
      <c r="C379" s="40">
        <v>10199</v>
      </c>
      <c r="D379" s="42" t="s">
        <v>244</v>
      </c>
      <c r="E379" s="27" t="s">
        <v>1437</v>
      </c>
      <c r="F379" s="27" t="s">
        <v>1466</v>
      </c>
      <c r="G379" s="27">
        <v>1602</v>
      </c>
      <c r="H379" s="25" t="s">
        <v>1900</v>
      </c>
    </row>
    <row r="380" spans="2:8" ht="18">
      <c r="B380" s="21">
        <v>378</v>
      </c>
      <c r="C380" s="40">
        <v>10219</v>
      </c>
      <c r="D380" s="42" t="s">
        <v>339</v>
      </c>
      <c r="E380" s="27" t="s">
        <v>1480</v>
      </c>
      <c r="F380" s="27" t="s">
        <v>1897</v>
      </c>
      <c r="G380" s="27">
        <v>1609</v>
      </c>
      <c r="H380" s="25" t="s">
        <v>1901</v>
      </c>
    </row>
    <row r="381" spans="2:8" ht="18">
      <c r="B381" s="21">
        <v>379</v>
      </c>
      <c r="C381" s="40">
        <v>10206</v>
      </c>
      <c r="D381" s="42" t="s">
        <v>392</v>
      </c>
      <c r="E381" s="27" t="s">
        <v>1902</v>
      </c>
      <c r="F381" s="27" t="s">
        <v>1857</v>
      </c>
      <c r="G381" s="27">
        <v>1603</v>
      </c>
      <c r="H381" s="25" t="s">
        <v>1901</v>
      </c>
    </row>
    <row r="382" spans="2:8" ht="18">
      <c r="B382" s="21">
        <v>380</v>
      </c>
      <c r="C382" s="40">
        <v>10216</v>
      </c>
      <c r="D382" s="42" t="s">
        <v>246</v>
      </c>
      <c r="E382" s="27" t="s">
        <v>1437</v>
      </c>
      <c r="F382" s="27" t="s">
        <v>1466</v>
      </c>
      <c r="G382" s="27">
        <v>1608</v>
      </c>
      <c r="H382" s="25" t="s">
        <v>1903</v>
      </c>
    </row>
    <row r="383" spans="2:8" ht="18">
      <c r="B383" s="21">
        <v>381</v>
      </c>
      <c r="C383" s="40">
        <v>10213</v>
      </c>
      <c r="D383" s="42" t="s">
        <v>336</v>
      </c>
      <c r="E383" s="27" t="s">
        <v>1480</v>
      </c>
      <c r="F383" s="27" t="s">
        <v>1904</v>
      </c>
      <c r="G383" s="27">
        <v>1605</v>
      </c>
      <c r="H383" s="25" t="s">
        <v>1903</v>
      </c>
    </row>
    <row r="384" spans="2:8" ht="18">
      <c r="B384" s="21">
        <v>382</v>
      </c>
      <c r="C384" s="40">
        <v>10227</v>
      </c>
      <c r="D384" s="42" t="s">
        <v>1905</v>
      </c>
      <c r="E384" s="27" t="s">
        <v>1776</v>
      </c>
      <c r="F384" s="27" t="s">
        <v>1554</v>
      </c>
      <c r="G384" s="27">
        <v>1613</v>
      </c>
      <c r="H384" s="25" t="s">
        <v>1906</v>
      </c>
    </row>
    <row r="385" spans="2:8" ht="18">
      <c r="B385" s="21">
        <v>383</v>
      </c>
      <c r="C385" s="40">
        <v>10236</v>
      </c>
      <c r="D385" s="42" t="s">
        <v>248</v>
      </c>
      <c r="E385" s="27" t="s">
        <v>1437</v>
      </c>
      <c r="F385" s="27" t="s">
        <v>1466</v>
      </c>
      <c r="G385" s="27">
        <v>1616</v>
      </c>
      <c r="H385" s="25" t="s">
        <v>1907</v>
      </c>
    </row>
    <row r="386" spans="2:8" ht="18">
      <c r="B386" s="21">
        <v>384</v>
      </c>
      <c r="C386" s="40">
        <v>10027</v>
      </c>
      <c r="D386" s="42" t="s">
        <v>92</v>
      </c>
      <c r="E386" s="27" t="s">
        <v>1435</v>
      </c>
      <c r="F386" s="27" t="s">
        <v>1501</v>
      </c>
      <c r="G386" s="27">
        <v>1504</v>
      </c>
      <c r="H386" s="25" t="s">
        <v>1908</v>
      </c>
    </row>
    <row r="387" spans="2:8" ht="18">
      <c r="B387" s="21">
        <v>385</v>
      </c>
      <c r="C387" s="40">
        <v>10188</v>
      </c>
      <c r="D387" s="42" t="s">
        <v>141</v>
      </c>
      <c r="E387" s="27" t="s">
        <v>1437</v>
      </c>
      <c r="F387" s="27" t="s">
        <v>1823</v>
      </c>
      <c r="G387" s="27">
        <v>1597</v>
      </c>
      <c r="H387" s="25" t="s">
        <v>1908</v>
      </c>
    </row>
    <row r="388" spans="2:8" ht="18">
      <c r="B388" s="21">
        <v>386</v>
      </c>
      <c r="C388" s="40">
        <v>10119</v>
      </c>
      <c r="D388" s="42" t="s">
        <v>107</v>
      </c>
      <c r="E388" s="27" t="s">
        <v>1437</v>
      </c>
      <c r="F388" s="27" t="s">
        <v>1501</v>
      </c>
      <c r="G388" s="27">
        <v>1573</v>
      </c>
      <c r="H388" s="25" t="s">
        <v>1909</v>
      </c>
    </row>
    <row r="389" spans="2:8" ht="18">
      <c r="B389" s="21">
        <v>387</v>
      </c>
      <c r="C389" s="40">
        <v>8868</v>
      </c>
      <c r="D389" s="42" t="s">
        <v>323</v>
      </c>
      <c r="E389" s="27" t="s">
        <v>1430</v>
      </c>
      <c r="F389" s="27" t="s">
        <v>1910</v>
      </c>
      <c r="G389" s="27">
        <v>1198</v>
      </c>
      <c r="H389" s="25" t="s">
        <v>1911</v>
      </c>
    </row>
    <row r="390" spans="2:8" ht="18">
      <c r="B390" s="21">
        <v>388</v>
      </c>
      <c r="C390" s="40">
        <v>10130</v>
      </c>
      <c r="D390" s="42" t="s">
        <v>384</v>
      </c>
      <c r="E390" s="27" t="s">
        <v>1512</v>
      </c>
      <c r="F390" s="27" t="s">
        <v>1431</v>
      </c>
      <c r="G390" s="27">
        <v>1577</v>
      </c>
      <c r="H390" s="25" t="s">
        <v>1912</v>
      </c>
    </row>
    <row r="391" spans="2:8" ht="18">
      <c r="B391" s="21">
        <v>389</v>
      </c>
      <c r="C391" s="40">
        <v>10100</v>
      </c>
      <c r="D391" s="42" t="s">
        <v>1913</v>
      </c>
      <c r="E391" s="27" t="s">
        <v>1633</v>
      </c>
      <c r="F391" s="27" t="s">
        <v>1914</v>
      </c>
      <c r="G391" s="27">
        <v>1569</v>
      </c>
      <c r="H391" s="25" t="s">
        <v>1915</v>
      </c>
    </row>
    <row r="392" spans="2:8" ht="18">
      <c r="B392" s="21">
        <v>390</v>
      </c>
      <c r="C392" s="40">
        <v>9842</v>
      </c>
      <c r="D392" s="42" t="s">
        <v>505</v>
      </c>
      <c r="E392" s="27" t="s">
        <v>1435</v>
      </c>
      <c r="F392" s="27" t="s">
        <v>1436</v>
      </c>
      <c r="G392" s="27">
        <v>1484</v>
      </c>
      <c r="H392" s="25" t="s">
        <v>1916</v>
      </c>
    </row>
    <row r="393" spans="2:8" ht="18">
      <c r="B393" s="21">
        <v>391</v>
      </c>
      <c r="C393" s="40">
        <v>10264</v>
      </c>
      <c r="D393" s="42" t="s">
        <v>1917</v>
      </c>
      <c r="E393" s="27" t="s">
        <v>1918</v>
      </c>
      <c r="F393" s="27" t="s">
        <v>1594</v>
      </c>
      <c r="G393" s="27">
        <v>1621</v>
      </c>
      <c r="H393" s="25" t="s">
        <v>1891</v>
      </c>
    </row>
    <row r="394" spans="2:8" ht="18">
      <c r="B394" s="21">
        <v>392</v>
      </c>
      <c r="C394" s="40">
        <v>8737</v>
      </c>
      <c r="D394" s="42" t="s">
        <v>370</v>
      </c>
      <c r="E394" s="27" t="s">
        <v>1430</v>
      </c>
      <c r="F394" s="59" t="s">
        <v>1904</v>
      </c>
      <c r="G394" s="27">
        <v>1190</v>
      </c>
      <c r="H394" s="25" t="s">
        <v>1900</v>
      </c>
    </row>
    <row r="395" spans="2:8" ht="18">
      <c r="B395" s="21">
        <v>393</v>
      </c>
      <c r="C395" s="40">
        <v>4952</v>
      </c>
      <c r="D395" s="42" t="s">
        <v>1919</v>
      </c>
      <c r="E395" s="27" t="s">
        <v>1920</v>
      </c>
      <c r="F395" s="27" t="s">
        <v>1921</v>
      </c>
      <c r="G395" s="27">
        <v>1429</v>
      </c>
      <c r="H395" s="25" t="s">
        <v>1922</v>
      </c>
    </row>
    <row r="396" spans="2:8" ht="18">
      <c r="B396" s="21">
        <v>394</v>
      </c>
      <c r="C396" s="40">
        <v>9231</v>
      </c>
      <c r="D396" s="42" t="s">
        <v>195</v>
      </c>
      <c r="E396" s="27" t="s">
        <v>1923</v>
      </c>
      <c r="F396" s="27" t="s">
        <v>1466</v>
      </c>
      <c r="G396" s="27">
        <v>1277</v>
      </c>
      <c r="H396" s="25" t="s">
        <v>1906</v>
      </c>
    </row>
    <row r="397" spans="2:8" ht="18">
      <c r="B397" s="21">
        <v>395</v>
      </c>
      <c r="C397" s="40">
        <v>8740</v>
      </c>
      <c r="D397" s="42" t="s">
        <v>1924</v>
      </c>
      <c r="E397" s="27" t="s">
        <v>1430</v>
      </c>
      <c r="F397" s="27" t="s">
        <v>1904</v>
      </c>
      <c r="G397" s="27">
        <v>1193</v>
      </c>
      <c r="H397" s="25" t="s">
        <v>1915</v>
      </c>
    </row>
    <row r="398" spans="2:8" ht="18">
      <c r="B398" s="21">
        <v>396</v>
      </c>
      <c r="C398" s="27">
        <v>9898</v>
      </c>
      <c r="D398" s="42" t="s">
        <v>343</v>
      </c>
      <c r="E398" s="27" t="s">
        <v>1428</v>
      </c>
      <c r="F398" s="27" t="s">
        <v>1429</v>
      </c>
      <c r="G398" s="27">
        <v>1491</v>
      </c>
      <c r="H398" s="25" t="s">
        <v>1925</v>
      </c>
    </row>
    <row r="399" spans="2:8" ht="18">
      <c r="B399" s="21">
        <v>397</v>
      </c>
      <c r="C399" s="27">
        <v>9298</v>
      </c>
      <c r="D399" s="42" t="s">
        <v>390</v>
      </c>
      <c r="E399" s="27" t="s">
        <v>1497</v>
      </c>
      <c r="F399" s="27" t="s">
        <v>1431</v>
      </c>
      <c r="G399" s="27">
        <v>1285</v>
      </c>
      <c r="H399" s="25" t="s">
        <v>1925</v>
      </c>
    </row>
    <row r="400" spans="2:8" ht="18">
      <c r="B400" s="21">
        <v>398</v>
      </c>
      <c r="C400" s="57">
        <v>9835</v>
      </c>
      <c r="D400" s="58" t="s">
        <v>499</v>
      </c>
      <c r="E400" s="57" t="s">
        <v>1435</v>
      </c>
      <c r="F400" s="57" t="s">
        <v>1436</v>
      </c>
      <c r="G400" s="57">
        <v>1476</v>
      </c>
      <c r="H400" s="25" t="s">
        <v>1925</v>
      </c>
    </row>
    <row r="401" spans="2:8" ht="18">
      <c r="B401" s="21">
        <v>399</v>
      </c>
      <c r="C401" s="27">
        <v>7574</v>
      </c>
      <c r="D401" s="42" t="s">
        <v>1926</v>
      </c>
      <c r="E401" s="27" t="s">
        <v>1430</v>
      </c>
      <c r="F401" s="27" t="s">
        <v>1624</v>
      </c>
      <c r="G401" s="27">
        <v>1214</v>
      </c>
      <c r="H401" s="25" t="s">
        <v>1927</v>
      </c>
    </row>
    <row r="402" spans="2:8" ht="18">
      <c r="B402" s="21">
        <v>400</v>
      </c>
      <c r="C402" s="53">
        <v>10395</v>
      </c>
      <c r="D402" s="42" t="s">
        <v>10</v>
      </c>
      <c r="E402" s="27" t="s">
        <v>1437</v>
      </c>
      <c r="F402" s="53" t="s">
        <v>1438</v>
      </c>
      <c r="G402" s="53">
        <v>1642</v>
      </c>
      <c r="H402" s="25" t="s">
        <v>1928</v>
      </c>
    </row>
    <row r="403" spans="2:8" ht="18">
      <c r="B403" s="21">
        <v>401</v>
      </c>
      <c r="C403" s="27">
        <v>9816</v>
      </c>
      <c r="D403" s="42" t="s">
        <v>475</v>
      </c>
      <c r="E403" s="27" t="s">
        <v>1435</v>
      </c>
      <c r="F403" s="27" t="s">
        <v>1436</v>
      </c>
      <c r="G403" s="27">
        <v>1459</v>
      </c>
      <c r="H403" s="25" t="s">
        <v>1929</v>
      </c>
    </row>
    <row r="404" spans="2:8" ht="18">
      <c r="B404" s="21">
        <v>402</v>
      </c>
      <c r="C404" s="27">
        <v>9952</v>
      </c>
      <c r="D404" s="42" t="s">
        <v>517</v>
      </c>
      <c r="E404" s="27" t="s">
        <v>1435</v>
      </c>
      <c r="F404" s="27" t="s">
        <v>1436</v>
      </c>
      <c r="G404" s="27">
        <v>1518</v>
      </c>
      <c r="H404" s="25" t="s">
        <v>1930</v>
      </c>
    </row>
    <row r="405" spans="2:8" ht="18">
      <c r="B405" s="21">
        <v>403</v>
      </c>
      <c r="C405" s="27">
        <v>9839</v>
      </c>
      <c r="D405" s="42" t="s">
        <v>503</v>
      </c>
      <c r="E405" s="27" t="s">
        <v>1435</v>
      </c>
      <c r="F405" s="27" t="s">
        <v>1436</v>
      </c>
      <c r="G405" s="27">
        <v>1479</v>
      </c>
      <c r="H405" s="25" t="s">
        <v>1930</v>
      </c>
    </row>
    <row r="406" spans="2:8" ht="18">
      <c r="B406" s="21">
        <v>404</v>
      </c>
      <c r="C406" s="27">
        <v>9769</v>
      </c>
      <c r="D406" s="42" t="s">
        <v>881</v>
      </c>
      <c r="E406" s="27" t="s">
        <v>1465</v>
      </c>
      <c r="F406" s="27" t="s">
        <v>1466</v>
      </c>
      <c r="G406" s="27">
        <v>1453</v>
      </c>
      <c r="H406" s="25" t="s">
        <v>1931</v>
      </c>
    </row>
    <row r="407" spans="2:8" ht="18">
      <c r="B407" s="21">
        <v>405</v>
      </c>
      <c r="C407" s="27">
        <v>9602</v>
      </c>
      <c r="D407" s="42" t="s">
        <v>954</v>
      </c>
      <c r="E407" s="27" t="s">
        <v>1444</v>
      </c>
      <c r="F407" s="27" t="s">
        <v>1445</v>
      </c>
      <c r="G407" s="27">
        <v>1403</v>
      </c>
      <c r="H407" s="25" t="s">
        <v>1931</v>
      </c>
    </row>
    <row r="408" spans="2:8" ht="18">
      <c r="B408" s="21">
        <v>406</v>
      </c>
      <c r="C408" s="27">
        <v>7589</v>
      </c>
      <c r="D408" s="42" t="s">
        <v>942</v>
      </c>
      <c r="E408" s="27" t="s">
        <v>1446</v>
      </c>
      <c r="F408" s="27" t="s">
        <v>1447</v>
      </c>
      <c r="G408" s="27">
        <v>1020</v>
      </c>
      <c r="H408" s="25" t="s">
        <v>1932</v>
      </c>
    </row>
    <row r="409" spans="2:8" ht="18">
      <c r="B409" s="21">
        <v>407</v>
      </c>
      <c r="C409" s="27">
        <v>9311</v>
      </c>
      <c r="D409" s="42" t="s">
        <v>14</v>
      </c>
      <c r="E409" s="27" t="s">
        <v>1449</v>
      </c>
      <c r="F409" s="27" t="s">
        <v>1438</v>
      </c>
      <c r="G409" s="27">
        <v>1250</v>
      </c>
      <c r="H409" s="25" t="s">
        <v>1932</v>
      </c>
    </row>
    <row r="410" spans="2:8" ht="18">
      <c r="B410" s="21">
        <v>408</v>
      </c>
      <c r="C410" s="27">
        <v>9557</v>
      </c>
      <c r="D410" s="42" t="s">
        <v>844</v>
      </c>
      <c r="E410" s="27" t="s">
        <v>1757</v>
      </c>
      <c r="F410" s="27" t="s">
        <v>1451</v>
      </c>
      <c r="G410" s="27">
        <v>1574</v>
      </c>
      <c r="H410" s="25" t="s">
        <v>1933</v>
      </c>
    </row>
    <row r="411" spans="2:8" ht="18">
      <c r="B411" s="21">
        <v>409</v>
      </c>
      <c r="C411" s="27">
        <v>9965</v>
      </c>
      <c r="D411" s="42" t="s">
        <v>531</v>
      </c>
      <c r="E411" s="27" t="s">
        <v>1435</v>
      </c>
      <c r="F411" s="27" t="s">
        <v>1436</v>
      </c>
      <c r="G411" s="27">
        <v>1524</v>
      </c>
      <c r="H411" s="25" t="s">
        <v>1933</v>
      </c>
    </row>
    <row r="412" spans="2:8" ht="18">
      <c r="B412" s="21">
        <v>410</v>
      </c>
      <c r="C412" s="27">
        <v>9966</v>
      </c>
      <c r="D412" s="42" t="s">
        <v>533</v>
      </c>
      <c r="E412" s="27" t="s">
        <v>1435</v>
      </c>
      <c r="F412" s="27" t="s">
        <v>1436</v>
      </c>
      <c r="G412" s="27">
        <v>1532</v>
      </c>
      <c r="H412" s="25" t="s">
        <v>1934</v>
      </c>
    </row>
    <row r="413" spans="2:8" ht="18">
      <c r="B413" s="21">
        <v>411</v>
      </c>
      <c r="C413" s="27">
        <v>8543</v>
      </c>
      <c r="D413" s="42" t="s">
        <v>135</v>
      </c>
      <c r="E413" s="27" t="s">
        <v>1480</v>
      </c>
      <c r="F413" s="27" t="s">
        <v>1568</v>
      </c>
      <c r="G413" s="27">
        <v>1142</v>
      </c>
      <c r="H413" s="25" t="s">
        <v>1934</v>
      </c>
    </row>
    <row r="414" spans="2:8" ht="18">
      <c r="B414" s="21">
        <v>412</v>
      </c>
      <c r="C414" s="27">
        <v>9859</v>
      </c>
      <c r="D414" s="42" t="s">
        <v>732</v>
      </c>
      <c r="E414" s="27" t="s">
        <v>1484</v>
      </c>
      <c r="F414" s="27" t="s">
        <v>1454</v>
      </c>
      <c r="G414" s="27">
        <v>1494</v>
      </c>
      <c r="H414" s="25" t="s">
        <v>1935</v>
      </c>
    </row>
    <row r="415" spans="2:8" ht="18">
      <c r="B415" s="21">
        <v>413</v>
      </c>
      <c r="C415" s="27">
        <v>6677</v>
      </c>
      <c r="D415" s="42" t="s">
        <v>683</v>
      </c>
      <c r="E415" s="27" t="s">
        <v>1430</v>
      </c>
      <c r="F415" s="27" t="s">
        <v>1457</v>
      </c>
      <c r="G415" s="27">
        <v>870</v>
      </c>
      <c r="H415" s="25" t="s">
        <v>1936</v>
      </c>
    </row>
    <row r="416" spans="2:8" ht="18">
      <c r="B416" s="21">
        <v>414</v>
      </c>
      <c r="C416" s="27">
        <v>9825</v>
      </c>
      <c r="D416" s="42" t="s">
        <v>487</v>
      </c>
      <c r="E416" s="27" t="s">
        <v>1435</v>
      </c>
      <c r="F416" s="27" t="s">
        <v>1436</v>
      </c>
      <c r="G416" s="27">
        <v>1467</v>
      </c>
      <c r="H416" s="25" t="s">
        <v>1936</v>
      </c>
    </row>
    <row r="417" spans="2:8" ht="18">
      <c r="B417" s="21">
        <v>415</v>
      </c>
      <c r="C417" s="27">
        <v>10117</v>
      </c>
      <c r="D417" s="42" t="s">
        <v>128</v>
      </c>
      <c r="E417" s="27" t="s">
        <v>1437</v>
      </c>
      <c r="F417" s="27" t="s">
        <v>1460</v>
      </c>
      <c r="G417" s="27">
        <v>1568</v>
      </c>
      <c r="H417" s="25" t="s">
        <v>1929</v>
      </c>
    </row>
    <row r="418" spans="2:8" ht="18">
      <c r="B418" s="21">
        <v>416</v>
      </c>
      <c r="C418" s="27">
        <v>10361</v>
      </c>
      <c r="D418" s="42" t="s">
        <v>1044</v>
      </c>
      <c r="E418" s="27" t="s">
        <v>1470</v>
      </c>
      <c r="F418" s="27" t="s">
        <v>1436</v>
      </c>
      <c r="G418" s="27">
        <v>1630</v>
      </c>
      <c r="H418" s="25" t="s">
        <v>1937</v>
      </c>
    </row>
    <row r="419" spans="2:8" ht="18">
      <c r="B419" s="21">
        <v>417</v>
      </c>
      <c r="C419" s="27">
        <v>7974</v>
      </c>
      <c r="D419" s="42" t="s">
        <v>360</v>
      </c>
      <c r="E419" s="27" t="s">
        <v>1430</v>
      </c>
      <c r="F419" s="27" t="s">
        <v>1447</v>
      </c>
      <c r="G419" s="27">
        <v>1068</v>
      </c>
      <c r="H419" s="25" t="s">
        <v>1938</v>
      </c>
    </row>
    <row r="420" spans="2:8" ht="18">
      <c r="B420" s="21">
        <v>418</v>
      </c>
      <c r="C420" s="27">
        <v>6458</v>
      </c>
      <c r="D420" s="42" t="s">
        <v>739</v>
      </c>
      <c r="E420" s="27" t="s">
        <v>1939</v>
      </c>
      <c r="F420" s="27" t="s">
        <v>1454</v>
      </c>
      <c r="G420" s="27">
        <v>742</v>
      </c>
      <c r="H420" s="25" t="s">
        <v>1940</v>
      </c>
    </row>
    <row r="421" spans="2:8" ht="18">
      <c r="B421" s="21">
        <v>419</v>
      </c>
      <c r="C421" s="57">
        <v>9495</v>
      </c>
      <c r="D421" s="58" t="s">
        <v>1104</v>
      </c>
      <c r="E421" s="57" t="s">
        <v>1668</v>
      </c>
      <c r="F421" s="57" t="s">
        <v>1615</v>
      </c>
      <c r="G421" s="57">
        <v>1345</v>
      </c>
      <c r="H421" s="25" t="s">
        <v>1940</v>
      </c>
    </row>
    <row r="422" spans="2:8" ht="18">
      <c r="B422" s="21">
        <v>420</v>
      </c>
      <c r="C422" s="27">
        <v>9542</v>
      </c>
      <c r="D422" s="42" t="s">
        <v>888</v>
      </c>
      <c r="E422" s="27" t="s">
        <v>1465</v>
      </c>
      <c r="F422" s="27" t="s">
        <v>1624</v>
      </c>
      <c r="G422" s="27">
        <v>1390</v>
      </c>
      <c r="H422" s="25" t="s">
        <v>1941</v>
      </c>
    </row>
    <row r="423" spans="2:8" ht="18">
      <c r="B423" s="21">
        <v>421</v>
      </c>
      <c r="C423" s="27">
        <v>2199</v>
      </c>
      <c r="D423" s="42" t="s">
        <v>1942</v>
      </c>
      <c r="E423" s="27" t="s">
        <v>1943</v>
      </c>
      <c r="F423" s="27" t="s">
        <v>1457</v>
      </c>
      <c r="G423" s="27">
        <v>1394</v>
      </c>
      <c r="H423" s="25" t="s">
        <v>1941</v>
      </c>
    </row>
    <row r="424" spans="2:8" ht="18">
      <c r="B424" s="21">
        <v>422</v>
      </c>
      <c r="C424" s="27">
        <v>9371</v>
      </c>
      <c r="D424" s="42" t="s">
        <v>291</v>
      </c>
      <c r="E424" s="27" t="s">
        <v>1497</v>
      </c>
      <c r="F424" s="27" t="s">
        <v>1471</v>
      </c>
      <c r="G424" s="27">
        <v>1328</v>
      </c>
      <c r="H424" s="25" t="s">
        <v>1944</v>
      </c>
    </row>
    <row r="425" spans="2:8" ht="18">
      <c r="B425" s="21">
        <v>423</v>
      </c>
      <c r="C425" s="27">
        <v>8243</v>
      </c>
      <c r="D425" s="42" t="s">
        <v>1073</v>
      </c>
      <c r="E425" s="27" t="s">
        <v>1473</v>
      </c>
      <c r="F425" s="27" t="s">
        <v>1474</v>
      </c>
      <c r="G425" s="27">
        <v>1122</v>
      </c>
      <c r="H425" s="25" t="s">
        <v>1944</v>
      </c>
    </row>
    <row r="426" spans="2:8" ht="18">
      <c r="B426" s="21">
        <v>424</v>
      </c>
      <c r="C426" s="27">
        <v>6865</v>
      </c>
      <c r="D426" s="42" t="s">
        <v>415</v>
      </c>
      <c r="E426" s="27" t="s">
        <v>1430</v>
      </c>
      <c r="F426" s="27" t="s">
        <v>1477</v>
      </c>
      <c r="G426" s="27">
        <v>910</v>
      </c>
      <c r="H426" s="25" t="s">
        <v>1945</v>
      </c>
    </row>
    <row r="427" spans="2:8" ht="18">
      <c r="B427" s="21">
        <v>425</v>
      </c>
      <c r="C427" s="27">
        <v>10355</v>
      </c>
      <c r="D427" s="42" t="s">
        <v>1016</v>
      </c>
      <c r="E427" s="27" t="s">
        <v>1479</v>
      </c>
      <c r="F427" s="27" t="s">
        <v>1436</v>
      </c>
      <c r="G427" s="27">
        <v>1626</v>
      </c>
      <c r="H427" s="25" t="s">
        <v>1946</v>
      </c>
    </row>
    <row r="428" spans="2:8" ht="18">
      <c r="B428" s="21">
        <v>426</v>
      </c>
      <c r="C428" s="27">
        <v>9906</v>
      </c>
      <c r="D428" s="42" t="s">
        <v>32</v>
      </c>
      <c r="E428" s="27" t="s">
        <v>1428</v>
      </c>
      <c r="F428" s="27" t="s">
        <v>1454</v>
      </c>
      <c r="G428" s="27">
        <v>1499</v>
      </c>
      <c r="H428" s="25" t="s">
        <v>1947</v>
      </c>
    </row>
    <row r="429" spans="2:8" ht="18">
      <c r="B429" s="21">
        <v>427</v>
      </c>
      <c r="C429" s="27">
        <v>7465</v>
      </c>
      <c r="D429" s="42" t="s">
        <v>764</v>
      </c>
      <c r="E429" s="27" t="s">
        <v>1482</v>
      </c>
      <c r="F429" s="27" t="s">
        <v>1454</v>
      </c>
      <c r="G429" s="27">
        <v>1017</v>
      </c>
      <c r="H429" s="25" t="s">
        <v>1947</v>
      </c>
    </row>
    <row r="430" spans="2:8" ht="18">
      <c r="B430" s="21">
        <v>428</v>
      </c>
      <c r="C430" s="27">
        <v>9882</v>
      </c>
      <c r="D430" s="42" t="s">
        <v>1483</v>
      </c>
      <c r="E430" s="27" t="s">
        <v>1484</v>
      </c>
      <c r="F430" s="27" t="s">
        <v>1454</v>
      </c>
      <c r="G430" s="27">
        <v>1506</v>
      </c>
      <c r="H430" s="25" t="s">
        <v>1948</v>
      </c>
    </row>
    <row r="431" spans="2:8" ht="18">
      <c r="B431" s="21">
        <v>429</v>
      </c>
      <c r="C431" s="27">
        <v>5736</v>
      </c>
      <c r="D431" s="42" t="s">
        <v>937</v>
      </c>
      <c r="E431" s="27" t="s">
        <v>1468</v>
      </c>
      <c r="F431" s="27" t="s">
        <v>1447</v>
      </c>
      <c r="G431" s="27">
        <v>1137</v>
      </c>
      <c r="H431" s="25" t="s">
        <v>1948</v>
      </c>
    </row>
    <row r="432" spans="2:8" ht="18">
      <c r="B432" s="21">
        <v>430</v>
      </c>
      <c r="C432" s="27">
        <v>10501</v>
      </c>
      <c r="D432" s="42" t="s">
        <v>716</v>
      </c>
      <c r="E432" s="27" t="s">
        <v>1949</v>
      </c>
      <c r="F432" s="27" t="s">
        <v>1486</v>
      </c>
      <c r="G432" s="27">
        <v>1667</v>
      </c>
      <c r="H432" s="25" t="s">
        <v>1950</v>
      </c>
    </row>
    <row r="433" spans="2:8" ht="18">
      <c r="B433" s="21">
        <v>431</v>
      </c>
      <c r="C433" s="27">
        <v>9905</v>
      </c>
      <c r="D433" s="42" t="s">
        <v>1488</v>
      </c>
      <c r="E433" s="27" t="s">
        <v>1428</v>
      </c>
      <c r="F433" s="27" t="s">
        <v>1454</v>
      </c>
      <c r="G433" s="27">
        <v>1498</v>
      </c>
      <c r="H433" s="25" t="s">
        <v>1950</v>
      </c>
    </row>
    <row r="434" spans="2:8" ht="18">
      <c r="B434" s="21">
        <v>432</v>
      </c>
      <c r="C434" s="27">
        <v>4547</v>
      </c>
      <c r="D434" s="42" t="s">
        <v>1951</v>
      </c>
      <c r="E434" s="27" t="s">
        <v>1476</v>
      </c>
      <c r="F434" s="27" t="s">
        <v>1413</v>
      </c>
      <c r="G434" s="27">
        <v>509</v>
      </c>
      <c r="H434" s="25" t="s">
        <v>1952</v>
      </c>
    </row>
    <row r="435" spans="2:8" ht="18">
      <c r="B435" s="21">
        <v>433</v>
      </c>
      <c r="C435" s="27">
        <v>7259</v>
      </c>
      <c r="D435" s="42" t="s">
        <v>678</v>
      </c>
      <c r="E435" s="27" t="s">
        <v>1430</v>
      </c>
      <c r="F435" s="27" t="s">
        <v>1457</v>
      </c>
      <c r="G435" s="27">
        <v>980</v>
      </c>
      <c r="H435" s="25" t="s">
        <v>1953</v>
      </c>
    </row>
    <row r="436" spans="2:8" ht="18">
      <c r="B436" s="21">
        <v>434</v>
      </c>
      <c r="C436" s="27">
        <v>9259</v>
      </c>
      <c r="D436" s="60" t="s">
        <v>547</v>
      </c>
      <c r="E436" s="27" t="s">
        <v>1722</v>
      </c>
      <c r="F436" s="27" t="s">
        <v>1436</v>
      </c>
      <c r="G436" s="27">
        <v>1297</v>
      </c>
      <c r="H436" s="25" t="s">
        <v>1954</v>
      </c>
    </row>
    <row r="437" spans="2:8" ht="18">
      <c r="B437" s="21">
        <v>435</v>
      </c>
      <c r="C437" s="27">
        <v>9948</v>
      </c>
      <c r="D437" s="42" t="s">
        <v>513</v>
      </c>
      <c r="E437" s="27" t="s">
        <v>1435</v>
      </c>
      <c r="F437" s="27" t="s">
        <v>1436</v>
      </c>
      <c r="G437" s="27">
        <v>1519</v>
      </c>
      <c r="H437" s="25" t="s">
        <v>1955</v>
      </c>
    </row>
    <row r="438" spans="2:8" ht="18">
      <c r="B438" s="21">
        <v>436</v>
      </c>
      <c r="C438" s="27">
        <v>8150</v>
      </c>
      <c r="D438" s="42" t="s">
        <v>632</v>
      </c>
      <c r="E438" s="27" t="s">
        <v>1430</v>
      </c>
      <c r="F438" s="27" t="s">
        <v>1436</v>
      </c>
      <c r="G438" s="27">
        <v>1093</v>
      </c>
      <c r="H438" s="25" t="s">
        <v>1956</v>
      </c>
    </row>
    <row r="439" spans="2:8" ht="18">
      <c r="B439" s="21">
        <v>437</v>
      </c>
      <c r="C439" s="27">
        <v>3338</v>
      </c>
      <c r="D439" s="42" t="s">
        <v>1957</v>
      </c>
      <c r="E439" s="27" t="s">
        <v>1840</v>
      </c>
      <c r="F439" s="27" t="s">
        <v>1771</v>
      </c>
      <c r="G439" s="27">
        <v>385</v>
      </c>
      <c r="H439" s="25" t="s">
        <v>1958</v>
      </c>
    </row>
    <row r="440" spans="2:8" ht="18">
      <c r="B440" s="21">
        <v>438</v>
      </c>
      <c r="C440" s="27">
        <v>9302</v>
      </c>
      <c r="D440" s="42" t="s">
        <v>407</v>
      </c>
      <c r="E440" s="27" t="s">
        <v>1497</v>
      </c>
      <c r="F440" s="27" t="s">
        <v>1498</v>
      </c>
      <c r="G440" s="27">
        <v>1295</v>
      </c>
      <c r="H440" s="25" t="s">
        <v>1959</v>
      </c>
    </row>
    <row r="441" spans="2:8" ht="18">
      <c r="B441" s="21">
        <v>439</v>
      </c>
      <c r="C441" s="57">
        <v>9909</v>
      </c>
      <c r="D441" s="58" t="s">
        <v>98</v>
      </c>
      <c r="E441" s="57" t="s">
        <v>1500</v>
      </c>
      <c r="F441" s="57" t="s">
        <v>1501</v>
      </c>
      <c r="G441" s="57">
        <v>1502</v>
      </c>
      <c r="H441" s="25" t="s">
        <v>1959</v>
      </c>
    </row>
    <row r="442" spans="2:8" ht="18">
      <c r="B442" s="21">
        <v>440</v>
      </c>
      <c r="C442" s="57">
        <v>8736</v>
      </c>
      <c r="D442" s="58" t="s">
        <v>368</v>
      </c>
      <c r="E442" s="57" t="s">
        <v>1430</v>
      </c>
      <c r="F442" s="57" t="s">
        <v>1447</v>
      </c>
      <c r="G442" s="57">
        <v>1189</v>
      </c>
      <c r="H442" s="25" t="s">
        <v>1960</v>
      </c>
    </row>
    <row r="443" spans="2:8" ht="18">
      <c r="B443" s="21">
        <v>441</v>
      </c>
      <c r="C443" s="27">
        <v>9238</v>
      </c>
      <c r="D443" s="42" t="s">
        <v>199</v>
      </c>
      <c r="E443" s="27" t="s">
        <v>1497</v>
      </c>
      <c r="F443" s="27" t="s">
        <v>1466</v>
      </c>
      <c r="G443" s="27">
        <v>1279</v>
      </c>
      <c r="H443" s="25" t="s">
        <v>1960</v>
      </c>
    </row>
    <row r="444" spans="2:8" ht="18">
      <c r="B444" s="21">
        <v>442</v>
      </c>
      <c r="C444" s="27">
        <v>9268</v>
      </c>
      <c r="D444" s="42" t="s">
        <v>38</v>
      </c>
      <c r="E444" s="27" t="s">
        <v>1497</v>
      </c>
      <c r="F444" s="27" t="s">
        <v>1454</v>
      </c>
      <c r="G444" s="27">
        <v>1261</v>
      </c>
      <c r="H444" s="25" t="s">
        <v>1961</v>
      </c>
    </row>
    <row r="445" spans="2:8" ht="18">
      <c r="B445" s="21">
        <v>443</v>
      </c>
      <c r="C445" s="27">
        <v>8214</v>
      </c>
      <c r="D445" s="42" t="s">
        <v>138</v>
      </c>
      <c r="E445" s="27" t="s">
        <v>1430</v>
      </c>
      <c r="F445" s="27" t="s">
        <v>1429</v>
      </c>
      <c r="G445" s="27">
        <v>1107</v>
      </c>
      <c r="H445" s="25" t="s">
        <v>1961</v>
      </c>
    </row>
    <row r="446" spans="2:8" ht="18">
      <c r="B446" s="21">
        <v>444</v>
      </c>
      <c r="C446" s="27">
        <v>9373</v>
      </c>
      <c r="D446" s="42" t="s">
        <v>59</v>
      </c>
      <c r="E446" s="27" t="s">
        <v>1497</v>
      </c>
      <c r="F446" s="27" t="s">
        <v>1454</v>
      </c>
      <c r="G446" s="27">
        <v>1316</v>
      </c>
      <c r="H446" s="25" t="s">
        <v>1962</v>
      </c>
    </row>
    <row r="447" spans="2:8" ht="18">
      <c r="B447" s="21">
        <v>445</v>
      </c>
      <c r="C447" s="27">
        <v>10129</v>
      </c>
      <c r="D447" s="42" t="s">
        <v>122</v>
      </c>
      <c r="E447" s="27" t="s">
        <v>1512</v>
      </c>
      <c r="F447" s="27" t="s">
        <v>1433</v>
      </c>
      <c r="G447" s="27">
        <v>1576</v>
      </c>
      <c r="H447" s="25" t="s">
        <v>1963</v>
      </c>
    </row>
    <row r="448" spans="2:8" ht="18">
      <c r="B448" s="21">
        <v>446</v>
      </c>
      <c r="C448" s="27">
        <v>9303</v>
      </c>
      <c r="D448" s="42" t="s">
        <v>352</v>
      </c>
      <c r="E448" s="27" t="s">
        <v>1497</v>
      </c>
      <c r="F448" s="27" t="s">
        <v>1447</v>
      </c>
      <c r="G448" s="27">
        <v>1300</v>
      </c>
      <c r="H448" s="25" t="s">
        <v>1964</v>
      </c>
    </row>
    <row r="449" spans="2:8" ht="18">
      <c r="B449" s="21">
        <v>447</v>
      </c>
      <c r="C449" s="27">
        <v>8809</v>
      </c>
      <c r="D449" s="42" t="s">
        <v>896</v>
      </c>
      <c r="E449" s="27" t="s">
        <v>1626</v>
      </c>
      <c r="F449" s="27" t="s">
        <v>1426</v>
      </c>
      <c r="G449" s="27">
        <v>1207</v>
      </c>
      <c r="H449" s="25" t="s">
        <v>1964</v>
      </c>
    </row>
    <row r="450" spans="2:8" ht="18">
      <c r="B450" s="21">
        <v>448</v>
      </c>
      <c r="C450" s="27">
        <v>9282</v>
      </c>
      <c r="D450" s="42" t="s">
        <v>55</v>
      </c>
      <c r="E450" s="27" t="s">
        <v>1497</v>
      </c>
      <c r="F450" s="27" t="s">
        <v>1454</v>
      </c>
      <c r="G450" s="27">
        <v>1267</v>
      </c>
      <c r="H450" s="25" t="s">
        <v>1965</v>
      </c>
    </row>
    <row r="451" spans="2:8" ht="18">
      <c r="B451" s="21">
        <v>449</v>
      </c>
      <c r="C451" s="27">
        <v>9520</v>
      </c>
      <c r="D451" s="42" t="s">
        <v>921</v>
      </c>
      <c r="E451" s="27" t="s">
        <v>1468</v>
      </c>
      <c r="F451" s="27" t="s">
        <v>1466</v>
      </c>
      <c r="G451" s="27">
        <v>1376</v>
      </c>
      <c r="H451" s="25" t="s">
        <v>1966</v>
      </c>
    </row>
    <row r="452" spans="2:8" ht="18">
      <c r="B452" s="21">
        <v>450</v>
      </c>
      <c r="C452" s="27">
        <v>9215</v>
      </c>
      <c r="D452" s="42" t="s">
        <v>183</v>
      </c>
      <c r="E452" s="27" t="s">
        <v>1497</v>
      </c>
      <c r="F452" s="27" t="s">
        <v>1466</v>
      </c>
      <c r="G452" s="27">
        <v>1304</v>
      </c>
      <c r="H452" s="25" t="s">
        <v>1966</v>
      </c>
    </row>
    <row r="453" spans="2:8" ht="18">
      <c r="B453" s="21">
        <v>451</v>
      </c>
      <c r="C453" s="27">
        <v>10037</v>
      </c>
      <c r="D453" s="42" t="s">
        <v>376</v>
      </c>
      <c r="E453" s="27" t="s">
        <v>1437</v>
      </c>
      <c r="F453" s="27" t="s">
        <v>1447</v>
      </c>
      <c r="G453" s="27">
        <v>1554</v>
      </c>
      <c r="H453" s="25" t="s">
        <v>1967</v>
      </c>
    </row>
    <row r="454" spans="2:8" ht="18">
      <c r="B454" s="21">
        <v>452</v>
      </c>
      <c r="C454" s="27">
        <v>9812</v>
      </c>
      <c r="D454" s="42" t="s">
        <v>469</v>
      </c>
      <c r="E454" s="27" t="s">
        <v>1435</v>
      </c>
      <c r="F454" s="27" t="s">
        <v>1436</v>
      </c>
      <c r="G454" s="27">
        <v>1455</v>
      </c>
      <c r="H454" s="25" t="s">
        <v>1968</v>
      </c>
    </row>
    <row r="455" spans="2:8" ht="18">
      <c r="B455" s="21">
        <v>453</v>
      </c>
      <c r="C455" s="27">
        <v>9242</v>
      </c>
      <c r="D455" s="42" t="s">
        <v>201</v>
      </c>
      <c r="E455" s="27" t="s">
        <v>1497</v>
      </c>
      <c r="F455" s="27" t="s">
        <v>1969</v>
      </c>
      <c r="G455" s="27">
        <v>1305</v>
      </c>
      <c r="H455" s="25" t="s">
        <v>1970</v>
      </c>
    </row>
    <row r="456" spans="2:8" ht="18">
      <c r="B456" s="21">
        <v>454</v>
      </c>
      <c r="C456" s="27">
        <v>9802</v>
      </c>
      <c r="D456" s="42" t="s">
        <v>314</v>
      </c>
      <c r="E456" s="27" t="s">
        <v>1512</v>
      </c>
      <c r="F456" s="27" t="s">
        <v>1513</v>
      </c>
      <c r="G456" s="27">
        <v>1448</v>
      </c>
      <c r="H456" s="25" t="s">
        <v>1970</v>
      </c>
    </row>
    <row r="457" spans="2:8" ht="18">
      <c r="B457" s="21">
        <v>455</v>
      </c>
      <c r="C457" s="27">
        <v>9743</v>
      </c>
      <c r="D457" s="42" t="s">
        <v>1515</v>
      </c>
      <c r="E457" s="27" t="s">
        <v>1516</v>
      </c>
      <c r="F457" s="27" t="s">
        <v>1517</v>
      </c>
      <c r="G457" s="27">
        <v>1449</v>
      </c>
      <c r="H457" s="25" t="s">
        <v>1971</v>
      </c>
    </row>
    <row r="458" spans="2:8" ht="18">
      <c r="B458" s="21">
        <v>456</v>
      </c>
      <c r="C458" s="27">
        <v>9828</v>
      </c>
      <c r="D458" s="42" t="s">
        <v>613</v>
      </c>
      <c r="E458" s="27" t="s">
        <v>1435</v>
      </c>
      <c r="F458" s="27" t="s">
        <v>1436</v>
      </c>
      <c r="G458" s="27">
        <v>1469</v>
      </c>
      <c r="H458" s="25" t="s">
        <v>1971</v>
      </c>
    </row>
    <row r="459" spans="2:8" ht="18">
      <c r="B459" s="21">
        <v>457</v>
      </c>
      <c r="C459" s="27">
        <v>9274</v>
      </c>
      <c r="D459" s="42" t="s">
        <v>217</v>
      </c>
      <c r="E459" s="27" t="s">
        <v>1638</v>
      </c>
      <c r="F459" s="27" t="s">
        <v>1426</v>
      </c>
      <c r="G459" s="27">
        <v>1320</v>
      </c>
      <c r="H459" s="25" t="s">
        <v>1972</v>
      </c>
    </row>
    <row r="460" spans="2:8" ht="18">
      <c r="B460" s="21">
        <v>458</v>
      </c>
      <c r="C460" s="27">
        <v>6327</v>
      </c>
      <c r="D460" s="42" t="s">
        <v>350</v>
      </c>
      <c r="E460" s="27" t="s">
        <v>1430</v>
      </c>
      <c r="F460" s="27" t="s">
        <v>1533</v>
      </c>
      <c r="G460" s="27">
        <v>746</v>
      </c>
      <c r="H460" s="25" t="s">
        <v>1972</v>
      </c>
    </row>
    <row r="461" spans="2:8" ht="18">
      <c r="B461" s="21">
        <v>459</v>
      </c>
      <c r="C461" s="57">
        <v>9276</v>
      </c>
      <c r="D461" s="58" t="s">
        <v>49</v>
      </c>
      <c r="E461" s="57" t="s">
        <v>1497</v>
      </c>
      <c r="F461" s="57" t="s">
        <v>1454</v>
      </c>
      <c r="G461" s="57">
        <v>1264</v>
      </c>
      <c r="H461" s="25" t="s">
        <v>1973</v>
      </c>
    </row>
    <row r="462" spans="2:8" ht="18">
      <c r="B462" s="21">
        <v>460</v>
      </c>
      <c r="C462" s="27">
        <v>9275</v>
      </c>
      <c r="D462" s="42" t="s">
        <v>47</v>
      </c>
      <c r="E462" s="27" t="s">
        <v>1497</v>
      </c>
      <c r="F462" s="27" t="s">
        <v>1454</v>
      </c>
      <c r="G462" s="27">
        <v>1311</v>
      </c>
      <c r="H462" s="25" t="s">
        <v>1974</v>
      </c>
    </row>
    <row r="463" spans="2:8" ht="18">
      <c r="B463" s="21">
        <v>461</v>
      </c>
      <c r="C463" s="27">
        <v>9545</v>
      </c>
      <c r="D463" s="42" t="s">
        <v>944</v>
      </c>
      <c r="E463" s="27" t="s">
        <v>1975</v>
      </c>
      <c r="F463" s="27" t="s">
        <v>1451</v>
      </c>
      <c r="G463" s="27">
        <v>1386</v>
      </c>
      <c r="H463" s="25" t="s">
        <v>1974</v>
      </c>
    </row>
    <row r="464" spans="2:8" ht="18">
      <c r="B464" s="21">
        <v>462</v>
      </c>
      <c r="C464" s="27">
        <v>9305</v>
      </c>
      <c r="D464" s="42" t="s">
        <v>354</v>
      </c>
      <c r="E464" s="27" t="s">
        <v>1497</v>
      </c>
      <c r="F464" s="27" t="s">
        <v>1447</v>
      </c>
      <c r="G464" s="27">
        <v>1291</v>
      </c>
      <c r="H464" s="25" t="s">
        <v>1976</v>
      </c>
    </row>
    <row r="465" spans="2:8" ht="18">
      <c r="B465" s="21">
        <v>463</v>
      </c>
      <c r="C465" s="27">
        <v>9831</v>
      </c>
      <c r="D465" s="42" t="s">
        <v>491</v>
      </c>
      <c r="E465" s="27" t="s">
        <v>1435</v>
      </c>
      <c r="F465" s="27" t="s">
        <v>1436</v>
      </c>
      <c r="G465" s="27">
        <v>1472</v>
      </c>
      <c r="H465" s="25" t="s">
        <v>1976</v>
      </c>
    </row>
    <row r="466" spans="2:8" ht="18">
      <c r="B466" s="21">
        <v>464</v>
      </c>
      <c r="C466" s="53">
        <v>7385</v>
      </c>
      <c r="D466" s="42" t="s">
        <v>1977</v>
      </c>
      <c r="E466" s="27" t="s">
        <v>1707</v>
      </c>
      <c r="F466" s="27" t="s">
        <v>1568</v>
      </c>
      <c r="G466" s="53">
        <v>1244</v>
      </c>
      <c r="H466" s="25" t="s">
        <v>1978</v>
      </c>
    </row>
    <row r="467" spans="2:8" ht="18">
      <c r="B467" s="21">
        <v>465</v>
      </c>
      <c r="C467" s="27">
        <v>10486</v>
      </c>
      <c r="D467" s="42" t="s">
        <v>1979</v>
      </c>
      <c r="E467" s="27" t="s">
        <v>1980</v>
      </c>
      <c r="F467" s="27" t="s">
        <v>1820</v>
      </c>
      <c r="G467" s="27">
        <v>1666</v>
      </c>
      <c r="H467" s="25" t="s">
        <v>1978</v>
      </c>
    </row>
    <row r="468" spans="2:8" ht="18">
      <c r="B468" s="21">
        <v>466</v>
      </c>
      <c r="C468" s="27">
        <v>8637</v>
      </c>
      <c r="D468" s="42" t="s">
        <v>752</v>
      </c>
      <c r="E468" s="27" t="s">
        <v>1441</v>
      </c>
      <c r="F468" s="27" t="s">
        <v>1442</v>
      </c>
      <c r="G468" s="27">
        <v>1159</v>
      </c>
      <c r="H468" s="25" t="s">
        <v>1981</v>
      </c>
    </row>
    <row r="469" spans="2:8" ht="18">
      <c r="B469" s="21">
        <v>467</v>
      </c>
      <c r="C469" s="53">
        <v>9619</v>
      </c>
      <c r="D469" s="42" t="s">
        <v>1462</v>
      </c>
      <c r="E469" s="27" t="s">
        <v>1982</v>
      </c>
      <c r="F469" s="53" t="s">
        <v>1454</v>
      </c>
      <c r="G469" s="53">
        <v>1399</v>
      </c>
      <c r="H469" s="25" t="s">
        <v>1981</v>
      </c>
    </row>
    <row r="470" spans="2:8" ht="18">
      <c r="B470" s="21">
        <v>468</v>
      </c>
      <c r="C470" s="27">
        <v>10509</v>
      </c>
      <c r="D470" s="42" t="s">
        <v>962</v>
      </c>
      <c r="E470" s="27" t="s">
        <v>1522</v>
      </c>
      <c r="F470" s="27" t="s">
        <v>1436</v>
      </c>
      <c r="G470" s="27">
        <v>1665</v>
      </c>
      <c r="H470" s="25" t="s">
        <v>1983</v>
      </c>
    </row>
    <row r="471" spans="2:8" ht="18">
      <c r="B471" s="21">
        <v>469</v>
      </c>
      <c r="C471" s="27">
        <v>10584</v>
      </c>
      <c r="D471" s="42" t="s">
        <v>85</v>
      </c>
      <c r="E471" s="27" t="s">
        <v>1984</v>
      </c>
      <c r="F471" s="27" t="s">
        <v>1501</v>
      </c>
      <c r="G471" s="27">
        <v>1668</v>
      </c>
      <c r="H471" s="25" t="s">
        <v>1985</v>
      </c>
    </row>
    <row r="472" spans="2:8" ht="18">
      <c r="B472" s="21">
        <v>470</v>
      </c>
      <c r="C472" s="57">
        <v>9907</v>
      </c>
      <c r="D472" s="58" t="s">
        <v>150</v>
      </c>
      <c r="E472" s="57" t="s">
        <v>1986</v>
      </c>
      <c r="F472" s="57" t="s">
        <v>1451</v>
      </c>
      <c r="G472" s="57">
        <v>1500</v>
      </c>
      <c r="H472" s="25" t="s">
        <v>1985</v>
      </c>
    </row>
    <row r="473" spans="2:8" ht="18">
      <c r="B473" s="21">
        <v>471</v>
      </c>
      <c r="C473" s="27">
        <v>9290</v>
      </c>
      <c r="D473" s="42" t="s">
        <v>57</v>
      </c>
      <c r="E473" s="27" t="s">
        <v>1497</v>
      </c>
      <c r="F473" s="27" t="s">
        <v>1454</v>
      </c>
      <c r="G473" s="27">
        <v>1268</v>
      </c>
      <c r="H473" s="25" t="s">
        <v>1987</v>
      </c>
    </row>
    <row r="474" spans="2:8" ht="18">
      <c r="B474" s="21">
        <v>472</v>
      </c>
      <c r="C474" s="27">
        <v>6682</v>
      </c>
      <c r="D474" s="42" t="s">
        <v>698</v>
      </c>
      <c r="E474" s="27" t="s">
        <v>1988</v>
      </c>
      <c r="F474" s="27" t="s">
        <v>1542</v>
      </c>
      <c r="G474" s="27">
        <v>1557</v>
      </c>
      <c r="H474" s="25" t="s">
        <v>1987</v>
      </c>
    </row>
    <row r="475" spans="2:8" ht="18">
      <c r="B475" s="21">
        <v>473</v>
      </c>
      <c r="C475" s="57">
        <v>9954</v>
      </c>
      <c r="D475" s="58" t="s">
        <v>519</v>
      </c>
      <c r="E475" s="57" t="s">
        <v>1435</v>
      </c>
      <c r="F475" s="57" t="s">
        <v>1436</v>
      </c>
      <c r="G475" s="57">
        <v>1528</v>
      </c>
      <c r="H475" s="25" t="s">
        <v>1987</v>
      </c>
    </row>
    <row r="476" spans="2:8" ht="18">
      <c r="B476" s="21">
        <v>474</v>
      </c>
      <c r="C476" s="57">
        <v>9834</v>
      </c>
      <c r="D476" s="58" t="s">
        <v>497</v>
      </c>
      <c r="E476" s="57" t="s">
        <v>1435</v>
      </c>
      <c r="F476" s="57" t="s">
        <v>1436</v>
      </c>
      <c r="G476" s="57">
        <v>1475</v>
      </c>
      <c r="H476" s="25" t="s">
        <v>1987</v>
      </c>
    </row>
    <row r="477" spans="2:8" ht="18">
      <c r="B477" s="21">
        <v>475</v>
      </c>
      <c r="C477" s="57">
        <v>7064</v>
      </c>
      <c r="D477" s="58" t="s">
        <v>879</v>
      </c>
      <c r="E477" s="57" t="s">
        <v>1844</v>
      </c>
      <c r="F477" s="57" t="s">
        <v>1466</v>
      </c>
      <c r="G477" s="57">
        <v>1559</v>
      </c>
      <c r="H477" s="25" t="s">
        <v>1989</v>
      </c>
    </row>
    <row r="478" spans="2:8" ht="18">
      <c r="B478" s="21">
        <v>476</v>
      </c>
      <c r="C478" s="27">
        <v>9274</v>
      </c>
      <c r="D478" s="42" t="s">
        <v>45</v>
      </c>
      <c r="E478" s="27" t="s">
        <v>1497</v>
      </c>
      <c r="F478" s="27" t="s">
        <v>1454</v>
      </c>
      <c r="G478" s="27">
        <v>1262</v>
      </c>
      <c r="H478" s="25" t="s">
        <v>1990</v>
      </c>
    </row>
    <row r="479" spans="2:8" ht="18">
      <c r="B479" s="21">
        <v>477</v>
      </c>
      <c r="C479" s="27">
        <v>7248</v>
      </c>
      <c r="D479" s="42" t="s">
        <v>63</v>
      </c>
      <c r="E479" s="27" t="s">
        <v>1991</v>
      </c>
      <c r="F479" s="27" t="s">
        <v>1454</v>
      </c>
      <c r="G479" s="27">
        <v>973</v>
      </c>
      <c r="H479" s="25" t="s">
        <v>1990</v>
      </c>
    </row>
    <row r="480" spans="2:8" ht="18">
      <c r="B480" s="21">
        <v>478</v>
      </c>
      <c r="C480" s="27">
        <v>5781</v>
      </c>
      <c r="D480" s="42" t="s">
        <v>420</v>
      </c>
      <c r="E480" s="27" t="s">
        <v>1992</v>
      </c>
      <c r="F480" s="27" t="s">
        <v>1477</v>
      </c>
      <c r="G480" s="27">
        <v>707</v>
      </c>
      <c r="H480" s="25" t="s">
        <v>1993</v>
      </c>
    </row>
    <row r="481" spans="2:8" ht="18">
      <c r="B481" s="21">
        <v>479</v>
      </c>
      <c r="C481" s="27">
        <v>9330</v>
      </c>
      <c r="D481" s="42" t="s">
        <v>1994</v>
      </c>
      <c r="E481" s="27" t="s">
        <v>1995</v>
      </c>
      <c r="F481" s="27" t="s">
        <v>1607</v>
      </c>
      <c r="G481" s="27">
        <v>1332</v>
      </c>
      <c r="H481" s="25" t="s">
        <v>1993</v>
      </c>
    </row>
    <row r="482" spans="2:8" ht="18">
      <c r="B482" s="21">
        <v>480</v>
      </c>
      <c r="C482" s="27">
        <v>9497</v>
      </c>
      <c r="D482" s="42" t="s">
        <v>1996</v>
      </c>
      <c r="E482" s="27" t="s">
        <v>1997</v>
      </c>
      <c r="F482" s="27" t="s">
        <v>1554</v>
      </c>
      <c r="G482" s="27">
        <v>1702</v>
      </c>
      <c r="H482" s="25" t="s">
        <v>1998</v>
      </c>
    </row>
    <row r="483" spans="2:8" ht="18">
      <c r="B483" s="21">
        <v>481</v>
      </c>
      <c r="C483" s="27">
        <v>884</v>
      </c>
      <c r="D483" s="42" t="s">
        <v>1999</v>
      </c>
      <c r="E483" s="27" t="s">
        <v>1430</v>
      </c>
      <c r="F483" s="27" t="s">
        <v>1454</v>
      </c>
      <c r="G483" s="27">
        <v>124</v>
      </c>
      <c r="H483" s="25" t="s">
        <v>2000</v>
      </c>
    </row>
    <row r="484" spans="2:8" ht="18">
      <c r="B484" s="21">
        <v>482</v>
      </c>
      <c r="C484" s="27">
        <v>6711</v>
      </c>
      <c r="D484" s="42" t="s">
        <v>876</v>
      </c>
      <c r="E484" s="27" t="s">
        <v>1975</v>
      </c>
      <c r="F484" s="27" t="s">
        <v>1466</v>
      </c>
      <c r="G484" s="27">
        <v>1488</v>
      </c>
      <c r="H484" s="25" t="s">
        <v>2001</v>
      </c>
    </row>
    <row r="485" spans="2:8" ht="18">
      <c r="B485" s="21">
        <v>483</v>
      </c>
      <c r="C485" s="27">
        <v>7179</v>
      </c>
      <c r="D485" s="42" t="s">
        <v>1131</v>
      </c>
      <c r="E485" s="27" t="s">
        <v>1544</v>
      </c>
      <c r="F485" s="27" t="s">
        <v>1890</v>
      </c>
      <c r="G485" s="27">
        <v>1240</v>
      </c>
      <c r="H485" s="25" t="s">
        <v>2001</v>
      </c>
    </row>
    <row r="486" spans="2:8" ht="18">
      <c r="B486" s="21">
        <v>484</v>
      </c>
      <c r="C486" s="27">
        <v>7243</v>
      </c>
      <c r="D486" s="42" t="s">
        <v>543</v>
      </c>
      <c r="E486" s="27" t="s">
        <v>1722</v>
      </c>
      <c r="F486" s="27" t="s">
        <v>1436</v>
      </c>
      <c r="G486" s="27">
        <v>975</v>
      </c>
      <c r="H486" s="25" t="s">
        <v>2002</v>
      </c>
    </row>
    <row r="487" spans="2:8" ht="18">
      <c r="B487" s="21">
        <v>485</v>
      </c>
      <c r="C487" s="27">
        <v>7504</v>
      </c>
      <c r="D487" s="42" t="s">
        <v>755</v>
      </c>
      <c r="E487" s="27" t="s">
        <v>1441</v>
      </c>
      <c r="F487" s="27" t="s">
        <v>1454</v>
      </c>
      <c r="G487" s="27">
        <v>1025</v>
      </c>
      <c r="H487" s="25" t="s">
        <v>2002</v>
      </c>
    </row>
    <row r="488" spans="2:8" ht="18">
      <c r="B488" s="21">
        <v>486</v>
      </c>
      <c r="C488" s="27">
        <v>7612</v>
      </c>
      <c r="D488" s="42" t="s">
        <v>118</v>
      </c>
      <c r="E488" s="27" t="s">
        <v>1497</v>
      </c>
      <c r="F488" s="27" t="s">
        <v>1548</v>
      </c>
      <c r="G488" s="27">
        <v>1336</v>
      </c>
      <c r="H488" s="25" t="s">
        <v>2003</v>
      </c>
    </row>
    <row r="489" spans="2:8" ht="18">
      <c r="B489" s="21">
        <v>487</v>
      </c>
      <c r="C489" s="27">
        <v>9070</v>
      </c>
      <c r="D489" s="42" t="s">
        <v>742</v>
      </c>
      <c r="E489" s="27" t="s">
        <v>1555</v>
      </c>
      <c r="F489" s="27" t="s">
        <v>1556</v>
      </c>
      <c r="G489" s="27" t="s">
        <v>1557</v>
      </c>
      <c r="H489" s="25" t="s">
        <v>2004</v>
      </c>
    </row>
    <row r="490" spans="2:8" ht="18">
      <c r="B490" s="21">
        <v>488</v>
      </c>
      <c r="C490" s="27">
        <v>9367</v>
      </c>
      <c r="D490" s="42" t="s">
        <v>223</v>
      </c>
      <c r="E490" s="27" t="s">
        <v>1497</v>
      </c>
      <c r="F490" s="27" t="s">
        <v>1466</v>
      </c>
      <c r="G490" s="27">
        <v>1324</v>
      </c>
      <c r="H490" s="25" t="s">
        <v>2005</v>
      </c>
    </row>
    <row r="491" spans="2:8" ht="18">
      <c r="B491" s="21">
        <v>489</v>
      </c>
      <c r="C491" s="27">
        <v>10111</v>
      </c>
      <c r="D491" s="42" t="s">
        <v>886</v>
      </c>
      <c r="E491" s="27" t="s">
        <v>1975</v>
      </c>
      <c r="F491" s="27" t="s">
        <v>1466</v>
      </c>
      <c r="G491" s="27">
        <v>1570</v>
      </c>
      <c r="H491" s="25" t="s">
        <v>2005</v>
      </c>
    </row>
    <row r="492" spans="2:8" ht="18">
      <c r="B492" s="21">
        <v>490</v>
      </c>
      <c r="C492" s="27">
        <v>9269</v>
      </c>
      <c r="D492" s="42" t="s">
        <v>2006</v>
      </c>
      <c r="E492" s="27" t="s">
        <v>1497</v>
      </c>
      <c r="F492" s="27" t="s">
        <v>1454</v>
      </c>
      <c r="G492" s="27">
        <v>1303</v>
      </c>
      <c r="H492" s="25" t="s">
        <v>2007</v>
      </c>
    </row>
    <row r="493" spans="2:8" ht="18">
      <c r="B493" s="21">
        <v>491</v>
      </c>
      <c r="C493" s="27">
        <v>9262</v>
      </c>
      <c r="D493" s="42" t="s">
        <v>551</v>
      </c>
      <c r="E493" s="27" t="s">
        <v>1722</v>
      </c>
      <c r="F493" s="27" t="s">
        <v>1436</v>
      </c>
      <c r="G493" s="27">
        <v>1287</v>
      </c>
      <c r="H493" s="25" t="s">
        <v>2007</v>
      </c>
    </row>
    <row r="494" spans="2:8" ht="18">
      <c r="B494" s="21">
        <v>492</v>
      </c>
      <c r="C494" s="27">
        <v>9359</v>
      </c>
      <c r="D494" s="42" t="s">
        <v>219</v>
      </c>
      <c r="E494" s="27" t="s">
        <v>1497</v>
      </c>
      <c r="F494" s="27" t="s">
        <v>1466</v>
      </c>
      <c r="G494" s="27">
        <v>1322</v>
      </c>
      <c r="H494" s="25" t="s">
        <v>2008</v>
      </c>
    </row>
    <row r="495" spans="2:8" ht="18">
      <c r="B495" s="21">
        <v>493</v>
      </c>
      <c r="C495" s="27">
        <v>5468</v>
      </c>
      <c r="D495" s="42" t="s">
        <v>1560</v>
      </c>
      <c r="E495" s="27" t="s">
        <v>1561</v>
      </c>
      <c r="F495" s="27" t="s">
        <v>1457</v>
      </c>
      <c r="G495" s="27">
        <v>613</v>
      </c>
      <c r="H495" s="25" t="s">
        <v>2009</v>
      </c>
    </row>
    <row r="496" spans="2:8" ht="18">
      <c r="B496" s="21">
        <v>494</v>
      </c>
      <c r="C496" s="27">
        <v>7242</v>
      </c>
      <c r="D496" s="42" t="s">
        <v>34</v>
      </c>
      <c r="E496" s="27" t="s">
        <v>2010</v>
      </c>
      <c r="F496" s="27" t="s">
        <v>1454</v>
      </c>
      <c r="G496" s="27">
        <v>1177</v>
      </c>
      <c r="H496" s="25" t="s">
        <v>2009</v>
      </c>
    </row>
    <row r="497" spans="2:8" ht="18">
      <c r="B497" s="21">
        <v>495</v>
      </c>
      <c r="C497" s="27">
        <v>9715</v>
      </c>
      <c r="D497" s="42" t="s">
        <v>788</v>
      </c>
      <c r="E497" s="27" t="s">
        <v>2011</v>
      </c>
      <c r="F497" s="27" t="s">
        <v>1536</v>
      </c>
      <c r="G497" s="27">
        <v>1426</v>
      </c>
      <c r="H497" s="25" t="s">
        <v>2012</v>
      </c>
    </row>
    <row r="498" spans="2:8" ht="18">
      <c r="B498" s="21">
        <v>496</v>
      </c>
      <c r="C498" s="27">
        <v>9713</v>
      </c>
      <c r="D498" s="42" t="s">
        <v>906</v>
      </c>
      <c r="E498" s="27" t="s">
        <v>2013</v>
      </c>
      <c r="F498" s="27" t="s">
        <v>1466</v>
      </c>
      <c r="G498" s="27">
        <v>1422</v>
      </c>
      <c r="H498" s="25" t="s">
        <v>2012</v>
      </c>
    </row>
    <row r="499" spans="2:8" ht="18">
      <c r="B499" s="21">
        <v>497</v>
      </c>
      <c r="C499" s="27">
        <v>9714</v>
      </c>
      <c r="D499" s="42" t="s">
        <v>130</v>
      </c>
      <c r="E499" s="27" t="s">
        <v>1428</v>
      </c>
      <c r="F499" s="27" t="s">
        <v>1568</v>
      </c>
      <c r="G499" s="27">
        <v>1425</v>
      </c>
      <c r="H499" s="25" t="s">
        <v>2014</v>
      </c>
    </row>
    <row r="500" spans="2:8" ht="18">
      <c r="B500" s="21">
        <v>498</v>
      </c>
      <c r="C500" s="27">
        <v>9621</v>
      </c>
      <c r="D500" s="42" t="s">
        <v>748</v>
      </c>
      <c r="E500" s="27" t="s">
        <v>1982</v>
      </c>
      <c r="F500" s="27" t="s">
        <v>1454</v>
      </c>
      <c r="G500" s="27">
        <v>1398</v>
      </c>
      <c r="H500" s="25" t="s">
        <v>2014</v>
      </c>
    </row>
    <row r="501" spans="2:8" ht="18">
      <c r="B501" s="21">
        <v>499</v>
      </c>
      <c r="C501" s="27">
        <v>9748</v>
      </c>
      <c r="D501" s="42" t="s">
        <v>727</v>
      </c>
      <c r="E501" s="27" t="s">
        <v>2015</v>
      </c>
      <c r="F501" s="27" t="s">
        <v>1454</v>
      </c>
      <c r="G501" s="27">
        <v>1450</v>
      </c>
      <c r="H501" s="25" t="s">
        <v>2016</v>
      </c>
    </row>
    <row r="502" spans="2:8" ht="18">
      <c r="B502" s="21">
        <v>500</v>
      </c>
      <c r="C502" s="27">
        <v>9836</v>
      </c>
      <c r="D502" s="42" t="s">
        <v>501</v>
      </c>
      <c r="E502" s="27" t="s">
        <v>1435</v>
      </c>
      <c r="F502" s="27" t="s">
        <v>1436</v>
      </c>
      <c r="G502" s="27">
        <v>1477</v>
      </c>
      <c r="H502" s="25" t="s">
        <v>2017</v>
      </c>
    </row>
    <row r="503" spans="2:8" ht="18">
      <c r="B503" s="21">
        <v>501</v>
      </c>
      <c r="C503" s="27">
        <v>9910</v>
      </c>
      <c r="D503" s="42" t="s">
        <v>89</v>
      </c>
      <c r="E503" s="27" t="s">
        <v>1500</v>
      </c>
      <c r="F503" s="27" t="s">
        <v>1501</v>
      </c>
      <c r="G503" s="27">
        <v>1503</v>
      </c>
      <c r="H503" s="25" t="s">
        <v>2018</v>
      </c>
    </row>
    <row r="504" spans="2:8" ht="18">
      <c r="B504" s="21">
        <v>502</v>
      </c>
      <c r="C504" s="27">
        <v>9956</v>
      </c>
      <c r="D504" s="42" t="s">
        <v>521</v>
      </c>
      <c r="E504" s="27" t="s">
        <v>1435</v>
      </c>
      <c r="F504" s="27" t="s">
        <v>1436</v>
      </c>
      <c r="G504" s="27">
        <v>1525</v>
      </c>
      <c r="H504" s="25" t="s">
        <v>2018</v>
      </c>
    </row>
    <row r="505" spans="2:8" ht="18">
      <c r="B505" s="21">
        <v>503</v>
      </c>
      <c r="C505" s="27">
        <v>9942</v>
      </c>
      <c r="D505" s="42" t="s">
        <v>509</v>
      </c>
      <c r="E505" s="27" t="s">
        <v>1435</v>
      </c>
      <c r="F505" s="27" t="s">
        <v>1436</v>
      </c>
      <c r="G505" s="27">
        <v>1521</v>
      </c>
      <c r="H505" s="25" t="s">
        <v>2019</v>
      </c>
    </row>
    <row r="506" spans="2:8" ht="18">
      <c r="B506" s="21">
        <v>504</v>
      </c>
      <c r="C506" s="27">
        <v>6616</v>
      </c>
      <c r="D506" s="42" t="s">
        <v>378</v>
      </c>
      <c r="E506" s="27" t="s">
        <v>1574</v>
      </c>
      <c r="F506" s="27" t="s">
        <v>1447</v>
      </c>
      <c r="G506" s="27">
        <v>852</v>
      </c>
      <c r="H506" s="25" t="s">
        <v>2019</v>
      </c>
    </row>
    <row r="507" spans="2:8" ht="18">
      <c r="B507" s="21">
        <v>505</v>
      </c>
      <c r="C507" s="27">
        <v>9941</v>
      </c>
      <c r="D507" s="42" t="s">
        <v>507</v>
      </c>
      <c r="E507" s="27" t="s">
        <v>1435</v>
      </c>
      <c r="F507" s="27" t="s">
        <v>1436</v>
      </c>
      <c r="G507" s="27">
        <v>1512</v>
      </c>
      <c r="H507" s="25" t="s">
        <v>2020</v>
      </c>
    </row>
    <row r="508" spans="2:8" ht="18">
      <c r="B508" s="21">
        <v>506</v>
      </c>
      <c r="C508" s="27">
        <v>9973</v>
      </c>
      <c r="D508" s="42" t="s">
        <v>1087</v>
      </c>
      <c r="E508" s="27" t="s">
        <v>1592</v>
      </c>
      <c r="F508" s="27" t="s">
        <v>1474</v>
      </c>
      <c r="G508" s="27" t="s">
        <v>1528</v>
      </c>
      <c r="H508" s="25" t="s">
        <v>2021</v>
      </c>
    </row>
    <row r="509" spans="2:8" ht="18">
      <c r="B509" s="21">
        <v>507</v>
      </c>
      <c r="C509" s="27">
        <v>9988</v>
      </c>
      <c r="D509" s="42" t="s">
        <v>125</v>
      </c>
      <c r="E509" s="27" t="s">
        <v>1437</v>
      </c>
      <c r="F509" s="27" t="s">
        <v>1433</v>
      </c>
      <c r="G509" s="27">
        <v>1538</v>
      </c>
      <c r="H509" s="25" t="s">
        <v>2021</v>
      </c>
    </row>
    <row r="510" spans="2:8" ht="18">
      <c r="B510" s="21">
        <v>508</v>
      </c>
      <c r="C510" s="27">
        <v>9723</v>
      </c>
      <c r="D510" s="42" t="s">
        <v>1048</v>
      </c>
      <c r="E510" s="27" t="s">
        <v>1585</v>
      </c>
      <c r="F510" s="27" t="s">
        <v>1436</v>
      </c>
      <c r="G510" s="27">
        <v>1436</v>
      </c>
      <c r="H510" s="25" t="s">
        <v>2022</v>
      </c>
    </row>
    <row r="511" spans="2:8" ht="18">
      <c r="B511" s="21">
        <v>509</v>
      </c>
      <c r="C511" s="27">
        <v>10370</v>
      </c>
      <c r="D511" s="42" t="s">
        <v>1493</v>
      </c>
      <c r="E511" s="27" t="s">
        <v>1494</v>
      </c>
      <c r="F511" s="27" t="s">
        <v>1474</v>
      </c>
      <c r="G511" s="27" t="s">
        <v>1495</v>
      </c>
      <c r="H511" s="25" t="s">
        <v>2023</v>
      </c>
    </row>
    <row r="512" spans="2:8" ht="18">
      <c r="B512" s="21">
        <v>510</v>
      </c>
      <c r="C512" s="27">
        <v>9813</v>
      </c>
      <c r="D512" s="42" t="s">
        <v>617</v>
      </c>
      <c r="E512" s="27" t="s">
        <v>1435</v>
      </c>
      <c r="F512" s="27" t="s">
        <v>1474</v>
      </c>
      <c r="G512" s="27" t="s">
        <v>2024</v>
      </c>
      <c r="H512" s="25" t="s">
        <v>2023</v>
      </c>
    </row>
    <row r="513" spans="2:8" ht="18">
      <c r="B513" s="21">
        <v>511</v>
      </c>
      <c r="C513" s="27">
        <v>10402</v>
      </c>
      <c r="D513" s="42" t="s">
        <v>780</v>
      </c>
      <c r="E513" s="27" t="s">
        <v>1578</v>
      </c>
      <c r="F513" s="27" t="s">
        <v>1554</v>
      </c>
      <c r="G513" s="27">
        <v>1643</v>
      </c>
      <c r="H513" s="25" t="s">
        <v>2025</v>
      </c>
    </row>
    <row r="514" spans="2:8" ht="18">
      <c r="B514" s="21">
        <v>512</v>
      </c>
      <c r="C514" s="27">
        <v>5433</v>
      </c>
      <c r="D514" s="42" t="s">
        <v>413</v>
      </c>
      <c r="E514" s="27" t="s">
        <v>1635</v>
      </c>
      <c r="F514" s="27" t="s">
        <v>1477</v>
      </c>
      <c r="G514" s="27">
        <v>605</v>
      </c>
      <c r="H514" s="25" t="s">
        <v>2025</v>
      </c>
    </row>
    <row r="515" spans="2:8" ht="18">
      <c r="B515" s="21">
        <v>513</v>
      </c>
      <c r="C515" s="27">
        <v>8210</v>
      </c>
      <c r="D515" s="42" t="s">
        <v>671</v>
      </c>
      <c r="E515" s="27" t="s">
        <v>1430</v>
      </c>
      <c r="F515" s="27" t="s">
        <v>1457</v>
      </c>
      <c r="G515" s="27">
        <v>1106</v>
      </c>
      <c r="H515" s="25" t="s">
        <v>2026</v>
      </c>
    </row>
    <row r="516" spans="2:8" ht="18">
      <c r="B516" s="21">
        <v>514</v>
      </c>
      <c r="C516" s="27">
        <v>8873</v>
      </c>
      <c r="D516" s="42" t="s">
        <v>345</v>
      </c>
      <c r="E516" s="27" t="s">
        <v>1497</v>
      </c>
      <c r="F516" s="27" t="s">
        <v>1447</v>
      </c>
      <c r="G516" s="27">
        <v>1208</v>
      </c>
      <c r="H516" s="25" t="s">
        <v>2027</v>
      </c>
    </row>
    <row r="517" spans="2:8" ht="18">
      <c r="B517" s="21">
        <v>515</v>
      </c>
      <c r="C517" s="27">
        <v>9874</v>
      </c>
      <c r="D517" s="42" t="s">
        <v>884</v>
      </c>
      <c r="E517" s="27" t="s">
        <v>1975</v>
      </c>
      <c r="F517" s="27" t="s">
        <v>1466</v>
      </c>
      <c r="G517" s="27">
        <v>1504</v>
      </c>
      <c r="H517" s="25" t="s">
        <v>2028</v>
      </c>
    </row>
    <row r="518" spans="2:8" ht="18">
      <c r="B518" s="21">
        <v>516</v>
      </c>
      <c r="C518" s="27">
        <v>2810</v>
      </c>
      <c r="D518" s="42" t="s">
        <v>2029</v>
      </c>
      <c r="E518" s="27" t="s">
        <v>1441</v>
      </c>
      <c r="F518" s="27" t="s">
        <v>1454</v>
      </c>
      <c r="G518" s="27">
        <v>1485</v>
      </c>
      <c r="H518" s="25" t="s">
        <v>2028</v>
      </c>
    </row>
    <row r="519" spans="2:8" ht="18">
      <c r="B519" s="21">
        <v>517</v>
      </c>
      <c r="C519" s="27">
        <v>9193</v>
      </c>
      <c r="D519" s="42" t="s">
        <v>209</v>
      </c>
      <c r="E519" s="27" t="s">
        <v>1497</v>
      </c>
      <c r="F519" s="27" t="s">
        <v>1466</v>
      </c>
      <c r="G519" s="27">
        <v>1343</v>
      </c>
      <c r="H519" s="25" t="s">
        <v>2030</v>
      </c>
    </row>
    <row r="520" spans="2:8" ht="18">
      <c r="B520" s="21">
        <v>518</v>
      </c>
      <c r="C520" s="27">
        <v>9763</v>
      </c>
      <c r="D520" s="42" t="s">
        <v>791</v>
      </c>
      <c r="E520" s="27" t="s">
        <v>2031</v>
      </c>
      <c r="F520" s="27" t="s">
        <v>1554</v>
      </c>
      <c r="G520" s="27">
        <v>1445</v>
      </c>
      <c r="H520" s="25" t="s">
        <v>2030</v>
      </c>
    </row>
    <row r="521" spans="2:8" ht="18">
      <c r="B521" s="21">
        <v>519</v>
      </c>
      <c r="C521" s="27">
        <v>9668</v>
      </c>
      <c r="D521" s="42" t="s">
        <v>750</v>
      </c>
      <c r="E521" s="27" t="s">
        <v>1982</v>
      </c>
      <c r="F521" s="27" t="s">
        <v>1454</v>
      </c>
      <c r="G521" s="27">
        <v>1415</v>
      </c>
      <c r="H521" s="25" t="s">
        <v>2030</v>
      </c>
    </row>
    <row r="522" spans="2:8" ht="18">
      <c r="B522" s="21">
        <v>520</v>
      </c>
      <c r="C522" s="27">
        <v>10131</v>
      </c>
      <c r="D522" s="42" t="s">
        <v>254</v>
      </c>
      <c r="E522" s="27" t="s">
        <v>1437</v>
      </c>
      <c r="F522" s="27" t="s">
        <v>1588</v>
      </c>
      <c r="G522" s="27">
        <v>1580</v>
      </c>
      <c r="H522" s="25" t="s">
        <v>2032</v>
      </c>
    </row>
    <row r="523" spans="2:8" ht="18">
      <c r="B523" s="21">
        <v>521</v>
      </c>
      <c r="C523" s="27">
        <v>5479</v>
      </c>
      <c r="D523" s="42" t="s">
        <v>656</v>
      </c>
      <c r="E523" s="27" t="s">
        <v>1598</v>
      </c>
      <c r="F523" s="27" t="s">
        <v>1457</v>
      </c>
      <c r="G523" s="27">
        <v>704</v>
      </c>
      <c r="H523" s="25" t="s">
        <v>2032</v>
      </c>
    </row>
    <row r="524" spans="2:8" ht="18">
      <c r="B524" s="21">
        <v>522</v>
      </c>
      <c r="C524" s="27">
        <v>9047</v>
      </c>
      <c r="D524" s="42" t="s">
        <v>1126</v>
      </c>
      <c r="E524" s="27" t="s">
        <v>2033</v>
      </c>
      <c r="F524" s="27" t="s">
        <v>1436</v>
      </c>
      <c r="G524" s="27">
        <v>1256</v>
      </c>
      <c r="H524" s="25" t="s">
        <v>2034</v>
      </c>
    </row>
    <row r="525" spans="2:8" ht="18">
      <c r="B525" s="21">
        <v>523</v>
      </c>
      <c r="C525" s="27">
        <v>9811</v>
      </c>
      <c r="D525" s="42" t="s">
        <v>1590</v>
      </c>
      <c r="E525" s="27" t="s">
        <v>1480</v>
      </c>
      <c r="F525" s="27" t="s">
        <v>1447</v>
      </c>
      <c r="G525" s="27">
        <v>1452</v>
      </c>
      <c r="H525" s="25" t="s">
        <v>2034</v>
      </c>
    </row>
    <row r="526" spans="2:8" ht="18">
      <c r="B526" s="21">
        <v>524</v>
      </c>
      <c r="C526" s="27">
        <v>6341</v>
      </c>
      <c r="D526" s="42" t="s">
        <v>820</v>
      </c>
      <c r="E526" s="27" t="s">
        <v>1432</v>
      </c>
      <c r="F526" s="27" t="s">
        <v>1433</v>
      </c>
      <c r="G526" s="27">
        <v>1549</v>
      </c>
      <c r="H526" s="25" t="s">
        <v>2035</v>
      </c>
    </row>
    <row r="527" spans="2:8" ht="18">
      <c r="B527" s="21">
        <v>525</v>
      </c>
      <c r="C527" s="27">
        <v>9263</v>
      </c>
      <c r="D527" s="42" t="s">
        <v>624</v>
      </c>
      <c r="E527" s="27" t="s">
        <v>1616</v>
      </c>
      <c r="F527" s="61" t="s">
        <v>1474</v>
      </c>
      <c r="G527" s="27" t="s">
        <v>1617</v>
      </c>
      <c r="H527" s="25" t="s">
        <v>2036</v>
      </c>
    </row>
    <row r="528" spans="2:8" ht="18">
      <c r="B528" s="21">
        <v>526</v>
      </c>
      <c r="C528" s="27">
        <v>8734</v>
      </c>
      <c r="D528" s="42" t="s">
        <v>575</v>
      </c>
      <c r="E528" s="27" t="s">
        <v>1430</v>
      </c>
      <c r="F528" s="27" t="s">
        <v>1436</v>
      </c>
      <c r="G528" s="27">
        <v>1184</v>
      </c>
      <c r="H528" s="25" t="s">
        <v>2037</v>
      </c>
    </row>
    <row r="529" spans="2:8" ht="18">
      <c r="B529" s="21">
        <v>527</v>
      </c>
      <c r="C529" s="27">
        <v>9278</v>
      </c>
      <c r="D529" s="42" t="s">
        <v>51</v>
      </c>
      <c r="E529" s="27" t="s">
        <v>1497</v>
      </c>
      <c r="F529" s="27" t="s">
        <v>1454</v>
      </c>
      <c r="G529" s="27">
        <v>1265</v>
      </c>
      <c r="H529" s="25" t="s">
        <v>2038</v>
      </c>
    </row>
    <row r="530" spans="2:8" ht="18">
      <c r="B530" s="21">
        <v>528</v>
      </c>
      <c r="C530" s="27">
        <v>9720</v>
      </c>
      <c r="D530" s="42" t="s">
        <v>460</v>
      </c>
      <c r="E530" s="27" t="s">
        <v>1435</v>
      </c>
      <c r="F530" s="27" t="s">
        <v>1436</v>
      </c>
      <c r="G530" s="27">
        <v>1433</v>
      </c>
      <c r="H530" s="25" t="s">
        <v>2038</v>
      </c>
    </row>
    <row r="531" spans="2:8" ht="18">
      <c r="B531" s="21">
        <v>529</v>
      </c>
      <c r="C531" s="27">
        <v>9333</v>
      </c>
      <c r="D531" s="42" t="s">
        <v>1114</v>
      </c>
      <c r="E531" s="27" t="s">
        <v>2039</v>
      </c>
      <c r="F531" s="27" t="s">
        <v>1594</v>
      </c>
      <c r="G531" s="27">
        <v>1334</v>
      </c>
      <c r="H531" s="25" t="s">
        <v>1998</v>
      </c>
    </row>
    <row r="532" spans="2:8" ht="18">
      <c r="B532" s="21">
        <v>530</v>
      </c>
      <c r="C532" s="27">
        <v>9721</v>
      </c>
      <c r="D532" s="42" t="s">
        <v>463</v>
      </c>
      <c r="E532" s="27" t="s">
        <v>1435</v>
      </c>
      <c r="F532" s="27" t="s">
        <v>1436</v>
      </c>
      <c r="G532" s="27">
        <v>1434</v>
      </c>
      <c r="H532" s="25" t="s">
        <v>1998</v>
      </c>
    </row>
    <row r="533" spans="2:8" ht="18">
      <c r="B533" s="21">
        <v>531</v>
      </c>
      <c r="C533" s="27">
        <v>9649</v>
      </c>
      <c r="D533" s="42" t="s">
        <v>1000</v>
      </c>
      <c r="E533" s="27" t="s">
        <v>1599</v>
      </c>
      <c r="F533" s="27" t="s">
        <v>1436</v>
      </c>
      <c r="G533" s="27">
        <v>1410</v>
      </c>
      <c r="H533" s="25" t="s">
        <v>2040</v>
      </c>
    </row>
    <row r="534" spans="2:8" ht="18">
      <c r="B534" s="21">
        <v>532</v>
      </c>
      <c r="C534" s="27">
        <v>9516</v>
      </c>
      <c r="D534" s="42" t="s">
        <v>2041</v>
      </c>
      <c r="E534" s="27" t="s">
        <v>2042</v>
      </c>
      <c r="F534" s="27" t="s">
        <v>1554</v>
      </c>
      <c r="G534" s="27">
        <v>1703</v>
      </c>
      <c r="H534" s="25" t="s">
        <v>2040</v>
      </c>
    </row>
    <row r="535" spans="2:8" ht="18">
      <c r="B535" s="21">
        <v>533</v>
      </c>
      <c r="C535" s="27">
        <v>9829</v>
      </c>
      <c r="D535" s="42" t="s">
        <v>489</v>
      </c>
      <c r="E535" s="27" t="s">
        <v>1435</v>
      </c>
      <c r="F535" s="27" t="s">
        <v>1436</v>
      </c>
      <c r="G535" s="27">
        <v>1470</v>
      </c>
      <c r="H535" s="25" t="s">
        <v>2043</v>
      </c>
    </row>
    <row r="536" spans="2:8" ht="18">
      <c r="B536" s="21">
        <v>534</v>
      </c>
      <c r="C536" s="27">
        <v>9817</v>
      </c>
      <c r="D536" s="42" t="s">
        <v>477</v>
      </c>
      <c r="E536" s="27" t="s">
        <v>1435</v>
      </c>
      <c r="F536" s="27" t="s">
        <v>1436</v>
      </c>
      <c r="G536" s="27">
        <v>1460</v>
      </c>
      <c r="H536" s="25" t="s">
        <v>2044</v>
      </c>
    </row>
    <row r="537" spans="2:8" ht="18">
      <c r="B537" s="21">
        <v>535</v>
      </c>
      <c r="C537" s="27">
        <v>9820</v>
      </c>
      <c r="D537" s="42" t="s">
        <v>481</v>
      </c>
      <c r="E537" s="27" t="s">
        <v>1435</v>
      </c>
      <c r="F537" s="27" t="s">
        <v>1436</v>
      </c>
      <c r="G537" s="27">
        <v>1463</v>
      </c>
      <c r="H537" s="25" t="s">
        <v>2045</v>
      </c>
    </row>
    <row r="538" spans="2:8" ht="18">
      <c r="B538" s="21">
        <v>536</v>
      </c>
      <c r="C538" s="27">
        <v>9826</v>
      </c>
      <c r="D538" s="42" t="s">
        <v>1367</v>
      </c>
      <c r="E538" s="27" t="s">
        <v>1435</v>
      </c>
      <c r="F538" s="27" t="s">
        <v>1436</v>
      </c>
      <c r="G538" s="27">
        <v>1468</v>
      </c>
      <c r="H538" s="25" t="s">
        <v>2046</v>
      </c>
    </row>
    <row r="539" spans="2:8" ht="18">
      <c r="B539" s="21">
        <v>537</v>
      </c>
      <c r="C539" s="27">
        <v>9374</v>
      </c>
      <c r="D539" s="42" t="s">
        <v>61</v>
      </c>
      <c r="E539" s="27" t="s">
        <v>1497</v>
      </c>
      <c r="F539" s="27" t="s">
        <v>1454</v>
      </c>
      <c r="G539" s="27">
        <v>1317</v>
      </c>
      <c r="H539" s="25" t="s">
        <v>2047</v>
      </c>
    </row>
    <row r="540" spans="2:8" ht="18">
      <c r="B540" s="21">
        <v>538</v>
      </c>
      <c r="C540" s="27">
        <v>9832</v>
      </c>
      <c r="D540" s="42" t="s">
        <v>493</v>
      </c>
      <c r="E540" s="27" t="s">
        <v>1435</v>
      </c>
      <c r="F540" s="27" t="s">
        <v>1436</v>
      </c>
      <c r="G540" s="27">
        <v>1473</v>
      </c>
      <c r="H540" s="25" t="s">
        <v>2048</v>
      </c>
    </row>
    <row r="541" spans="2:8" ht="18">
      <c r="B541" s="21">
        <v>539</v>
      </c>
      <c r="C541" s="27">
        <v>9724</v>
      </c>
      <c r="D541" s="42" t="s">
        <v>1051</v>
      </c>
      <c r="E541" s="27" t="s">
        <v>1585</v>
      </c>
      <c r="F541" s="27" t="s">
        <v>1436</v>
      </c>
      <c r="G541" s="27">
        <v>1437</v>
      </c>
      <c r="H541" s="25" t="s">
        <v>2048</v>
      </c>
    </row>
    <row r="542" spans="2:8" ht="18">
      <c r="B542" s="21">
        <v>540</v>
      </c>
      <c r="C542" s="27">
        <v>9271</v>
      </c>
      <c r="D542" s="42" t="s">
        <v>43</v>
      </c>
      <c r="E542" s="27" t="s">
        <v>1497</v>
      </c>
      <c r="F542" s="27" t="s">
        <v>1454</v>
      </c>
      <c r="G542" s="27">
        <v>1263</v>
      </c>
      <c r="H542" s="25" t="s">
        <v>2049</v>
      </c>
    </row>
    <row r="543" spans="2:8" ht="18">
      <c r="B543" s="21">
        <v>541</v>
      </c>
      <c r="C543" s="27">
        <v>7486</v>
      </c>
      <c r="D543" s="42" t="s">
        <v>163</v>
      </c>
      <c r="E543" s="27" t="s">
        <v>1635</v>
      </c>
      <c r="F543" s="27" t="s">
        <v>1436</v>
      </c>
      <c r="G543" s="27">
        <v>1007</v>
      </c>
      <c r="H543" s="25" t="s">
        <v>2049</v>
      </c>
    </row>
    <row r="544" spans="2:8" ht="18">
      <c r="B544" s="21">
        <v>542</v>
      </c>
      <c r="C544" s="27">
        <v>8738</v>
      </c>
      <c r="D544" s="42" t="s">
        <v>643</v>
      </c>
      <c r="E544" s="27" t="s">
        <v>1430</v>
      </c>
      <c r="F544" s="27" t="s">
        <v>1615</v>
      </c>
      <c r="G544" s="27">
        <v>1644</v>
      </c>
      <c r="H544" s="25" t="s">
        <v>2026</v>
      </c>
    </row>
    <row r="545" spans="2:8" ht="18">
      <c r="B545" s="21">
        <v>543</v>
      </c>
      <c r="C545" s="27">
        <v>9814</v>
      </c>
      <c r="D545" s="42" t="s">
        <v>471</v>
      </c>
      <c r="E545" s="27" t="s">
        <v>1435</v>
      </c>
      <c r="F545" s="27" t="s">
        <v>1436</v>
      </c>
      <c r="G545" s="27">
        <v>1457</v>
      </c>
      <c r="H545" s="25" t="s">
        <v>2050</v>
      </c>
    </row>
    <row r="546" spans="2:8" ht="18">
      <c r="B546" s="21">
        <v>544</v>
      </c>
      <c r="C546" s="27">
        <v>9530</v>
      </c>
      <c r="D546" s="42" t="s">
        <v>1085</v>
      </c>
      <c r="E546" s="27" t="s">
        <v>2051</v>
      </c>
      <c r="F546" s="61" t="s">
        <v>1474</v>
      </c>
      <c r="G546" s="27">
        <v>1380</v>
      </c>
      <c r="H546" s="25" t="s">
        <v>2052</v>
      </c>
    </row>
    <row r="547" spans="2:8" ht="18">
      <c r="B547" s="21">
        <v>545</v>
      </c>
      <c r="C547" s="27">
        <v>9908</v>
      </c>
      <c r="D547" s="42" t="s">
        <v>387</v>
      </c>
      <c r="E547" s="27" t="s">
        <v>1428</v>
      </c>
      <c r="F547" s="27" t="s">
        <v>1611</v>
      </c>
      <c r="G547" s="27">
        <v>1501</v>
      </c>
      <c r="H547" s="25" t="s">
        <v>2053</v>
      </c>
    </row>
    <row r="548" spans="2:8" ht="18">
      <c r="B548" s="21">
        <v>546</v>
      </c>
      <c r="C548" s="27">
        <v>10009</v>
      </c>
      <c r="D548" s="42" t="s">
        <v>405</v>
      </c>
      <c r="E548" s="27" t="s">
        <v>1428</v>
      </c>
      <c r="F548" s="27" t="s">
        <v>1498</v>
      </c>
      <c r="G548" s="27">
        <v>1543</v>
      </c>
      <c r="H548" s="25" t="s">
        <v>2053</v>
      </c>
    </row>
    <row r="549" spans="2:8" ht="18">
      <c r="B549" s="21">
        <v>547</v>
      </c>
      <c r="C549" s="27">
        <v>9822</v>
      </c>
      <c r="D549" s="42" t="s">
        <v>483</v>
      </c>
      <c r="E549" s="27" t="s">
        <v>1435</v>
      </c>
      <c r="F549" s="27" t="s">
        <v>1436</v>
      </c>
      <c r="G549" s="27">
        <v>1465</v>
      </c>
      <c r="H549" s="25" t="s">
        <v>2054</v>
      </c>
    </row>
    <row r="550" spans="2:8" ht="18">
      <c r="B550" s="21">
        <v>548</v>
      </c>
      <c r="C550" s="27">
        <v>9833</v>
      </c>
      <c r="D550" s="42" t="s">
        <v>495</v>
      </c>
      <c r="E550" s="27" t="s">
        <v>1435</v>
      </c>
      <c r="F550" s="27" t="s">
        <v>1436</v>
      </c>
      <c r="G550" s="27">
        <v>1474</v>
      </c>
      <c r="H550" s="25" t="s">
        <v>2054</v>
      </c>
    </row>
    <row r="551" spans="2:8" ht="18">
      <c r="B551" s="21">
        <v>549</v>
      </c>
      <c r="C551" s="27">
        <v>10166</v>
      </c>
      <c r="D551" s="42" t="s">
        <v>400</v>
      </c>
      <c r="E551" s="27" t="s">
        <v>1480</v>
      </c>
      <c r="F551" s="27" t="s">
        <v>1429</v>
      </c>
      <c r="G551" s="27">
        <v>1589</v>
      </c>
      <c r="H551" s="25" t="s">
        <v>2050</v>
      </c>
    </row>
    <row r="552" spans="2:8" ht="18">
      <c r="B552" s="21">
        <v>550</v>
      </c>
      <c r="C552" s="27">
        <v>5770</v>
      </c>
      <c r="D552" s="42" t="s">
        <v>847</v>
      </c>
      <c r="E552" s="27" t="s">
        <v>1610</v>
      </c>
      <c r="F552" s="27" t="s">
        <v>1445</v>
      </c>
      <c r="G552" s="27">
        <v>629</v>
      </c>
      <c r="H552" s="25" t="s">
        <v>2047</v>
      </c>
    </row>
    <row r="553" spans="2:8" ht="18">
      <c r="B553" s="21">
        <v>551</v>
      </c>
      <c r="C553" s="27">
        <v>8728</v>
      </c>
      <c r="D553" s="42" t="s">
        <v>101</v>
      </c>
      <c r="E553" s="27" t="s">
        <v>102</v>
      </c>
      <c r="F553" s="27" t="s">
        <v>1501</v>
      </c>
      <c r="G553" s="27">
        <v>1181</v>
      </c>
      <c r="H553" s="25" t="s">
        <v>2026</v>
      </c>
    </row>
    <row r="554" spans="2:8" ht="18">
      <c r="B554" s="21">
        <v>552</v>
      </c>
      <c r="C554" s="27">
        <v>8908</v>
      </c>
      <c r="D554" s="42" t="s">
        <v>871</v>
      </c>
      <c r="E554" s="27" t="s">
        <v>2055</v>
      </c>
      <c r="F554" s="27" t="s">
        <v>1466</v>
      </c>
      <c r="G554" s="27">
        <v>1660</v>
      </c>
      <c r="H554" s="25" t="s">
        <v>2056</v>
      </c>
    </row>
    <row r="555" spans="2:8" ht="18">
      <c r="B555" s="21">
        <v>553</v>
      </c>
      <c r="C555" s="27">
        <v>8741</v>
      </c>
      <c r="D555" s="42" t="s">
        <v>2057</v>
      </c>
      <c r="E555" s="27" t="s">
        <v>2058</v>
      </c>
      <c r="F555" s="27" t="s">
        <v>2059</v>
      </c>
      <c r="G555" s="27">
        <v>1965</v>
      </c>
      <c r="H555" s="25" t="s">
        <v>2040</v>
      </c>
    </row>
    <row r="556" spans="2:8" ht="18">
      <c r="B556" s="21">
        <v>554</v>
      </c>
      <c r="C556" s="27">
        <v>4448</v>
      </c>
      <c r="D556" s="42" t="s">
        <v>2060</v>
      </c>
      <c r="E556" s="27" t="s">
        <v>1476</v>
      </c>
      <c r="F556" s="27" t="s">
        <v>1447</v>
      </c>
      <c r="G556" s="27">
        <v>503</v>
      </c>
      <c r="H556" s="25" t="s">
        <v>2043</v>
      </c>
    </row>
    <row r="557" spans="2:8" ht="18">
      <c r="B557" s="21">
        <v>555</v>
      </c>
      <c r="C557" s="27">
        <v>7559</v>
      </c>
      <c r="D557" s="42" t="s">
        <v>713</v>
      </c>
      <c r="E557" s="27" t="s">
        <v>2061</v>
      </c>
      <c r="F557" s="27" t="s">
        <v>1820</v>
      </c>
      <c r="G557" s="27">
        <v>1991</v>
      </c>
      <c r="H557" s="25" t="s">
        <v>2047</v>
      </c>
    </row>
    <row r="558" spans="2:8" ht="18">
      <c r="B558" s="21">
        <v>556</v>
      </c>
      <c r="C558" s="27">
        <v>9260</v>
      </c>
      <c r="D558" s="42" t="s">
        <v>626</v>
      </c>
      <c r="E558" s="27" t="s">
        <v>1616</v>
      </c>
      <c r="F558" s="61" t="s">
        <v>1474</v>
      </c>
      <c r="G558" s="27">
        <v>1308</v>
      </c>
      <c r="H558" s="25" t="s">
        <v>2062</v>
      </c>
    </row>
    <row r="559" spans="2:8" ht="18">
      <c r="B559" s="21">
        <v>557</v>
      </c>
      <c r="C559" s="27">
        <v>7196</v>
      </c>
      <c r="D559" s="42" t="s">
        <v>1605</v>
      </c>
      <c r="E559" s="27" t="s">
        <v>1606</v>
      </c>
      <c r="F559" s="27" t="s">
        <v>1607</v>
      </c>
      <c r="G559" s="27">
        <v>1674</v>
      </c>
      <c r="H559" s="25" t="s">
        <v>2045</v>
      </c>
    </row>
    <row r="560" spans="2:8" ht="18">
      <c r="B560" s="21">
        <v>558</v>
      </c>
      <c r="C560" s="27">
        <v>4715</v>
      </c>
      <c r="D560" s="42" t="s">
        <v>2063</v>
      </c>
      <c r="E560" s="27" t="s">
        <v>2064</v>
      </c>
      <c r="F560" s="27" t="s">
        <v>2065</v>
      </c>
      <c r="G560" s="27">
        <v>1672</v>
      </c>
      <c r="H560" s="25" t="s">
        <v>2066</v>
      </c>
    </row>
    <row r="561" spans="2:8" ht="18">
      <c r="B561" s="21">
        <v>559</v>
      </c>
      <c r="C561" s="27">
        <v>10474</v>
      </c>
      <c r="D561" s="42" t="s">
        <v>2067</v>
      </c>
      <c r="E561" s="27" t="s">
        <v>2068</v>
      </c>
      <c r="F561" s="27" t="s">
        <v>1718</v>
      </c>
      <c r="G561" s="27">
        <v>1663</v>
      </c>
      <c r="H561" s="25" t="s">
        <v>2069</v>
      </c>
    </row>
    <row r="562" spans="2:8" ht="18">
      <c r="B562" s="21">
        <v>560</v>
      </c>
      <c r="C562" s="27">
        <v>10457</v>
      </c>
      <c r="D562" s="42" t="s">
        <v>783</v>
      </c>
      <c r="E562" s="27" t="s">
        <v>1578</v>
      </c>
      <c r="F562" s="27" t="s">
        <v>1554</v>
      </c>
      <c r="G562" s="27">
        <v>1656</v>
      </c>
      <c r="H562" s="25" t="s">
        <v>2070</v>
      </c>
    </row>
    <row r="563" spans="2:8" ht="18">
      <c r="B563" s="21">
        <v>561</v>
      </c>
      <c r="C563" s="27">
        <v>4665</v>
      </c>
      <c r="D563" s="42" t="s">
        <v>2071</v>
      </c>
      <c r="E563" s="27" t="s">
        <v>2072</v>
      </c>
      <c r="F563" s="27" t="s">
        <v>1466</v>
      </c>
      <c r="G563" s="27">
        <v>428</v>
      </c>
      <c r="H563" s="25" t="s">
        <v>2070</v>
      </c>
    </row>
    <row r="564" spans="2:8" ht="18">
      <c r="B564" s="21">
        <v>562</v>
      </c>
      <c r="C564" s="27">
        <v>8735</v>
      </c>
      <c r="D564" s="42" t="s">
        <v>577</v>
      </c>
      <c r="E564" s="27" t="s">
        <v>1430</v>
      </c>
      <c r="F564" s="27" t="s">
        <v>1436</v>
      </c>
      <c r="G564" s="27">
        <v>1185</v>
      </c>
      <c r="H564" s="25" t="s">
        <v>2073</v>
      </c>
    </row>
    <row r="565" spans="2:8" ht="18">
      <c r="B565" s="21">
        <v>563</v>
      </c>
      <c r="C565" s="27">
        <v>9202</v>
      </c>
      <c r="D565" s="42" t="s">
        <v>176</v>
      </c>
      <c r="E565" s="27" t="s">
        <v>1638</v>
      </c>
      <c r="F565" s="27" t="s">
        <v>1426</v>
      </c>
      <c r="G565" s="27">
        <v>1312</v>
      </c>
      <c r="H565" s="25" t="s">
        <v>2073</v>
      </c>
    </row>
    <row r="566" spans="2:8" ht="18">
      <c r="B566" s="21">
        <v>564</v>
      </c>
      <c r="C566" s="27">
        <v>9261</v>
      </c>
      <c r="D566" s="42" t="s">
        <v>549</v>
      </c>
      <c r="E566" s="27" t="s">
        <v>1722</v>
      </c>
      <c r="F566" s="27" t="s">
        <v>1436</v>
      </c>
      <c r="G566" s="27">
        <v>1281</v>
      </c>
      <c r="H566" s="25" t="s">
        <v>2074</v>
      </c>
    </row>
    <row r="567" spans="2:8" ht="18">
      <c r="B567" s="21">
        <v>565</v>
      </c>
      <c r="C567" s="27">
        <v>9529</v>
      </c>
      <c r="D567" s="42" t="s">
        <v>997</v>
      </c>
      <c r="E567" s="27" t="s">
        <v>2051</v>
      </c>
      <c r="F567" s="27" t="s">
        <v>1436</v>
      </c>
      <c r="G567" s="27">
        <v>1379</v>
      </c>
      <c r="H567" s="25" t="s">
        <v>2074</v>
      </c>
    </row>
    <row r="568" spans="2:8" ht="18">
      <c r="B568" s="21">
        <v>566</v>
      </c>
      <c r="C568" s="27">
        <v>8182</v>
      </c>
      <c r="D568" s="54" t="s">
        <v>949</v>
      </c>
      <c r="E568" s="27" t="s">
        <v>1626</v>
      </c>
      <c r="F568" s="27" t="s">
        <v>1431</v>
      </c>
      <c r="G568" s="27">
        <v>1371</v>
      </c>
      <c r="H568" s="25" t="s">
        <v>2066</v>
      </c>
    </row>
    <row r="569" spans="2:8" ht="18">
      <c r="B569" s="21">
        <v>567</v>
      </c>
      <c r="C569" s="27">
        <v>10386</v>
      </c>
      <c r="D569" s="42" t="s">
        <v>458</v>
      </c>
      <c r="E569" s="27" t="s">
        <v>1435</v>
      </c>
      <c r="F569" s="27" t="s">
        <v>1436</v>
      </c>
      <c r="G569" s="27">
        <v>1640</v>
      </c>
      <c r="H569" s="25" t="s">
        <v>2066</v>
      </c>
    </row>
    <row r="570" spans="2:8" ht="18">
      <c r="B570" s="21">
        <v>568</v>
      </c>
      <c r="C570" s="27">
        <v>9227</v>
      </c>
      <c r="D570" s="42" t="s">
        <v>189</v>
      </c>
      <c r="E570" s="27" t="s">
        <v>1638</v>
      </c>
      <c r="F570" s="27" t="s">
        <v>1426</v>
      </c>
      <c r="G570" s="27">
        <v>1274</v>
      </c>
      <c r="H570" s="25" t="s">
        <v>2075</v>
      </c>
    </row>
    <row r="571" spans="2:8" ht="18">
      <c r="B571" s="21">
        <v>569</v>
      </c>
      <c r="C571" s="27">
        <v>8542</v>
      </c>
      <c r="D571" s="42" t="s">
        <v>104</v>
      </c>
      <c r="E571" s="62" t="s">
        <v>102</v>
      </c>
      <c r="F571" s="27" t="s">
        <v>1501</v>
      </c>
      <c r="G571" s="27">
        <v>1140</v>
      </c>
      <c r="H571" s="25" t="s">
        <v>2075</v>
      </c>
    </row>
    <row r="572" spans="2:8" ht="18">
      <c r="B572" s="21">
        <v>570</v>
      </c>
      <c r="C572" s="27">
        <v>6709</v>
      </c>
      <c r="D572" s="42" t="s">
        <v>722</v>
      </c>
      <c r="E572" s="27" t="s">
        <v>1633</v>
      </c>
      <c r="F572" s="27" t="s">
        <v>1454</v>
      </c>
      <c r="G572" s="27">
        <v>1395</v>
      </c>
      <c r="H572" s="25" t="s">
        <v>2076</v>
      </c>
    </row>
    <row r="573" spans="2:8" ht="18">
      <c r="B573" s="21">
        <v>571</v>
      </c>
      <c r="C573" s="27">
        <v>7976</v>
      </c>
      <c r="D573" s="42" t="s">
        <v>362</v>
      </c>
      <c r="E573" s="27" t="s">
        <v>1635</v>
      </c>
      <c r="F573" s="27" t="s">
        <v>1447</v>
      </c>
      <c r="G573" s="27">
        <v>1073</v>
      </c>
      <c r="H573" s="25" t="s">
        <v>2077</v>
      </c>
    </row>
    <row r="574" spans="2:8" ht="18">
      <c r="B574" s="21">
        <v>572</v>
      </c>
      <c r="C574" s="27">
        <v>9274</v>
      </c>
      <c r="D574" s="42" t="s">
        <v>912</v>
      </c>
      <c r="E574" s="27" t="s">
        <v>1636</v>
      </c>
      <c r="F574" s="27" t="s">
        <v>1466</v>
      </c>
      <c r="G574" s="27">
        <v>979</v>
      </c>
      <c r="H574" s="25" t="s">
        <v>2078</v>
      </c>
    </row>
    <row r="575" spans="2:8" ht="18">
      <c r="B575" s="21">
        <v>573</v>
      </c>
      <c r="C575" s="27">
        <v>9274</v>
      </c>
      <c r="D575" s="42" t="s">
        <v>207</v>
      </c>
      <c r="E575" s="27" t="s">
        <v>1497</v>
      </c>
      <c r="F575" s="27" t="s">
        <v>1466</v>
      </c>
      <c r="G575" s="27">
        <v>1269</v>
      </c>
      <c r="H575" s="25" t="s">
        <v>2078</v>
      </c>
    </row>
    <row r="576" spans="2:8" ht="18">
      <c r="B576" s="21">
        <v>574</v>
      </c>
      <c r="C576" s="27">
        <v>9274</v>
      </c>
      <c r="D576" s="42" t="s">
        <v>233</v>
      </c>
      <c r="E576" s="27" t="s">
        <v>1430</v>
      </c>
      <c r="F576" s="27" t="s">
        <v>1466</v>
      </c>
      <c r="G576" s="27">
        <v>1213</v>
      </c>
      <c r="H576" s="25" t="s">
        <v>2079</v>
      </c>
    </row>
    <row r="577" spans="2:8" ht="18">
      <c r="B577" s="21">
        <v>575</v>
      </c>
      <c r="C577" s="27">
        <v>9274</v>
      </c>
      <c r="D577" s="42" t="s">
        <v>1059</v>
      </c>
      <c r="E577" s="27" t="s">
        <v>1060</v>
      </c>
      <c r="F577" s="27" t="s">
        <v>1436</v>
      </c>
      <c r="G577" s="27">
        <v>1255</v>
      </c>
      <c r="H577" s="25" t="s">
        <v>2079</v>
      </c>
    </row>
    <row r="578" spans="2:8" ht="18">
      <c r="B578" s="21">
        <v>576</v>
      </c>
      <c r="C578" s="27">
        <v>9274</v>
      </c>
      <c r="D578" s="54" t="s">
        <v>364</v>
      </c>
      <c r="E578" s="27" t="s">
        <v>1635</v>
      </c>
      <c r="F578" s="27" t="s">
        <v>1447</v>
      </c>
      <c r="G578" s="27">
        <v>1071</v>
      </c>
      <c r="H578" s="25" t="s">
        <v>2080</v>
      </c>
    </row>
    <row r="579" spans="2:8" ht="18">
      <c r="B579" s="21">
        <v>577</v>
      </c>
      <c r="C579" s="27">
        <v>9274</v>
      </c>
      <c r="D579" s="42" t="s">
        <v>2081</v>
      </c>
      <c r="E579" s="27" t="s">
        <v>1722</v>
      </c>
      <c r="F579" s="27" t="s">
        <v>1436</v>
      </c>
      <c r="G579" s="27">
        <v>1286</v>
      </c>
      <c r="H579" s="25" t="s">
        <v>2082</v>
      </c>
    </row>
    <row r="580" spans="2:8" ht="18">
      <c r="B580" s="21">
        <v>578</v>
      </c>
      <c r="C580" s="27">
        <v>9274</v>
      </c>
      <c r="D580" s="42" t="s">
        <v>805</v>
      </c>
      <c r="E580" s="27" t="s">
        <v>1645</v>
      </c>
      <c r="F580" s="27" t="s">
        <v>1501</v>
      </c>
      <c r="G580" s="27">
        <v>1382</v>
      </c>
      <c r="H580" s="25" t="s">
        <v>2080</v>
      </c>
    </row>
    <row r="581" spans="2:8" ht="18">
      <c r="B581" s="21">
        <v>579</v>
      </c>
      <c r="C581" s="27">
        <v>9274</v>
      </c>
      <c r="D581" s="42" t="s">
        <v>1639</v>
      </c>
      <c r="E581" s="27" t="s">
        <v>1640</v>
      </c>
      <c r="F581" s="27" t="s">
        <v>1436</v>
      </c>
      <c r="G581" s="27">
        <v>946</v>
      </c>
      <c r="H581" s="25" t="s">
        <v>2077</v>
      </c>
    </row>
    <row r="582" spans="2:8" ht="18">
      <c r="B582" s="21">
        <v>580</v>
      </c>
      <c r="C582" s="27">
        <v>9274</v>
      </c>
      <c r="D582" s="42" t="s">
        <v>2083</v>
      </c>
      <c r="E582" s="27" t="s">
        <v>1430</v>
      </c>
      <c r="F582" s="27" t="s">
        <v>1436</v>
      </c>
      <c r="G582" s="27">
        <v>1183</v>
      </c>
      <c r="H582" s="25" t="s">
        <v>2084</v>
      </c>
    </row>
    <row r="583" spans="2:8" ht="18">
      <c r="B583" s="21">
        <v>581</v>
      </c>
      <c r="C583" s="27">
        <v>9274</v>
      </c>
      <c r="D583" s="42" t="s">
        <v>211</v>
      </c>
      <c r="E583" s="27" t="s">
        <v>1497</v>
      </c>
      <c r="F583" s="27" t="s">
        <v>1466</v>
      </c>
      <c r="G583" s="27">
        <v>1298</v>
      </c>
      <c r="H583" s="25" t="s">
        <v>2084</v>
      </c>
    </row>
    <row r="584" spans="2:8" ht="18">
      <c r="B584" s="21">
        <v>582</v>
      </c>
      <c r="C584" s="27">
        <v>9274</v>
      </c>
      <c r="D584" s="42" t="s">
        <v>918</v>
      </c>
      <c r="E584" s="27" t="s">
        <v>1446</v>
      </c>
      <c r="F584" s="27" t="s">
        <v>1466</v>
      </c>
      <c r="G584" s="27">
        <v>1000</v>
      </c>
      <c r="H584" s="25" t="s">
        <v>2085</v>
      </c>
    </row>
    <row r="585" spans="2:8" ht="18">
      <c r="B585" s="21">
        <v>583</v>
      </c>
      <c r="C585" s="27">
        <v>9274</v>
      </c>
      <c r="D585" s="42" t="s">
        <v>667</v>
      </c>
      <c r="E585" s="27" t="s">
        <v>1722</v>
      </c>
      <c r="F585" s="27" t="s">
        <v>1436</v>
      </c>
      <c r="G585" s="27">
        <v>1325</v>
      </c>
      <c r="H585" s="25" t="s">
        <v>2085</v>
      </c>
    </row>
    <row r="586" spans="2:8" ht="18">
      <c r="B586" s="21">
        <v>584</v>
      </c>
      <c r="C586" s="27">
        <v>9274</v>
      </c>
      <c r="D586" s="42" t="s">
        <v>185</v>
      </c>
      <c r="E586" s="27" t="s">
        <v>1497</v>
      </c>
      <c r="F586" s="27" t="s">
        <v>1466</v>
      </c>
      <c r="G586" s="27">
        <v>1307</v>
      </c>
      <c r="H586" s="25" t="s">
        <v>2080</v>
      </c>
    </row>
    <row r="587" spans="2:8" ht="18">
      <c r="B587" s="21">
        <v>585</v>
      </c>
      <c r="C587" s="27">
        <v>9274</v>
      </c>
      <c r="D587" s="42" t="s">
        <v>479</v>
      </c>
      <c r="E587" s="27" t="s">
        <v>1435</v>
      </c>
      <c r="F587" s="27" t="s">
        <v>1436</v>
      </c>
      <c r="G587" s="27">
        <v>1462</v>
      </c>
      <c r="H587" s="25" t="s">
        <v>2086</v>
      </c>
    </row>
    <row r="588" spans="2:8" ht="18">
      <c r="B588" s="21">
        <v>586</v>
      </c>
      <c r="C588" s="27">
        <v>9274</v>
      </c>
      <c r="D588" s="42" t="s">
        <v>181</v>
      </c>
      <c r="E588" s="27" t="s">
        <v>1497</v>
      </c>
      <c r="F588" s="27" t="s">
        <v>1466</v>
      </c>
      <c r="G588" s="27">
        <v>1271</v>
      </c>
      <c r="H588" s="25" t="s">
        <v>2087</v>
      </c>
    </row>
    <row r="589" spans="2:8" ht="18">
      <c r="B589" s="21">
        <v>587</v>
      </c>
      <c r="C589" s="27">
        <v>9274</v>
      </c>
      <c r="D589" s="42" t="s">
        <v>53</v>
      </c>
      <c r="E589" s="27" t="s">
        <v>1497</v>
      </c>
      <c r="F589" s="27" t="s">
        <v>1454</v>
      </c>
      <c r="G589" s="27">
        <v>1266</v>
      </c>
      <c r="H589" s="25" t="s">
        <v>2087</v>
      </c>
    </row>
    <row r="590" spans="2:8" ht="18">
      <c r="B590" s="21">
        <v>588</v>
      </c>
      <c r="C590" s="27">
        <v>9274</v>
      </c>
      <c r="D590" s="42" t="s">
        <v>187</v>
      </c>
      <c r="E590" s="27" t="s">
        <v>1497</v>
      </c>
      <c r="F590" s="27" t="s">
        <v>1466</v>
      </c>
      <c r="G590" s="27">
        <v>1273</v>
      </c>
      <c r="H590" s="25" t="s">
        <v>2088</v>
      </c>
    </row>
    <row r="591" spans="2:8" ht="18">
      <c r="B591" s="21">
        <v>589</v>
      </c>
      <c r="C591" s="27">
        <v>9858</v>
      </c>
      <c r="D591" s="42" t="s">
        <v>730</v>
      </c>
      <c r="E591" s="27" t="s">
        <v>2015</v>
      </c>
      <c r="F591" s="27" t="s">
        <v>1454</v>
      </c>
      <c r="G591" s="27">
        <v>1661</v>
      </c>
      <c r="H591" s="25" t="s">
        <v>2089</v>
      </c>
    </row>
    <row r="592" spans="2:8" ht="18">
      <c r="B592" s="21">
        <v>590</v>
      </c>
      <c r="C592" s="27">
        <v>9331</v>
      </c>
      <c r="D592" s="42" t="s">
        <v>808</v>
      </c>
      <c r="E592" s="27" t="s">
        <v>2090</v>
      </c>
      <c r="F592" s="27" t="s">
        <v>1501</v>
      </c>
      <c r="G592" s="27">
        <v>1333</v>
      </c>
      <c r="H592" s="25" t="s">
        <v>2091</v>
      </c>
    </row>
    <row r="593" spans="2:8" ht="18">
      <c r="B593" s="21">
        <v>591</v>
      </c>
      <c r="C593" s="27">
        <v>9306</v>
      </c>
      <c r="D593" s="42" t="s">
        <v>356</v>
      </c>
      <c r="E593" s="27" t="s">
        <v>1497</v>
      </c>
      <c r="F593" s="27" t="s">
        <v>1447</v>
      </c>
      <c r="G593" s="27">
        <v>1293</v>
      </c>
      <c r="H593" s="25" t="s">
        <v>2092</v>
      </c>
    </row>
    <row r="594" spans="2:8" ht="18">
      <c r="B594" s="21">
        <v>592</v>
      </c>
      <c r="C594" s="27">
        <v>8730</v>
      </c>
      <c r="D594" s="42" t="s">
        <v>581</v>
      </c>
      <c r="E594" s="27" t="s">
        <v>1430</v>
      </c>
      <c r="F594" s="27" t="s">
        <v>1436</v>
      </c>
      <c r="G594" s="27">
        <v>1186</v>
      </c>
      <c r="H594" s="25" t="s">
        <v>2092</v>
      </c>
    </row>
    <row r="595" spans="2:8" ht="18">
      <c r="B595" s="21">
        <v>593</v>
      </c>
      <c r="C595" s="27">
        <v>9722</v>
      </c>
      <c r="D595" s="42" t="s">
        <v>465</v>
      </c>
      <c r="E595" s="27" t="s">
        <v>1435</v>
      </c>
      <c r="F595" s="27" t="s">
        <v>1436</v>
      </c>
      <c r="G595" s="27">
        <v>1435</v>
      </c>
      <c r="H595" s="25" t="s">
        <v>2093</v>
      </c>
    </row>
    <row r="596" spans="2:8" ht="18">
      <c r="B596" s="21">
        <v>594</v>
      </c>
      <c r="C596" s="27">
        <v>9258</v>
      </c>
      <c r="D596" s="42" t="s">
        <v>665</v>
      </c>
      <c r="E596" s="27" t="s">
        <v>1722</v>
      </c>
      <c r="F596" s="27" t="s">
        <v>1436</v>
      </c>
      <c r="G596" s="27">
        <v>1310</v>
      </c>
      <c r="H596" s="25" t="s">
        <v>2093</v>
      </c>
    </row>
    <row r="597" spans="2:8" ht="18">
      <c r="B597" s="21">
        <v>595</v>
      </c>
      <c r="C597" s="27">
        <v>9647</v>
      </c>
      <c r="D597" s="42" t="s">
        <v>995</v>
      </c>
      <c r="E597" s="27" t="s">
        <v>1681</v>
      </c>
      <c r="F597" s="27" t="s">
        <v>1436</v>
      </c>
      <c r="G597" s="27">
        <v>1408</v>
      </c>
      <c r="H597" s="25" t="s">
        <v>2094</v>
      </c>
    </row>
    <row r="598" spans="2:8" ht="18">
      <c r="B598" s="21">
        <v>596</v>
      </c>
      <c r="C598" s="27">
        <v>9228</v>
      </c>
      <c r="D598" s="42" t="s">
        <v>191</v>
      </c>
      <c r="E598" s="27" t="s">
        <v>1497</v>
      </c>
      <c r="F598" s="27" t="s">
        <v>1466</v>
      </c>
      <c r="G598" s="27">
        <v>1275</v>
      </c>
      <c r="H598" s="25" t="s">
        <v>2094</v>
      </c>
    </row>
    <row r="599" spans="2:8" ht="18">
      <c r="B599" s="21">
        <v>597</v>
      </c>
      <c r="C599" s="27">
        <v>8840</v>
      </c>
      <c r="D599" s="42" t="s">
        <v>1620</v>
      </c>
      <c r="E599" s="27" t="s">
        <v>2095</v>
      </c>
      <c r="F599" s="27" t="s">
        <v>1615</v>
      </c>
      <c r="G599" s="27">
        <v>1228</v>
      </c>
      <c r="H599" s="25" t="s">
        <v>2096</v>
      </c>
    </row>
    <row r="600" spans="2:8" ht="18">
      <c r="B600" s="21">
        <v>598</v>
      </c>
      <c r="C600" s="27">
        <v>8729</v>
      </c>
      <c r="D600" s="42" t="s">
        <v>579</v>
      </c>
      <c r="E600" s="27" t="s">
        <v>1430</v>
      </c>
      <c r="F600" s="27" t="s">
        <v>1436</v>
      </c>
      <c r="G600" s="27">
        <v>1188</v>
      </c>
      <c r="H600" s="25" t="s">
        <v>2076</v>
      </c>
    </row>
    <row r="601" spans="2:8" ht="18">
      <c r="B601" s="21">
        <v>599</v>
      </c>
      <c r="C601" s="27">
        <v>9732</v>
      </c>
      <c r="D601" s="42" t="s">
        <v>705</v>
      </c>
      <c r="E601" s="27" t="s">
        <v>2097</v>
      </c>
      <c r="F601" s="27" t="s">
        <v>1436</v>
      </c>
      <c r="G601" s="27">
        <v>1446</v>
      </c>
      <c r="H601" s="25" t="s">
        <v>2076</v>
      </c>
    </row>
    <row r="602" spans="2:8" ht="18">
      <c r="B602" s="21">
        <v>600</v>
      </c>
      <c r="C602" s="27">
        <v>7254</v>
      </c>
      <c r="D602" s="42" t="s">
        <v>297</v>
      </c>
      <c r="E602" s="27" t="s">
        <v>1430</v>
      </c>
      <c r="F602" s="27" t="s">
        <v>1670</v>
      </c>
      <c r="G602" s="27">
        <v>978</v>
      </c>
      <c r="H602" s="25" t="s">
        <v>2098</v>
      </c>
    </row>
    <row r="603" spans="2:8" ht="18">
      <c r="B603" s="21">
        <v>601</v>
      </c>
      <c r="C603" s="27">
        <v>9797</v>
      </c>
      <c r="D603" s="42" t="s">
        <v>2099</v>
      </c>
      <c r="E603" s="27" t="s">
        <v>2100</v>
      </c>
      <c r="F603" s="27" t="s">
        <v>1718</v>
      </c>
      <c r="G603" s="27">
        <v>1680</v>
      </c>
      <c r="H603" s="25" t="s">
        <v>2101</v>
      </c>
    </row>
    <row r="604" spans="2:8" ht="18">
      <c r="B604" s="21">
        <v>602</v>
      </c>
      <c r="C604" s="27">
        <v>7253</v>
      </c>
      <c r="D604" s="42" t="s">
        <v>956</v>
      </c>
      <c r="E604" s="27" t="s">
        <v>1636</v>
      </c>
      <c r="F604" s="27" t="s">
        <v>1498</v>
      </c>
      <c r="G604" s="27">
        <v>977</v>
      </c>
      <c r="H604" s="25" t="s">
        <v>2102</v>
      </c>
    </row>
    <row r="605" spans="2:8" ht="18">
      <c r="B605" s="21">
        <v>603</v>
      </c>
      <c r="C605" s="27">
        <v>9725</v>
      </c>
      <c r="D605" s="42" t="s">
        <v>1053</v>
      </c>
      <c r="E605" s="27" t="s">
        <v>1470</v>
      </c>
      <c r="F605" s="27" t="s">
        <v>1436</v>
      </c>
      <c r="G605" s="27">
        <v>1438</v>
      </c>
      <c r="H605" s="25" t="s">
        <v>2103</v>
      </c>
    </row>
    <row r="606" spans="2:8" ht="18">
      <c r="B606" s="21">
        <v>604</v>
      </c>
      <c r="C606" s="27">
        <v>10577</v>
      </c>
      <c r="D606" s="42" t="s">
        <v>829</v>
      </c>
      <c r="E606" s="27" t="s">
        <v>2104</v>
      </c>
      <c r="F606" s="27" t="s">
        <v>2105</v>
      </c>
      <c r="G606" s="27">
        <v>1671</v>
      </c>
      <c r="H606" s="25" t="s">
        <v>2106</v>
      </c>
    </row>
    <row r="607" spans="2:8" ht="18">
      <c r="B607" s="21">
        <v>605</v>
      </c>
      <c r="C607" s="27">
        <v>9300</v>
      </c>
      <c r="D607" s="42" t="s">
        <v>285</v>
      </c>
      <c r="E607" s="27" t="s">
        <v>1497</v>
      </c>
      <c r="F607" s="27" t="s">
        <v>1471</v>
      </c>
      <c r="G607" s="27">
        <v>1288</v>
      </c>
      <c r="H607" s="25" t="s">
        <v>1671</v>
      </c>
    </row>
    <row r="608" spans="2:8" ht="18">
      <c r="B608" s="21">
        <v>606</v>
      </c>
      <c r="C608" s="27">
        <v>8223</v>
      </c>
      <c r="D608" s="54" t="s">
        <v>569</v>
      </c>
      <c r="E608" s="27" t="s">
        <v>1430</v>
      </c>
      <c r="F608" s="27" t="s">
        <v>1436</v>
      </c>
      <c r="G608" s="27">
        <v>1119</v>
      </c>
      <c r="H608" s="25" t="s">
        <v>1671</v>
      </c>
    </row>
    <row r="609" spans="2:8" ht="18">
      <c r="B609" s="21">
        <v>607</v>
      </c>
      <c r="C609" s="27">
        <v>8141</v>
      </c>
      <c r="D609" s="42" t="s">
        <v>561</v>
      </c>
      <c r="E609" s="27" t="s">
        <v>1430</v>
      </c>
      <c r="F609" s="27" t="s">
        <v>1436</v>
      </c>
      <c r="G609" s="27">
        <v>1090</v>
      </c>
      <c r="H609" s="25" t="s">
        <v>2107</v>
      </c>
    </row>
    <row r="610" spans="2:8" ht="18">
      <c r="B610" s="21">
        <v>608</v>
      </c>
      <c r="C610" s="27">
        <v>7446</v>
      </c>
      <c r="D610" s="54" t="s">
        <v>372</v>
      </c>
      <c r="E610" s="27" t="s">
        <v>1430</v>
      </c>
      <c r="F610" s="27" t="s">
        <v>1447</v>
      </c>
      <c r="G610" s="27">
        <v>1004</v>
      </c>
      <c r="H610" s="25" t="s">
        <v>2108</v>
      </c>
    </row>
    <row r="611" spans="2:8" ht="18">
      <c r="B611" s="21">
        <v>609</v>
      </c>
      <c r="C611" s="27">
        <v>8143</v>
      </c>
      <c r="D611" s="42" t="s">
        <v>628</v>
      </c>
      <c r="E611" s="27" t="s">
        <v>1430</v>
      </c>
      <c r="F611" s="27" t="s">
        <v>1436</v>
      </c>
      <c r="G611" s="27">
        <v>1089</v>
      </c>
      <c r="H611" s="25" t="s">
        <v>2108</v>
      </c>
    </row>
    <row r="612" spans="2:8" ht="18">
      <c r="B612" s="21">
        <v>610</v>
      </c>
      <c r="C612" s="27">
        <v>9936</v>
      </c>
      <c r="D612" s="42" t="s">
        <v>811</v>
      </c>
      <c r="E612" s="27" t="s">
        <v>2090</v>
      </c>
      <c r="F612" s="27" t="s">
        <v>1501</v>
      </c>
      <c r="G612" s="27">
        <v>1510</v>
      </c>
      <c r="H612" s="25" t="s">
        <v>2109</v>
      </c>
    </row>
    <row r="613" spans="2:8" ht="18">
      <c r="B613" s="21">
        <v>611</v>
      </c>
      <c r="C613" s="27">
        <v>9364</v>
      </c>
      <c r="D613" s="42" t="s">
        <v>221</v>
      </c>
      <c r="E613" s="27" t="s">
        <v>1497</v>
      </c>
      <c r="F613" s="27" t="s">
        <v>1466</v>
      </c>
      <c r="G613" s="27">
        <v>1323</v>
      </c>
      <c r="H613" s="25" t="s">
        <v>2110</v>
      </c>
    </row>
    <row r="614" spans="2:8" ht="18">
      <c r="B614" s="21">
        <v>612</v>
      </c>
      <c r="C614" s="27">
        <v>7085</v>
      </c>
      <c r="D614" s="42" t="s">
        <v>2111</v>
      </c>
      <c r="E614" s="27" t="s">
        <v>1997</v>
      </c>
      <c r="F614" s="27" t="s">
        <v>2112</v>
      </c>
      <c r="G614" s="27">
        <v>1677</v>
      </c>
      <c r="H614" s="25" t="s">
        <v>2110</v>
      </c>
    </row>
    <row r="615" spans="2:8" ht="18">
      <c r="B615" s="21">
        <v>613</v>
      </c>
      <c r="C615" s="27">
        <v>8147</v>
      </c>
      <c r="D615" s="42" t="s">
        <v>563</v>
      </c>
      <c r="E615" s="27" t="s">
        <v>1430</v>
      </c>
      <c r="F615" s="27" t="s">
        <v>1436</v>
      </c>
      <c r="G615" s="27">
        <v>1095</v>
      </c>
      <c r="H615" s="25" t="s">
        <v>2113</v>
      </c>
    </row>
    <row r="616" spans="2:8" ht="18">
      <c r="B616" s="21">
        <v>614</v>
      </c>
      <c r="C616" s="27">
        <v>9229</v>
      </c>
      <c r="D616" s="42" t="s">
        <v>193</v>
      </c>
      <c r="E616" s="27" t="s">
        <v>1497</v>
      </c>
      <c r="F616" s="27" t="s">
        <v>1466</v>
      </c>
      <c r="G616" s="27">
        <v>1276</v>
      </c>
      <c r="H616" s="25" t="s">
        <v>2113</v>
      </c>
    </row>
    <row r="617" spans="2:8" ht="18">
      <c r="B617" s="21">
        <v>615</v>
      </c>
      <c r="C617" s="27">
        <v>6773</v>
      </c>
      <c r="D617" s="42" t="s">
        <v>965</v>
      </c>
      <c r="E617" s="27" t="s">
        <v>1681</v>
      </c>
      <c r="F617" s="27" t="s">
        <v>1436</v>
      </c>
      <c r="G617" s="27">
        <v>892</v>
      </c>
      <c r="H617" s="25" t="s">
        <v>2114</v>
      </c>
    </row>
    <row r="618" spans="2:8" ht="18">
      <c r="B618" s="21">
        <v>616</v>
      </c>
      <c r="C618" s="27">
        <v>6866</v>
      </c>
      <c r="D618" s="42" t="s">
        <v>239</v>
      </c>
      <c r="E618" s="27" t="s">
        <v>1430</v>
      </c>
      <c r="F618" s="27" t="s">
        <v>1466</v>
      </c>
      <c r="G618" s="27">
        <v>911</v>
      </c>
      <c r="H618" s="25" t="s">
        <v>2113</v>
      </c>
    </row>
    <row r="619" spans="2:8" ht="18">
      <c r="B619" s="21">
        <v>617</v>
      </c>
      <c r="C619" s="27">
        <v>7278</v>
      </c>
      <c r="D619" s="42" t="s">
        <v>915</v>
      </c>
      <c r="E619" s="27" t="s">
        <v>1430</v>
      </c>
      <c r="F619" s="27" t="s">
        <v>1466</v>
      </c>
      <c r="G619" s="27">
        <v>991</v>
      </c>
      <c r="H619" s="25" t="s">
        <v>2115</v>
      </c>
    </row>
    <row r="620" spans="2:8" ht="18">
      <c r="B620" s="21">
        <v>618</v>
      </c>
      <c r="C620" s="27">
        <v>9799</v>
      </c>
      <c r="D620" s="42" t="s">
        <v>1684</v>
      </c>
      <c r="E620" s="27" t="s">
        <v>2116</v>
      </c>
      <c r="F620" s="27" t="s">
        <v>1433</v>
      </c>
      <c r="G620" s="27">
        <v>1658</v>
      </c>
      <c r="H620" s="25" t="s">
        <v>2115</v>
      </c>
    </row>
    <row r="621" spans="2:8" ht="18">
      <c r="B621" s="21">
        <v>619</v>
      </c>
      <c r="C621" s="27">
        <v>7607</v>
      </c>
      <c r="D621" s="42" t="s">
        <v>993</v>
      </c>
      <c r="E621" s="27" t="s">
        <v>2117</v>
      </c>
      <c r="F621" s="27" t="s">
        <v>1436</v>
      </c>
      <c r="G621" s="27">
        <v>1027</v>
      </c>
      <c r="H621" s="25" t="s">
        <v>2109</v>
      </c>
    </row>
    <row r="622" spans="2:8" ht="18">
      <c r="B622" s="21">
        <v>620</v>
      </c>
      <c r="C622" s="27">
        <v>9369</v>
      </c>
      <c r="D622" s="42" t="s">
        <v>358</v>
      </c>
      <c r="E622" s="27" t="s">
        <v>1497</v>
      </c>
      <c r="F622" s="27" t="s">
        <v>1447</v>
      </c>
      <c r="G622" s="27">
        <v>1326</v>
      </c>
      <c r="H622" s="25" t="s">
        <v>2109</v>
      </c>
    </row>
    <row r="623" spans="2:8" ht="18">
      <c r="B623" s="21">
        <v>621</v>
      </c>
      <c r="C623" s="27">
        <v>8146</v>
      </c>
      <c r="D623" s="42" t="s">
        <v>630</v>
      </c>
      <c r="E623" s="27" t="s">
        <v>1430</v>
      </c>
      <c r="F623" s="61" t="s">
        <v>1474</v>
      </c>
      <c r="G623" s="27">
        <v>1092</v>
      </c>
      <c r="H623" s="25" t="s">
        <v>2103</v>
      </c>
    </row>
    <row r="624" spans="2:8" ht="18">
      <c r="B624" s="21">
        <v>622</v>
      </c>
      <c r="C624" s="27">
        <v>8211</v>
      </c>
      <c r="D624" s="42" t="s">
        <v>231</v>
      </c>
      <c r="E624" s="27" t="s">
        <v>1430</v>
      </c>
      <c r="F624" s="27" t="s">
        <v>1466</v>
      </c>
      <c r="G624" s="27">
        <v>1105</v>
      </c>
      <c r="H624" s="25" t="s">
        <v>2118</v>
      </c>
    </row>
    <row r="625" spans="2:8" ht="18">
      <c r="B625" s="21">
        <v>623</v>
      </c>
      <c r="C625" s="27">
        <v>7572</v>
      </c>
      <c r="D625" s="42" t="s">
        <v>931</v>
      </c>
      <c r="E625" s="27" t="s">
        <v>1430</v>
      </c>
      <c r="F625" s="27" t="s">
        <v>1431</v>
      </c>
      <c r="G625" s="27">
        <v>1012</v>
      </c>
      <c r="H625" s="25" t="s">
        <v>2119</v>
      </c>
    </row>
    <row r="626" spans="2:8" ht="18">
      <c r="B626" s="21">
        <v>624</v>
      </c>
      <c r="C626" s="27">
        <v>10169</v>
      </c>
      <c r="D626" s="42" t="s">
        <v>835</v>
      </c>
      <c r="E626" s="27" t="s">
        <v>1691</v>
      </c>
      <c r="F626" s="27" t="s">
        <v>1568</v>
      </c>
      <c r="G626" s="27">
        <v>1588</v>
      </c>
      <c r="H626" s="25" t="s">
        <v>2119</v>
      </c>
    </row>
    <row r="627" spans="2:8" ht="18">
      <c r="B627" s="21">
        <v>625</v>
      </c>
      <c r="C627" s="27">
        <v>7990</v>
      </c>
      <c r="D627" s="42" t="s">
        <v>227</v>
      </c>
      <c r="E627" s="27" t="s">
        <v>1430</v>
      </c>
      <c r="F627" s="27" t="s">
        <v>1466</v>
      </c>
      <c r="G627" s="27">
        <v>1074</v>
      </c>
      <c r="H627" s="25" t="s">
        <v>2120</v>
      </c>
    </row>
    <row r="628" spans="2:8" ht="18">
      <c r="B628" s="21">
        <v>626</v>
      </c>
      <c r="C628" s="27">
        <v>9254</v>
      </c>
      <c r="D628" s="42" t="s">
        <v>213</v>
      </c>
      <c r="E628" s="27" t="s">
        <v>1497</v>
      </c>
      <c r="F628" s="27" t="s">
        <v>1466</v>
      </c>
      <c r="G628" s="27">
        <v>1296</v>
      </c>
      <c r="H628" s="25" t="s">
        <v>2120</v>
      </c>
    </row>
    <row r="629" spans="2:8" ht="18">
      <c r="B629" s="21">
        <v>627</v>
      </c>
      <c r="C629" s="27">
        <v>5308</v>
      </c>
      <c r="D629" s="42" t="s">
        <v>1695</v>
      </c>
      <c r="E629" s="27" t="s">
        <v>1696</v>
      </c>
      <c r="F629" s="27" t="s">
        <v>1697</v>
      </c>
      <c r="G629" s="27">
        <v>580</v>
      </c>
      <c r="H629" s="25" t="s">
        <v>2121</v>
      </c>
    </row>
    <row r="630" spans="2:8" ht="18">
      <c r="B630" s="21">
        <v>628</v>
      </c>
      <c r="C630" s="27">
        <v>6374</v>
      </c>
      <c r="D630" s="42" t="s">
        <v>687</v>
      </c>
      <c r="E630" s="27" t="s">
        <v>2122</v>
      </c>
      <c r="F630" s="27" t="s">
        <v>1433</v>
      </c>
      <c r="G630" s="27">
        <v>1586</v>
      </c>
      <c r="H630" s="25" t="s">
        <v>2121</v>
      </c>
    </row>
    <row r="631" spans="2:8" ht="18">
      <c r="B631" s="21">
        <v>629</v>
      </c>
      <c r="C631" s="27">
        <v>8222</v>
      </c>
      <c r="D631" s="42" t="s">
        <v>321</v>
      </c>
      <c r="E631" s="27" t="s">
        <v>1991</v>
      </c>
      <c r="F631" s="27" t="s">
        <v>1624</v>
      </c>
      <c r="G631" s="27">
        <v>1118</v>
      </c>
      <c r="H631" s="25" t="s">
        <v>2106</v>
      </c>
    </row>
    <row r="632" spans="2:8" ht="18">
      <c r="B632" s="21">
        <v>630</v>
      </c>
      <c r="C632" s="27">
        <v>8134</v>
      </c>
      <c r="D632" s="42" t="s">
        <v>403</v>
      </c>
      <c r="E632" s="27" t="s">
        <v>1480</v>
      </c>
      <c r="F632" s="27" t="s">
        <v>1498</v>
      </c>
      <c r="G632" s="27">
        <v>1101</v>
      </c>
      <c r="H632" s="25" t="s">
        <v>2123</v>
      </c>
    </row>
    <row r="633" spans="2:8" ht="18">
      <c r="B633" s="21">
        <v>631</v>
      </c>
      <c r="C633" s="27">
        <v>7991</v>
      </c>
      <c r="D633" s="42" t="s">
        <v>229</v>
      </c>
      <c r="E633" s="27" t="s">
        <v>1430</v>
      </c>
      <c r="F633" s="27" t="s">
        <v>1466</v>
      </c>
      <c r="G633" s="27">
        <v>1075</v>
      </c>
      <c r="H633" s="25" t="s">
        <v>2123</v>
      </c>
    </row>
    <row r="634" spans="2:8" ht="18">
      <c r="B634" s="21">
        <v>632</v>
      </c>
      <c r="C634" s="27">
        <v>8149</v>
      </c>
      <c r="D634" s="42" t="s">
        <v>567</v>
      </c>
      <c r="E634" s="27" t="s">
        <v>1430</v>
      </c>
      <c r="F634" s="27" t="s">
        <v>1436</v>
      </c>
      <c r="G634" s="27">
        <v>1096</v>
      </c>
      <c r="H634" s="25" t="s">
        <v>2124</v>
      </c>
    </row>
    <row r="635" spans="2:8" ht="18">
      <c r="B635" s="21">
        <v>633</v>
      </c>
      <c r="C635" s="27">
        <v>8144</v>
      </c>
      <c r="D635" s="42" t="s">
        <v>669</v>
      </c>
      <c r="E635" s="27" t="s">
        <v>1430</v>
      </c>
      <c r="F635" s="27" t="s">
        <v>1457</v>
      </c>
      <c r="G635" s="27">
        <v>1094</v>
      </c>
      <c r="H635" s="25" t="s">
        <v>2124</v>
      </c>
    </row>
    <row r="636" spans="2:8" ht="18">
      <c r="B636" s="21">
        <v>634</v>
      </c>
      <c r="C636" s="27">
        <v>7371</v>
      </c>
      <c r="D636" s="42" t="s">
        <v>1706</v>
      </c>
      <c r="E636" s="27" t="s">
        <v>1707</v>
      </c>
      <c r="F636" s="27" t="s">
        <v>1568</v>
      </c>
      <c r="G636" s="27">
        <v>1002</v>
      </c>
      <c r="H636" s="25" t="s">
        <v>2125</v>
      </c>
    </row>
    <row r="637" spans="2:8" ht="18">
      <c r="B637" s="21">
        <v>635</v>
      </c>
      <c r="C637" s="27">
        <v>8732</v>
      </c>
      <c r="D637" s="42" t="s">
        <v>573</v>
      </c>
      <c r="E637" s="27" t="s">
        <v>1722</v>
      </c>
      <c r="F637" s="27" t="s">
        <v>1436</v>
      </c>
      <c r="G637" s="27">
        <v>1187</v>
      </c>
      <c r="H637" s="25" t="s">
        <v>2125</v>
      </c>
    </row>
    <row r="638" spans="2:8" ht="18">
      <c r="B638" s="21">
        <v>636</v>
      </c>
      <c r="C638" s="27">
        <v>8224</v>
      </c>
      <c r="D638" s="42" t="s">
        <v>319</v>
      </c>
      <c r="E638" s="27" t="s">
        <v>1430</v>
      </c>
      <c r="F638" s="27" t="s">
        <v>1624</v>
      </c>
      <c r="G638" s="27">
        <v>1120</v>
      </c>
      <c r="H638" s="25" t="s">
        <v>2126</v>
      </c>
    </row>
    <row r="639" spans="2:8" ht="18">
      <c r="B639" s="21">
        <v>637</v>
      </c>
      <c r="C639" s="27">
        <v>9246</v>
      </c>
      <c r="D639" s="54" t="s">
        <v>553</v>
      </c>
      <c r="E639" s="27" t="s">
        <v>1722</v>
      </c>
      <c r="F639" s="27" t="s">
        <v>1436</v>
      </c>
      <c r="G639" s="27">
        <v>1282</v>
      </c>
      <c r="H639" s="25" t="s">
        <v>2118</v>
      </c>
    </row>
    <row r="640" spans="2:8" ht="18">
      <c r="B640" s="21">
        <v>638</v>
      </c>
      <c r="C640" s="27">
        <v>7708</v>
      </c>
      <c r="D640" s="42" t="s">
        <v>853</v>
      </c>
      <c r="E640" s="27" t="s">
        <v>2127</v>
      </c>
      <c r="F640" s="27" t="s">
        <v>1711</v>
      </c>
      <c r="G640" s="27">
        <v>1507</v>
      </c>
      <c r="H640" s="25" t="s">
        <v>2128</v>
      </c>
    </row>
    <row r="641" spans="2:8" ht="18">
      <c r="B641" s="21">
        <v>639</v>
      </c>
      <c r="C641" s="27">
        <v>7979</v>
      </c>
      <c r="D641" s="42" t="s">
        <v>559</v>
      </c>
      <c r="E641" s="27" t="s">
        <v>1430</v>
      </c>
      <c r="F641" s="27" t="s">
        <v>1436</v>
      </c>
      <c r="G641" s="27">
        <v>1070</v>
      </c>
      <c r="H641" s="25" t="s">
        <v>2124</v>
      </c>
    </row>
    <row r="642" spans="2:8" ht="18">
      <c r="B642" s="21">
        <v>640</v>
      </c>
      <c r="C642" s="27">
        <v>8907</v>
      </c>
      <c r="D642" s="42" t="s">
        <v>868</v>
      </c>
      <c r="E642" s="27" t="s">
        <v>2055</v>
      </c>
      <c r="F642" s="27" t="s">
        <v>1466</v>
      </c>
      <c r="G642" s="27">
        <v>1659</v>
      </c>
      <c r="H642" s="25" t="s">
        <v>2124</v>
      </c>
    </row>
    <row r="643" spans="2:8" ht="18">
      <c r="B643" s="21">
        <v>641</v>
      </c>
      <c r="C643" s="27">
        <v>8741</v>
      </c>
      <c r="D643" s="42" t="s">
        <v>163</v>
      </c>
      <c r="E643" s="27" t="s">
        <v>1430</v>
      </c>
      <c r="F643" s="27" t="s">
        <v>1687</v>
      </c>
      <c r="G643" s="27">
        <v>1194</v>
      </c>
      <c r="H643" s="25" t="s">
        <v>2103</v>
      </c>
    </row>
    <row r="644" spans="2:8" ht="18">
      <c r="B644" s="21">
        <v>642</v>
      </c>
      <c r="C644" s="27">
        <v>10383</v>
      </c>
      <c r="D644" s="42" t="s">
        <v>1665</v>
      </c>
      <c r="E644" s="27" t="s">
        <v>1666</v>
      </c>
      <c r="F644" s="27" t="s">
        <v>1486</v>
      </c>
      <c r="G644" s="27">
        <v>1639</v>
      </c>
      <c r="H644" s="25" t="s">
        <v>2101</v>
      </c>
    </row>
    <row r="645" spans="2:8" ht="18">
      <c r="B645" s="21">
        <v>643</v>
      </c>
      <c r="C645" s="27">
        <v>8242</v>
      </c>
      <c r="D645" s="42" t="s">
        <v>958</v>
      </c>
      <c r="E645" s="27" t="s">
        <v>1675</v>
      </c>
      <c r="F645" s="27" t="s">
        <v>1619</v>
      </c>
      <c r="G645" s="27">
        <v>1121</v>
      </c>
      <c r="H645" s="25" t="s">
        <v>2110</v>
      </c>
    </row>
    <row r="646" spans="2:8" ht="18">
      <c r="B646" s="21">
        <v>644</v>
      </c>
      <c r="C646" s="27">
        <v>10118</v>
      </c>
      <c r="D646" s="42" t="s">
        <v>2129</v>
      </c>
      <c r="E646" s="27" t="s">
        <v>2130</v>
      </c>
      <c r="F646" s="27" t="s">
        <v>2131</v>
      </c>
      <c r="G646" s="27">
        <v>1641</v>
      </c>
      <c r="H646" s="25" t="s">
        <v>2132</v>
      </c>
    </row>
    <row r="647" spans="2:8" ht="18">
      <c r="B647" s="21">
        <v>645</v>
      </c>
      <c r="C647" s="27">
        <v>6798</v>
      </c>
      <c r="D647" s="42" t="s">
        <v>2133</v>
      </c>
      <c r="E647" s="27" t="s">
        <v>2134</v>
      </c>
      <c r="F647" s="27" t="s">
        <v>2135</v>
      </c>
      <c r="G647" s="27">
        <v>1611</v>
      </c>
      <c r="H647" s="25" t="s">
        <v>2109</v>
      </c>
    </row>
    <row r="648" spans="2:8" ht="18">
      <c r="B648" s="21">
        <v>646</v>
      </c>
      <c r="C648" s="27">
        <v>6809</v>
      </c>
      <c r="D648" s="42" t="s">
        <v>2136</v>
      </c>
      <c r="E648" s="27" t="s">
        <v>2137</v>
      </c>
      <c r="F648" s="27" t="s">
        <v>2138</v>
      </c>
      <c r="G648" s="27">
        <v>1676</v>
      </c>
      <c r="H648" s="25" t="s">
        <v>2110</v>
      </c>
    </row>
    <row r="649" spans="2:8" ht="18">
      <c r="B649" s="21">
        <v>647</v>
      </c>
      <c r="C649" s="27">
        <v>6520</v>
      </c>
      <c r="D649" s="42" t="s">
        <v>680</v>
      </c>
      <c r="E649" s="27" t="s">
        <v>1476</v>
      </c>
      <c r="F649" s="27" t="s">
        <v>1457</v>
      </c>
      <c r="G649" s="27">
        <v>843</v>
      </c>
      <c r="H649" s="25" t="s">
        <v>1671</v>
      </c>
    </row>
    <row r="650" spans="2:8" ht="18">
      <c r="B650" s="21">
        <v>648</v>
      </c>
      <c r="C650" s="27">
        <v>10132</v>
      </c>
      <c r="D650" s="42" t="s">
        <v>81</v>
      </c>
      <c r="E650" s="27" t="s">
        <v>1437</v>
      </c>
      <c r="F650" s="27" t="s">
        <v>1554</v>
      </c>
      <c r="G650" s="27">
        <v>1581</v>
      </c>
      <c r="H650" s="25" t="s">
        <v>2119</v>
      </c>
    </row>
    <row r="651" spans="2:8" ht="18">
      <c r="B651" s="21">
        <v>649</v>
      </c>
      <c r="C651" s="27">
        <v>9341</v>
      </c>
      <c r="D651" s="42" t="s">
        <v>225</v>
      </c>
      <c r="E651" s="27" t="s">
        <v>1497</v>
      </c>
      <c r="F651" s="27" t="s">
        <v>1466</v>
      </c>
      <c r="G651" s="27">
        <v>1318</v>
      </c>
      <c r="H651" s="25" t="s">
        <v>2139</v>
      </c>
    </row>
    <row r="652" spans="2:8" ht="18">
      <c r="B652" s="21">
        <v>650</v>
      </c>
      <c r="C652" s="27">
        <v>7570</v>
      </c>
      <c r="D652" s="42" t="s">
        <v>2140</v>
      </c>
      <c r="E652" s="27" t="s">
        <v>1430</v>
      </c>
      <c r="F652" s="27" t="s">
        <v>1619</v>
      </c>
      <c r="G652" s="27">
        <v>1010</v>
      </c>
      <c r="H652" s="25" t="s">
        <v>2139</v>
      </c>
    </row>
    <row r="653" spans="2:8" ht="18">
      <c r="B653" s="21">
        <v>651</v>
      </c>
      <c r="C653" s="27">
        <v>7978</v>
      </c>
      <c r="D653" s="42" t="s">
        <v>909</v>
      </c>
      <c r="E653" s="27" t="s">
        <v>1636</v>
      </c>
      <c r="F653" s="27" t="s">
        <v>1466</v>
      </c>
      <c r="G653" s="27">
        <v>1072</v>
      </c>
      <c r="H653" s="25" t="s">
        <v>2141</v>
      </c>
    </row>
    <row r="654" spans="2:8" ht="18">
      <c r="B654" s="21">
        <v>652</v>
      </c>
      <c r="C654" s="27">
        <v>9247</v>
      </c>
      <c r="D654" s="42" t="s">
        <v>555</v>
      </c>
      <c r="E654" s="27" t="s">
        <v>1722</v>
      </c>
      <c r="F654" s="27" t="s">
        <v>1619</v>
      </c>
      <c r="G654" s="27">
        <v>1280</v>
      </c>
      <c r="H654" s="25" t="s">
        <v>2141</v>
      </c>
    </row>
    <row r="655" spans="2:8" ht="18">
      <c r="B655" s="21">
        <v>653</v>
      </c>
      <c r="C655" s="27">
        <v>9517</v>
      </c>
      <c r="D655" s="42" t="s">
        <v>2142</v>
      </c>
      <c r="E655" s="27" t="s">
        <v>1728</v>
      </c>
      <c r="F655" s="27" t="s">
        <v>1741</v>
      </c>
      <c r="G655" s="27">
        <v>1373</v>
      </c>
      <c r="H655" s="25" t="s">
        <v>2143</v>
      </c>
    </row>
    <row r="656" spans="2:8" ht="18">
      <c r="B656" s="21">
        <v>654</v>
      </c>
      <c r="C656" s="62">
        <v>9185</v>
      </c>
      <c r="D656" s="42" t="s">
        <v>205</v>
      </c>
      <c r="E656" s="27" t="s">
        <v>1497</v>
      </c>
      <c r="F656" s="27" t="s">
        <v>1466</v>
      </c>
      <c r="G656" s="27">
        <v>1306</v>
      </c>
      <c r="H656" s="25" t="s">
        <v>2143</v>
      </c>
    </row>
    <row r="657" spans="2:8" ht="18">
      <c r="B657" s="21">
        <v>655</v>
      </c>
      <c r="C657" s="27">
        <v>9985</v>
      </c>
      <c r="D657" s="42" t="s">
        <v>770</v>
      </c>
      <c r="E657" s="27" t="s">
        <v>1714</v>
      </c>
      <c r="F657" s="27" t="s">
        <v>1715</v>
      </c>
      <c r="G657" s="27">
        <v>1536</v>
      </c>
      <c r="H657" s="25" t="s">
        <v>2144</v>
      </c>
    </row>
    <row r="658" spans="2:8" ht="18">
      <c r="B658" s="21">
        <v>656</v>
      </c>
      <c r="C658" s="27">
        <v>7568</v>
      </c>
      <c r="D658" s="42" t="s">
        <v>1075</v>
      </c>
      <c r="E658" s="27" t="s">
        <v>2145</v>
      </c>
      <c r="F658" s="27" t="s">
        <v>1741</v>
      </c>
      <c r="G658" s="27">
        <v>1008</v>
      </c>
      <c r="H658" s="25" t="s">
        <v>2144</v>
      </c>
    </row>
    <row r="659" spans="2:8" ht="18">
      <c r="B659" s="21">
        <v>657</v>
      </c>
      <c r="C659" s="27">
        <v>8742</v>
      </c>
      <c r="D659" s="42" t="s">
        <v>165</v>
      </c>
      <c r="E659" s="27" t="s">
        <v>1430</v>
      </c>
      <c r="F659" s="27" t="s">
        <v>1720</v>
      </c>
      <c r="G659" s="27">
        <v>1195</v>
      </c>
      <c r="H659" s="25" t="s">
        <v>2146</v>
      </c>
    </row>
    <row r="660" spans="2:8" ht="18">
      <c r="B660" s="21">
        <v>658</v>
      </c>
      <c r="C660" s="27">
        <v>8148</v>
      </c>
      <c r="D660" s="42" t="s">
        <v>565</v>
      </c>
      <c r="E660" s="27" t="s">
        <v>1430</v>
      </c>
      <c r="F660" s="27" t="s">
        <v>1619</v>
      </c>
      <c r="G660" s="27">
        <v>1088</v>
      </c>
      <c r="H660" s="25" t="s">
        <v>2146</v>
      </c>
    </row>
    <row r="661" spans="2:8" ht="18">
      <c r="B661" s="21">
        <v>659</v>
      </c>
      <c r="C661" s="27">
        <v>8142</v>
      </c>
      <c r="D661" s="42" t="s">
        <v>432</v>
      </c>
      <c r="E661" s="27" t="s">
        <v>1430</v>
      </c>
      <c r="F661" s="27" t="s">
        <v>1619</v>
      </c>
      <c r="G661" s="27">
        <v>1087</v>
      </c>
      <c r="H661" s="25" t="s">
        <v>2147</v>
      </c>
    </row>
    <row r="662" spans="2:8" ht="18">
      <c r="B662" s="21">
        <v>660</v>
      </c>
      <c r="C662" s="27">
        <v>6738</v>
      </c>
      <c r="D662" s="42" t="s">
        <v>946</v>
      </c>
      <c r="E662" s="27" t="s">
        <v>1444</v>
      </c>
      <c r="F662" s="27" t="s">
        <v>2148</v>
      </c>
      <c r="G662" s="27">
        <v>1662</v>
      </c>
      <c r="H662" s="25" t="s">
        <v>2149</v>
      </c>
    </row>
    <row r="663" spans="2:8" ht="18">
      <c r="B663" s="21">
        <v>661</v>
      </c>
      <c r="C663" s="27">
        <v>9531</v>
      </c>
      <c r="D663" s="42" t="s">
        <v>802</v>
      </c>
      <c r="E663" s="27" t="s">
        <v>1724</v>
      </c>
      <c r="F663" s="27" t="s">
        <v>1501</v>
      </c>
      <c r="G663" s="27">
        <v>1381</v>
      </c>
      <c r="H663" s="25" t="s">
        <v>2149</v>
      </c>
    </row>
    <row r="664" spans="2:8" ht="18">
      <c r="B664" s="21">
        <v>662</v>
      </c>
      <c r="C664" s="27">
        <v>7567</v>
      </c>
      <c r="D664" s="42" t="s">
        <v>587</v>
      </c>
      <c r="E664" s="27" t="s">
        <v>1430</v>
      </c>
      <c r="F664" s="27" t="s">
        <v>1619</v>
      </c>
      <c r="G664" s="27">
        <v>1009</v>
      </c>
      <c r="H664" s="25" t="s">
        <v>2150</v>
      </c>
    </row>
    <row r="665" spans="2:8" ht="18">
      <c r="B665" s="21">
        <v>663</v>
      </c>
      <c r="C665" s="27">
        <v>4046</v>
      </c>
      <c r="D665" s="42" t="s">
        <v>2151</v>
      </c>
      <c r="E665" s="27" t="s">
        <v>2152</v>
      </c>
      <c r="F665" s="27" t="s">
        <v>1454</v>
      </c>
      <c r="G665" s="27">
        <v>1675</v>
      </c>
      <c r="H665" s="25" t="s">
        <v>2150</v>
      </c>
    </row>
    <row r="666" spans="2:8" ht="18">
      <c r="B666" s="21">
        <v>664</v>
      </c>
      <c r="C666" s="27">
        <v>9528</v>
      </c>
      <c r="D666" s="42" t="s">
        <v>1106</v>
      </c>
      <c r="E666" s="27" t="s">
        <v>1740</v>
      </c>
      <c r="F666" s="27" t="s">
        <v>1741</v>
      </c>
      <c r="G666" s="27">
        <v>1378</v>
      </c>
      <c r="H666" s="25" t="s">
        <v>2153</v>
      </c>
    </row>
    <row r="667" spans="2:8" ht="18">
      <c r="B667" s="21">
        <v>665</v>
      </c>
      <c r="C667" s="27">
        <v>6944</v>
      </c>
      <c r="D667" s="42" t="s">
        <v>541</v>
      </c>
      <c r="E667" s="27" t="s">
        <v>1430</v>
      </c>
      <c r="F667" s="27" t="s">
        <v>1619</v>
      </c>
      <c r="G667" s="27">
        <v>1427</v>
      </c>
      <c r="H667" s="25" t="s">
        <v>2154</v>
      </c>
    </row>
    <row r="668" spans="2:8" ht="18">
      <c r="B668" s="21">
        <v>666</v>
      </c>
      <c r="C668" s="27">
        <v>5731</v>
      </c>
      <c r="D668" s="42" t="s">
        <v>1109</v>
      </c>
      <c r="E668" s="27" t="s">
        <v>1726</v>
      </c>
      <c r="F668" s="27" t="s">
        <v>1615</v>
      </c>
      <c r="G668" s="27">
        <v>676</v>
      </c>
      <c r="H668" s="25" t="s">
        <v>2154</v>
      </c>
    </row>
    <row r="669" spans="2:8" ht="18">
      <c r="B669" s="21">
        <v>667</v>
      </c>
      <c r="C669" s="27">
        <v>9815</v>
      </c>
      <c r="D669" s="42" t="s">
        <v>473</v>
      </c>
      <c r="E669" s="27" t="s">
        <v>1435</v>
      </c>
      <c r="F669" s="27" t="s">
        <v>1619</v>
      </c>
      <c r="G669" s="27">
        <v>1458</v>
      </c>
      <c r="H669" s="25" t="s">
        <v>2155</v>
      </c>
    </row>
    <row r="670" spans="2:8" ht="18">
      <c r="B670" s="21">
        <v>668</v>
      </c>
      <c r="C670" s="27">
        <v>9301</v>
      </c>
      <c r="D670" s="42" t="s">
        <v>287</v>
      </c>
      <c r="E670" s="27" t="s">
        <v>1497</v>
      </c>
      <c r="F670" s="27" t="s">
        <v>1670</v>
      </c>
      <c r="G670" s="27">
        <v>1292</v>
      </c>
      <c r="H670" s="25" t="s">
        <v>2155</v>
      </c>
    </row>
    <row r="671" spans="2:8" ht="18">
      <c r="B671" s="21">
        <v>669</v>
      </c>
      <c r="C671" s="27">
        <v>8837</v>
      </c>
      <c r="D671" s="42" t="s">
        <v>1006</v>
      </c>
      <c r="E671" s="27" t="s">
        <v>1592</v>
      </c>
      <c r="F671" s="27" t="s">
        <v>1619</v>
      </c>
      <c r="G671" s="27">
        <v>1199</v>
      </c>
      <c r="H671" s="25" t="s">
        <v>2156</v>
      </c>
    </row>
    <row r="672" spans="2:8" ht="18">
      <c r="B672" s="21">
        <v>670</v>
      </c>
      <c r="C672" s="27">
        <v>9818</v>
      </c>
      <c r="D672" s="42" t="s">
        <v>615</v>
      </c>
      <c r="E672" s="27" t="s">
        <v>1435</v>
      </c>
      <c r="F672" s="27" t="s">
        <v>1619</v>
      </c>
      <c r="G672" s="27">
        <v>1461</v>
      </c>
      <c r="H672" s="25" t="s">
        <v>2156</v>
      </c>
    </row>
    <row r="673" spans="2:8" ht="18">
      <c r="B673" s="21">
        <v>671</v>
      </c>
      <c r="C673" s="27">
        <v>7261</v>
      </c>
      <c r="D673" s="42" t="s">
        <v>583</v>
      </c>
      <c r="E673" s="27" t="s">
        <v>1430</v>
      </c>
      <c r="F673" s="27" t="s">
        <v>1619</v>
      </c>
      <c r="G673" s="27">
        <v>982</v>
      </c>
      <c r="H673" s="25" t="s">
        <v>2156</v>
      </c>
    </row>
    <row r="674" spans="2:8" ht="18">
      <c r="B674" s="21">
        <v>672</v>
      </c>
      <c r="C674" s="27">
        <v>9234</v>
      </c>
      <c r="D674" s="42" t="s">
        <v>197</v>
      </c>
      <c r="E674" s="27" t="s">
        <v>1497</v>
      </c>
      <c r="F674" s="27" t="s">
        <v>1466</v>
      </c>
      <c r="G674" s="27">
        <v>1278</v>
      </c>
      <c r="H674" s="25" t="s">
        <v>2157</v>
      </c>
    </row>
    <row r="675" spans="2:8" ht="18">
      <c r="B675" s="21">
        <v>673</v>
      </c>
      <c r="C675" s="27">
        <v>9308</v>
      </c>
      <c r="D675" s="42" t="s">
        <v>1062</v>
      </c>
      <c r="E675" s="27" t="s">
        <v>1060</v>
      </c>
      <c r="F675" s="27" t="s">
        <v>1619</v>
      </c>
      <c r="G675" s="27">
        <v>1313</v>
      </c>
      <c r="H675" s="25" t="s">
        <v>2158</v>
      </c>
    </row>
    <row r="676" spans="2:8" ht="18">
      <c r="B676" s="21">
        <v>674</v>
      </c>
      <c r="C676" s="27">
        <v>5732</v>
      </c>
      <c r="D676" s="42" t="s">
        <v>1028</v>
      </c>
      <c r="E676" s="27" t="s">
        <v>1726</v>
      </c>
      <c r="F676" s="27" t="s">
        <v>1619</v>
      </c>
      <c r="G676" s="27">
        <v>678</v>
      </c>
      <c r="H676" s="25" t="s">
        <v>2159</v>
      </c>
    </row>
    <row r="677" spans="2:8" ht="18">
      <c r="B677" s="21">
        <v>675</v>
      </c>
      <c r="C677" s="27">
        <v>9180</v>
      </c>
      <c r="D677" s="42" t="s">
        <v>203</v>
      </c>
      <c r="E677" s="27" t="s">
        <v>1497</v>
      </c>
      <c r="F677" s="27" t="s">
        <v>1466</v>
      </c>
      <c r="G677" s="27">
        <v>1309</v>
      </c>
      <c r="H677" s="25" t="s">
        <v>2160</v>
      </c>
    </row>
    <row r="678" spans="2:8" ht="18">
      <c r="B678" s="21">
        <v>676</v>
      </c>
      <c r="C678" s="27">
        <v>7556</v>
      </c>
      <c r="D678" s="42" t="s">
        <v>1009</v>
      </c>
      <c r="E678" s="27" t="s">
        <v>1728</v>
      </c>
      <c r="F678" s="27" t="s">
        <v>1619</v>
      </c>
      <c r="G678" s="27">
        <v>1022</v>
      </c>
      <c r="H678" s="25" t="s">
        <v>2160</v>
      </c>
    </row>
    <row r="679" spans="2:8" ht="18">
      <c r="B679" s="21">
        <v>677</v>
      </c>
      <c r="C679" s="27">
        <v>4401</v>
      </c>
      <c r="D679" s="42" t="s">
        <v>437</v>
      </c>
      <c r="E679" s="27" t="s">
        <v>1476</v>
      </c>
      <c r="F679" s="27" t="s">
        <v>1413</v>
      </c>
      <c r="G679" s="27">
        <v>498</v>
      </c>
      <c r="H679" s="25" t="s">
        <v>2161</v>
      </c>
    </row>
    <row r="680" spans="2:8" ht="18">
      <c r="B680" s="21">
        <v>678</v>
      </c>
      <c r="C680" s="27">
        <v>7360</v>
      </c>
      <c r="D680" s="42" t="s">
        <v>585</v>
      </c>
      <c r="E680" s="27" t="s">
        <v>1430</v>
      </c>
      <c r="F680" s="27" t="s">
        <v>1619</v>
      </c>
      <c r="G680" s="27">
        <v>1001</v>
      </c>
      <c r="H680" s="25" t="s">
        <v>2161</v>
      </c>
    </row>
    <row r="681" spans="2:8" ht="18">
      <c r="B681" s="21">
        <v>679</v>
      </c>
      <c r="C681" s="27">
        <v>9726</v>
      </c>
      <c r="D681" s="42" t="s">
        <v>1055</v>
      </c>
      <c r="E681" s="27" t="s">
        <v>1470</v>
      </c>
      <c r="F681" s="27" t="s">
        <v>1619</v>
      </c>
      <c r="G681" s="27">
        <v>1439</v>
      </c>
      <c r="H681" s="25" t="s">
        <v>2162</v>
      </c>
    </row>
    <row r="682" spans="2:8" ht="18">
      <c r="B682" s="21">
        <v>680</v>
      </c>
      <c r="C682" s="27">
        <v>9738</v>
      </c>
      <c r="D682" s="42" t="s">
        <v>467</v>
      </c>
      <c r="E682" s="27" t="s">
        <v>1435</v>
      </c>
      <c r="F682" s="27" t="s">
        <v>1619</v>
      </c>
      <c r="G682" s="27">
        <v>1444</v>
      </c>
      <c r="H682" s="25" t="s">
        <v>2163</v>
      </c>
    </row>
    <row r="683" spans="2:8" ht="18">
      <c r="B683" s="21">
        <v>681</v>
      </c>
      <c r="C683" s="27">
        <v>8712</v>
      </c>
      <c r="D683" s="42" t="s">
        <v>1117</v>
      </c>
      <c r="E683" s="27" t="s">
        <v>2164</v>
      </c>
      <c r="F683" s="27" t="s">
        <v>1736</v>
      </c>
      <c r="G683" s="27">
        <v>1657</v>
      </c>
      <c r="H683" s="25" t="s">
        <v>2163</v>
      </c>
    </row>
    <row r="684" spans="2:8" ht="18">
      <c r="B684" s="21">
        <v>682</v>
      </c>
      <c r="C684" s="27">
        <v>10336</v>
      </c>
      <c r="D684" s="42" t="s">
        <v>394</v>
      </c>
      <c r="E684" s="27" t="s">
        <v>1902</v>
      </c>
      <c r="F684" s="27" t="s">
        <v>1697</v>
      </c>
      <c r="G684" s="27">
        <v>1636</v>
      </c>
      <c r="H684" s="25" t="s">
        <v>2163</v>
      </c>
    </row>
    <row r="685" spans="2:8" ht="18">
      <c r="B685" s="21">
        <v>683</v>
      </c>
      <c r="C685" s="27">
        <v>9370</v>
      </c>
      <c r="D685" s="42" t="s">
        <v>159</v>
      </c>
      <c r="E685" s="27" t="s">
        <v>1497</v>
      </c>
      <c r="F685" s="27" t="s">
        <v>1677</v>
      </c>
      <c r="G685" s="27">
        <v>1327</v>
      </c>
      <c r="H685" s="25" t="s">
        <v>2165</v>
      </c>
    </row>
  </sheetData>
  <conditionalFormatting sqref="C3:C13">
    <cfRule type="cellIs" dxfId="32" priority="28" operator="equal">
      <formula>7937</formula>
    </cfRule>
  </conditionalFormatting>
  <conditionalFormatting sqref="C15:C22">
    <cfRule type="cellIs" dxfId="31" priority="26" operator="equal">
      <formula>7937</formula>
    </cfRule>
  </conditionalFormatting>
  <conditionalFormatting sqref="C24">
    <cfRule type="cellIs" dxfId="30" priority="27" operator="equal">
      <formula>7937</formula>
    </cfRule>
  </conditionalFormatting>
  <conditionalFormatting sqref="C26:C41">
    <cfRule type="cellIs" dxfId="29" priority="29" operator="equal">
      <formula>7937</formula>
    </cfRule>
  </conditionalFormatting>
  <conditionalFormatting sqref="C44:C45">
    <cfRule type="cellIs" dxfId="28" priority="25" operator="equal">
      <formula>7937</formula>
    </cfRule>
  </conditionalFormatting>
  <conditionalFormatting sqref="C47:C54 C57:C64 C66:C75">
    <cfRule type="cellIs" dxfId="27" priority="24" operator="equal">
      <formula>7937</formula>
    </cfRule>
  </conditionalFormatting>
  <conditionalFormatting sqref="C77:C87">
    <cfRule type="cellIs" dxfId="26" priority="22" operator="equal">
      <formula>7937</formula>
    </cfRule>
  </conditionalFormatting>
  <conditionalFormatting sqref="C89:C97">
    <cfRule type="cellIs" dxfId="25" priority="21" operator="equal">
      <formula>7937</formula>
    </cfRule>
  </conditionalFormatting>
  <conditionalFormatting sqref="C102:C103 C105:C111">
    <cfRule type="cellIs" dxfId="24" priority="23" operator="equal">
      <formula>7937</formula>
    </cfRule>
  </conditionalFormatting>
  <conditionalFormatting sqref="C113:C127">
    <cfRule type="cellIs" dxfId="23" priority="19" operator="equal">
      <formula>7937</formula>
    </cfRule>
  </conditionalFormatting>
  <conditionalFormatting sqref="C129:C142">
    <cfRule type="cellIs" dxfId="22" priority="20" operator="equal">
      <formula>7937</formula>
    </cfRule>
  </conditionalFormatting>
  <conditionalFormatting sqref="C229">
    <cfRule type="cellIs" dxfId="21" priority="1" operator="equal">
      <formula>7937</formula>
    </cfRule>
  </conditionalFormatting>
  <conditionalFormatting sqref="C323">
    <cfRule type="cellIs" dxfId="20" priority="2" operator="equal">
      <formula>7937</formula>
    </cfRule>
  </conditionalFormatting>
  <conditionalFormatting sqref="C326:C328">
    <cfRule type="cellIs" dxfId="19" priority="4" operator="equal">
      <formula>7937</formula>
    </cfRule>
  </conditionalFormatting>
  <conditionalFormatting sqref="C330">
    <cfRule type="cellIs" dxfId="18" priority="3" operator="equal">
      <formula>7937</formula>
    </cfRule>
  </conditionalFormatting>
  <conditionalFormatting sqref="C356">
    <cfRule type="cellIs" dxfId="17" priority="5" operator="equal">
      <formula>7937</formula>
    </cfRule>
  </conditionalFormatting>
  <conditionalFormatting sqref="C368">
    <cfRule type="cellIs" dxfId="16" priority="7" operator="equal">
      <formula>7937</formula>
    </cfRule>
  </conditionalFormatting>
  <conditionalFormatting sqref="C390">
    <cfRule type="cellIs" dxfId="15" priority="8" operator="equal">
      <formula>7937</formula>
    </cfRule>
  </conditionalFormatting>
  <conditionalFormatting sqref="C392:C396">
    <cfRule type="cellIs" dxfId="14" priority="6" operator="equal">
      <formula>7937</formula>
    </cfRule>
  </conditionalFormatting>
  <conditionalFormatting sqref="C398:C400">
    <cfRule type="cellIs" dxfId="13" priority="13" operator="equal">
      <formula>7937</formula>
    </cfRule>
  </conditionalFormatting>
  <conditionalFormatting sqref="C402:C408">
    <cfRule type="cellIs" dxfId="12" priority="12" operator="equal">
      <formula>7937</formula>
    </cfRule>
  </conditionalFormatting>
  <conditionalFormatting sqref="C410:C421">
    <cfRule type="cellIs" dxfId="11" priority="9" operator="equal">
      <formula>7937</formula>
    </cfRule>
  </conditionalFormatting>
  <conditionalFormatting sqref="C423:C430">
    <cfRule type="cellIs" dxfId="10" priority="11" operator="equal">
      <formula>7937</formula>
    </cfRule>
  </conditionalFormatting>
  <conditionalFormatting sqref="C432:C441">
    <cfRule type="cellIs" dxfId="9" priority="10" operator="equal">
      <formula>7937</formula>
    </cfRule>
  </conditionalFormatting>
  <conditionalFormatting sqref="C443:C457">
    <cfRule type="cellIs" dxfId="8" priority="15" operator="equal">
      <formula>7937</formula>
    </cfRule>
  </conditionalFormatting>
  <conditionalFormatting sqref="C459:C477">
    <cfRule type="cellIs" dxfId="7" priority="14" operator="equal">
      <formula>7937</formula>
    </cfRule>
  </conditionalFormatting>
  <conditionalFormatting sqref="C480:C481 C483:C496 C500:C511">
    <cfRule type="cellIs" dxfId="6" priority="17" operator="equal">
      <formula>7937</formula>
    </cfRule>
  </conditionalFormatting>
  <conditionalFormatting sqref="C498">
    <cfRule type="cellIs" dxfId="5" priority="18" operator="equal">
      <formula>7937</formula>
    </cfRule>
  </conditionalFormatting>
  <conditionalFormatting sqref="C513:C557">
    <cfRule type="cellIs" dxfId="4" priority="16" operator="equal">
      <formula>7937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9"/>
  <sheetViews>
    <sheetView tabSelected="1" workbookViewId="0">
      <selection activeCell="F25" sqref="F25"/>
    </sheetView>
  </sheetViews>
  <sheetFormatPr defaultColWidth="14.44140625" defaultRowHeight="15" customHeight="1"/>
  <cols>
    <col min="1" max="8" width="24.6640625" customWidth="1"/>
    <col min="9" max="11" width="8.6640625" customWidth="1"/>
  </cols>
  <sheetData>
    <row r="1" spans="1:8" ht="30" customHeight="1">
      <c r="A1" s="4" t="s">
        <v>1</v>
      </c>
    </row>
    <row r="3" spans="1:8" ht="24.75" customHeight="1">
      <c r="A3" s="5" t="s">
        <v>2</v>
      </c>
      <c r="B3" s="5" t="s">
        <v>3</v>
      </c>
      <c r="C3" s="5" t="s">
        <v>4</v>
      </c>
      <c r="D3" s="5" t="s">
        <v>5</v>
      </c>
      <c r="E3" s="5" t="s">
        <v>684</v>
      </c>
      <c r="F3" s="5" t="s">
        <v>2167</v>
      </c>
      <c r="G3" s="5" t="s">
        <v>685</v>
      </c>
      <c r="H3" s="5" t="s">
        <v>8</v>
      </c>
    </row>
    <row r="4" spans="1:8" ht="14.4" customHeight="1">
      <c r="A4" t="s">
        <v>686</v>
      </c>
      <c r="B4" t="s">
        <v>687</v>
      </c>
      <c r="C4" t="s">
        <v>688</v>
      </c>
      <c r="D4" t="s">
        <v>12</v>
      </c>
      <c r="E4">
        <v>2022</v>
      </c>
      <c r="F4" t="s">
        <v>689</v>
      </c>
      <c r="G4">
        <f t="shared" ref="G4:G67" si="0">IF(ISBLANK(E4), "", IF(OR(F4="First aid (M)", F4="First aid (L)"), "Lifetime", IF(F4="First aid (V)", E4+5, E4+3)))</f>
        <v>2025</v>
      </c>
      <c r="H4" t="str">
        <f t="shared" ref="H4:H67" ca="1" si="1">IF(ISBLANK(G4), "", IF(G4="Lifetime", "Valid", IF(YEAR(TODAY())&gt;=G4, "Due", "Valid")))</f>
        <v>Due</v>
      </c>
    </row>
    <row r="5" spans="1:8" ht="14.4" customHeight="1">
      <c r="A5" t="s">
        <v>690</v>
      </c>
      <c r="B5" s="17" t="s">
        <v>691</v>
      </c>
      <c r="C5" t="s">
        <v>692</v>
      </c>
      <c r="D5" t="s">
        <v>12</v>
      </c>
      <c r="E5">
        <v>2022</v>
      </c>
      <c r="F5" t="s">
        <v>693</v>
      </c>
      <c r="G5">
        <f t="shared" si="0"/>
        <v>2027</v>
      </c>
      <c r="H5" t="str">
        <f t="shared" ca="1" si="1"/>
        <v>Valid</v>
      </c>
    </row>
    <row r="6" spans="1:8" ht="14.4" customHeight="1">
      <c r="A6" t="s">
        <v>9</v>
      </c>
      <c r="B6" t="s">
        <v>10</v>
      </c>
      <c r="C6" t="s">
        <v>11</v>
      </c>
      <c r="D6" t="s">
        <v>12</v>
      </c>
      <c r="E6">
        <v>2023</v>
      </c>
      <c r="F6" t="s">
        <v>689</v>
      </c>
      <c r="G6">
        <f t="shared" si="0"/>
        <v>2026</v>
      </c>
      <c r="H6" t="str">
        <f t="shared" ca="1" si="1"/>
        <v>Due</v>
      </c>
    </row>
    <row r="7" spans="1:8" ht="14.4" customHeight="1">
      <c r="A7" t="s">
        <v>13</v>
      </c>
      <c r="B7" t="s">
        <v>14</v>
      </c>
      <c r="C7" t="s">
        <v>15</v>
      </c>
      <c r="D7" t="s">
        <v>12</v>
      </c>
      <c r="E7">
        <v>2018</v>
      </c>
      <c r="F7" t="s">
        <v>689</v>
      </c>
      <c r="G7">
        <f t="shared" si="0"/>
        <v>2021</v>
      </c>
      <c r="H7" t="str">
        <f t="shared" ca="1" si="1"/>
        <v>Due</v>
      </c>
    </row>
    <row r="8" spans="1:8" ht="14.4" customHeight="1">
      <c r="A8" t="s">
        <v>16</v>
      </c>
      <c r="B8" t="s">
        <v>17</v>
      </c>
      <c r="C8" t="s">
        <v>15</v>
      </c>
      <c r="D8" t="s">
        <v>12</v>
      </c>
      <c r="E8">
        <v>2023</v>
      </c>
      <c r="F8" t="s">
        <v>689</v>
      </c>
      <c r="G8">
        <f t="shared" si="0"/>
        <v>2026</v>
      </c>
      <c r="H8" t="str">
        <f t="shared" ca="1" si="1"/>
        <v>Due</v>
      </c>
    </row>
    <row r="9" spans="1:8" ht="14.4" customHeight="1">
      <c r="A9" t="s">
        <v>18</v>
      </c>
      <c r="B9" t="s">
        <v>19</v>
      </c>
      <c r="C9" t="s">
        <v>20</v>
      </c>
      <c r="D9" t="s">
        <v>12</v>
      </c>
      <c r="E9">
        <v>2019</v>
      </c>
      <c r="F9" t="s">
        <v>689</v>
      </c>
      <c r="G9">
        <f t="shared" si="0"/>
        <v>2022</v>
      </c>
      <c r="H9" t="str">
        <f t="shared" ca="1" si="1"/>
        <v>Due</v>
      </c>
    </row>
    <row r="10" spans="1:8" ht="14.4" customHeight="1">
      <c r="A10" t="s">
        <v>694</v>
      </c>
      <c r="B10" t="s">
        <v>695</v>
      </c>
      <c r="C10" t="s">
        <v>696</v>
      </c>
      <c r="D10" t="s">
        <v>126</v>
      </c>
      <c r="G10" t="str">
        <f t="shared" si="0"/>
        <v/>
      </c>
      <c r="H10" t="str">
        <f t="shared" ca="1" si="1"/>
        <v>Valid</v>
      </c>
    </row>
    <row r="11" spans="1:8" ht="14.4" customHeight="1">
      <c r="A11" t="s">
        <v>697</v>
      </c>
      <c r="B11" t="s">
        <v>698</v>
      </c>
      <c r="C11" t="s">
        <v>699</v>
      </c>
      <c r="D11" t="s">
        <v>700</v>
      </c>
      <c r="E11">
        <v>2021</v>
      </c>
      <c r="F11" t="s">
        <v>689</v>
      </c>
      <c r="G11">
        <f t="shared" si="0"/>
        <v>2024</v>
      </c>
      <c r="H11" t="str">
        <f t="shared" ca="1" si="1"/>
        <v>Due</v>
      </c>
    </row>
    <row r="12" spans="1:8" ht="14.4" customHeight="1">
      <c r="A12" t="s">
        <v>701</v>
      </c>
      <c r="B12" t="s">
        <v>702</v>
      </c>
      <c r="C12" t="s">
        <v>703</v>
      </c>
      <c r="D12" t="s">
        <v>700</v>
      </c>
      <c r="E12">
        <v>2024</v>
      </c>
      <c r="F12" t="s">
        <v>689</v>
      </c>
      <c r="G12">
        <f t="shared" si="0"/>
        <v>2027</v>
      </c>
      <c r="H12" t="str">
        <f t="shared" ca="1" si="1"/>
        <v>Valid</v>
      </c>
    </row>
    <row r="13" spans="1:8" ht="14.4" customHeight="1">
      <c r="A13" t="s">
        <v>704</v>
      </c>
      <c r="B13" t="s">
        <v>705</v>
      </c>
      <c r="C13" t="s">
        <v>706</v>
      </c>
      <c r="D13" t="s">
        <v>700</v>
      </c>
      <c r="G13" t="str">
        <f t="shared" si="0"/>
        <v/>
      </c>
      <c r="H13" t="str">
        <f t="shared" ca="1" si="1"/>
        <v>Valid</v>
      </c>
    </row>
    <row r="14" spans="1:8" ht="14.4" customHeight="1">
      <c r="A14" t="s">
        <v>707</v>
      </c>
      <c r="B14" t="s">
        <v>708</v>
      </c>
      <c r="C14" t="s">
        <v>709</v>
      </c>
      <c r="D14" t="s">
        <v>24</v>
      </c>
      <c r="G14" t="str">
        <f t="shared" si="0"/>
        <v/>
      </c>
      <c r="H14" t="str">
        <f t="shared" ca="1" si="1"/>
        <v>Valid</v>
      </c>
    </row>
    <row r="15" spans="1:8" ht="14.4" customHeight="1">
      <c r="A15" t="s">
        <v>710</v>
      </c>
      <c r="B15" t="s">
        <v>711</v>
      </c>
      <c r="C15" t="s">
        <v>709</v>
      </c>
      <c r="D15" t="s">
        <v>24</v>
      </c>
      <c r="E15">
        <v>2026</v>
      </c>
      <c r="F15" t="s">
        <v>689</v>
      </c>
      <c r="G15">
        <f t="shared" si="0"/>
        <v>2029</v>
      </c>
      <c r="H15" t="str">
        <f t="shared" ca="1" si="1"/>
        <v>Valid</v>
      </c>
    </row>
    <row r="16" spans="1:8" ht="14.4" customHeight="1">
      <c r="A16" t="s">
        <v>712</v>
      </c>
      <c r="B16" t="s">
        <v>713</v>
      </c>
      <c r="C16" t="s">
        <v>714</v>
      </c>
      <c r="D16" t="s">
        <v>24</v>
      </c>
      <c r="G16" t="str">
        <f t="shared" si="0"/>
        <v/>
      </c>
      <c r="H16" t="str">
        <f t="shared" ca="1" si="1"/>
        <v>Valid</v>
      </c>
    </row>
    <row r="17" spans="1:8" ht="14.4" customHeight="1">
      <c r="A17" t="s">
        <v>21</v>
      </c>
      <c r="B17" t="s">
        <v>22</v>
      </c>
      <c r="C17" t="s">
        <v>23</v>
      </c>
      <c r="D17" t="s">
        <v>24</v>
      </c>
      <c r="E17">
        <v>2018</v>
      </c>
      <c r="F17" t="s">
        <v>689</v>
      </c>
      <c r="G17">
        <f t="shared" si="0"/>
        <v>2021</v>
      </c>
      <c r="H17" t="str">
        <f t="shared" ca="1" si="1"/>
        <v>Due</v>
      </c>
    </row>
    <row r="18" spans="1:8" ht="14.4" customHeight="1">
      <c r="A18" t="s">
        <v>715</v>
      </c>
      <c r="B18" t="s">
        <v>716</v>
      </c>
      <c r="C18" t="s">
        <v>717</v>
      </c>
      <c r="D18" t="s">
        <v>28</v>
      </c>
      <c r="E18">
        <v>2024</v>
      </c>
      <c r="F18" t="s">
        <v>689</v>
      </c>
      <c r="G18">
        <f t="shared" si="0"/>
        <v>2027</v>
      </c>
      <c r="H18" t="str">
        <f t="shared" ca="1" si="1"/>
        <v>Valid</v>
      </c>
    </row>
    <row r="19" spans="1:8" ht="14.4" customHeight="1">
      <c r="A19" t="s">
        <v>718</v>
      </c>
      <c r="B19" t="s">
        <v>719</v>
      </c>
      <c r="C19" t="s">
        <v>720</v>
      </c>
      <c r="D19" t="s">
        <v>28</v>
      </c>
      <c r="G19" t="str">
        <f t="shared" si="0"/>
        <v/>
      </c>
      <c r="H19" t="str">
        <f t="shared" ca="1" si="1"/>
        <v>Valid</v>
      </c>
    </row>
    <row r="20" spans="1:8" ht="14.4" customHeight="1">
      <c r="A20" t="s">
        <v>721</v>
      </c>
      <c r="B20" t="s">
        <v>722</v>
      </c>
      <c r="C20" t="s">
        <v>723</v>
      </c>
      <c r="D20" t="s">
        <v>28</v>
      </c>
      <c r="E20">
        <v>2018</v>
      </c>
      <c r="F20" t="s">
        <v>689</v>
      </c>
      <c r="G20">
        <f t="shared" si="0"/>
        <v>2021</v>
      </c>
      <c r="H20" t="str">
        <f t="shared" ca="1" si="1"/>
        <v>Due</v>
      </c>
    </row>
    <row r="21" spans="1:8" ht="15.75" customHeight="1">
      <c r="A21" t="s">
        <v>724</v>
      </c>
      <c r="B21" t="s">
        <v>725</v>
      </c>
      <c r="C21" t="s">
        <v>723</v>
      </c>
      <c r="D21" t="s">
        <v>28</v>
      </c>
      <c r="G21" t="str">
        <f t="shared" si="0"/>
        <v/>
      </c>
      <c r="H21" t="str">
        <f t="shared" ca="1" si="1"/>
        <v>Valid</v>
      </c>
    </row>
    <row r="22" spans="1:8" ht="15.75" customHeight="1">
      <c r="A22" t="s">
        <v>726</v>
      </c>
      <c r="B22" t="s">
        <v>727</v>
      </c>
      <c r="C22" t="s">
        <v>728</v>
      </c>
      <c r="D22" t="s">
        <v>28</v>
      </c>
      <c r="G22" t="str">
        <f t="shared" si="0"/>
        <v/>
      </c>
      <c r="H22" t="str">
        <f t="shared" ca="1" si="1"/>
        <v>Valid</v>
      </c>
    </row>
    <row r="23" spans="1:8" ht="15.75" customHeight="1">
      <c r="A23" t="s">
        <v>729</v>
      </c>
      <c r="B23" t="s">
        <v>730</v>
      </c>
      <c r="C23" t="s">
        <v>728</v>
      </c>
      <c r="D23" t="s">
        <v>28</v>
      </c>
      <c r="E23">
        <v>2026</v>
      </c>
      <c r="F23" t="s">
        <v>689</v>
      </c>
      <c r="G23">
        <f t="shared" si="0"/>
        <v>2029</v>
      </c>
      <c r="H23" t="str">
        <f t="shared" ca="1" si="1"/>
        <v>Valid</v>
      </c>
    </row>
    <row r="24" spans="1:8" ht="15.75" customHeight="1">
      <c r="A24" t="s">
        <v>731</v>
      </c>
      <c r="B24" t="s">
        <v>732</v>
      </c>
      <c r="C24" t="s">
        <v>728</v>
      </c>
      <c r="D24" t="s">
        <v>28</v>
      </c>
      <c r="G24" t="str">
        <f t="shared" si="0"/>
        <v/>
      </c>
      <c r="H24" t="str">
        <f t="shared" ca="1" si="1"/>
        <v>Valid</v>
      </c>
    </row>
    <row r="25" spans="1:8" ht="15.75" customHeight="1">
      <c r="A25" t="s">
        <v>733</v>
      </c>
      <c r="B25" t="s">
        <v>734</v>
      </c>
      <c r="C25" t="s">
        <v>735</v>
      </c>
      <c r="D25" t="s">
        <v>28</v>
      </c>
      <c r="G25" t="str">
        <f t="shared" si="0"/>
        <v/>
      </c>
      <c r="H25" t="str">
        <f t="shared" ca="1" si="1"/>
        <v>Valid</v>
      </c>
    </row>
    <row r="26" spans="1:8" ht="15.75" customHeight="1">
      <c r="A26" t="s">
        <v>736</v>
      </c>
      <c r="B26" t="s">
        <v>737</v>
      </c>
      <c r="C26" t="s">
        <v>735</v>
      </c>
      <c r="D26" t="s">
        <v>152</v>
      </c>
      <c r="E26">
        <v>2019</v>
      </c>
      <c r="F26" t="s">
        <v>689</v>
      </c>
      <c r="G26">
        <f t="shared" si="0"/>
        <v>2022</v>
      </c>
      <c r="H26" t="str">
        <f t="shared" ca="1" si="1"/>
        <v>Due</v>
      </c>
    </row>
    <row r="27" spans="1:8" ht="15.75" customHeight="1">
      <c r="A27" t="s">
        <v>738</v>
      </c>
      <c r="B27" t="s">
        <v>739</v>
      </c>
      <c r="C27" t="s">
        <v>740</v>
      </c>
      <c r="D27" t="s">
        <v>28</v>
      </c>
      <c r="G27" t="str">
        <f t="shared" si="0"/>
        <v/>
      </c>
      <c r="H27" t="str">
        <f t="shared" ca="1" si="1"/>
        <v>Valid</v>
      </c>
    </row>
    <row r="28" spans="1:8" ht="15.75" customHeight="1">
      <c r="A28" t="s">
        <v>741</v>
      </c>
      <c r="B28" t="s">
        <v>742</v>
      </c>
      <c r="C28" t="s">
        <v>743</v>
      </c>
      <c r="D28" t="s">
        <v>28</v>
      </c>
      <c r="E28">
        <v>2024</v>
      </c>
      <c r="F28" t="s">
        <v>689</v>
      </c>
      <c r="G28">
        <f t="shared" si="0"/>
        <v>2027</v>
      </c>
      <c r="H28" t="str">
        <f t="shared" ca="1" si="1"/>
        <v>Valid</v>
      </c>
    </row>
    <row r="29" spans="1:8" ht="15.75" customHeight="1">
      <c r="A29" t="s">
        <v>744</v>
      </c>
      <c r="B29" t="s">
        <v>745</v>
      </c>
      <c r="C29" t="s">
        <v>746</v>
      </c>
      <c r="D29" t="s">
        <v>28</v>
      </c>
      <c r="E29">
        <v>2021</v>
      </c>
      <c r="F29" t="s">
        <v>689</v>
      </c>
      <c r="G29">
        <f t="shared" si="0"/>
        <v>2024</v>
      </c>
      <c r="H29" t="str">
        <f t="shared" ca="1" si="1"/>
        <v>Due</v>
      </c>
    </row>
    <row r="30" spans="1:8" ht="15.75" customHeight="1">
      <c r="A30" t="s">
        <v>747</v>
      </c>
      <c r="B30" t="s">
        <v>748</v>
      </c>
      <c r="C30" t="s">
        <v>743</v>
      </c>
      <c r="D30" t="s">
        <v>28</v>
      </c>
      <c r="E30">
        <v>2021</v>
      </c>
      <c r="F30" t="s">
        <v>689</v>
      </c>
      <c r="G30">
        <f t="shared" si="0"/>
        <v>2024</v>
      </c>
      <c r="H30" t="str">
        <f t="shared" ca="1" si="1"/>
        <v>Due</v>
      </c>
    </row>
    <row r="31" spans="1:8" ht="15.75" customHeight="1">
      <c r="A31" t="s">
        <v>749</v>
      </c>
      <c r="B31" t="s">
        <v>750</v>
      </c>
      <c r="C31" t="s">
        <v>746</v>
      </c>
      <c r="D31" t="s">
        <v>28</v>
      </c>
      <c r="E31">
        <v>2022</v>
      </c>
      <c r="F31" t="s">
        <v>689</v>
      </c>
      <c r="G31">
        <f t="shared" si="0"/>
        <v>2025</v>
      </c>
      <c r="H31" t="str">
        <f t="shared" ca="1" si="1"/>
        <v>Due</v>
      </c>
    </row>
    <row r="32" spans="1:8" ht="15.75" customHeight="1">
      <c r="A32" t="s">
        <v>751</v>
      </c>
      <c r="B32" t="s">
        <v>752</v>
      </c>
      <c r="C32" t="s">
        <v>753</v>
      </c>
      <c r="D32" t="s">
        <v>28</v>
      </c>
      <c r="E32">
        <v>2022</v>
      </c>
      <c r="F32" t="s">
        <v>689</v>
      </c>
      <c r="G32">
        <f t="shared" si="0"/>
        <v>2025</v>
      </c>
      <c r="H32" t="str">
        <f t="shared" ca="1" si="1"/>
        <v>Due</v>
      </c>
    </row>
    <row r="33" spans="1:8" ht="15.75" customHeight="1">
      <c r="A33" t="s">
        <v>754</v>
      </c>
      <c r="B33" t="s">
        <v>755</v>
      </c>
      <c r="C33" t="s">
        <v>756</v>
      </c>
      <c r="D33" t="s">
        <v>28</v>
      </c>
      <c r="F33" t="s">
        <v>2166</v>
      </c>
      <c r="G33" t="str">
        <f>IF(ISBLANK(E33), "", IF(OR(#REF!="First aid (M)",#REF!= "First aid (L)"), "Lifetime", IF(#REF!="First aid (V)", E33+5, E33+3)))</f>
        <v/>
      </c>
      <c r="H33" t="str">
        <f t="shared" ca="1" si="1"/>
        <v>Valid</v>
      </c>
    </row>
    <row r="34" spans="1:8" ht="15.75" customHeight="1">
      <c r="A34" t="s">
        <v>757</v>
      </c>
      <c r="B34" t="s">
        <v>758</v>
      </c>
      <c r="C34" t="s">
        <v>759</v>
      </c>
      <c r="D34" t="s">
        <v>28</v>
      </c>
      <c r="G34" t="str">
        <f>IF(ISBLANK(E34), "", IF(OR(F33="First aid (M)", F33="First aid (L)"), "Lifetime", IF(F33="First aid (V)", E34+5, E34+3)))</f>
        <v/>
      </c>
      <c r="H34" t="str">
        <f t="shared" ca="1" si="1"/>
        <v>Valid</v>
      </c>
    </row>
    <row r="35" spans="1:8" ht="15.75" customHeight="1">
      <c r="A35" t="s">
        <v>760</v>
      </c>
      <c r="B35" t="s">
        <v>761</v>
      </c>
      <c r="C35" t="s">
        <v>762</v>
      </c>
      <c r="D35" t="s">
        <v>28</v>
      </c>
      <c r="E35">
        <v>2024</v>
      </c>
      <c r="F35" t="s">
        <v>689</v>
      </c>
      <c r="G35">
        <f t="shared" si="0"/>
        <v>2027</v>
      </c>
      <c r="H35" t="str">
        <f t="shared" ca="1" si="1"/>
        <v>Valid</v>
      </c>
    </row>
    <row r="36" spans="1:8" ht="15.75" customHeight="1">
      <c r="A36" t="s">
        <v>763</v>
      </c>
      <c r="B36" t="s">
        <v>764</v>
      </c>
      <c r="C36" t="s">
        <v>765</v>
      </c>
      <c r="D36" t="s">
        <v>28</v>
      </c>
      <c r="E36">
        <v>2021</v>
      </c>
      <c r="F36" t="s">
        <v>689</v>
      </c>
      <c r="G36">
        <f t="shared" si="0"/>
        <v>2024</v>
      </c>
      <c r="H36" t="str">
        <f t="shared" ca="1" si="1"/>
        <v>Due</v>
      </c>
    </row>
    <row r="37" spans="1:8" ht="15.75" customHeight="1">
      <c r="A37" t="s">
        <v>766</v>
      </c>
      <c r="B37" t="s">
        <v>767</v>
      </c>
      <c r="C37" t="s">
        <v>762</v>
      </c>
      <c r="D37" t="s">
        <v>28</v>
      </c>
      <c r="G37" t="str">
        <f t="shared" si="0"/>
        <v/>
      </c>
      <c r="H37" t="str">
        <f t="shared" ca="1" si="1"/>
        <v>Valid</v>
      </c>
    </row>
    <row r="38" spans="1:8" ht="15.75" customHeight="1">
      <c r="A38" t="s">
        <v>25</v>
      </c>
      <c r="B38" t="s">
        <v>26</v>
      </c>
      <c r="C38" t="s">
        <v>27</v>
      </c>
      <c r="D38" t="s">
        <v>28</v>
      </c>
      <c r="E38">
        <v>2022</v>
      </c>
      <c r="F38" t="s">
        <v>689</v>
      </c>
      <c r="G38">
        <f t="shared" si="0"/>
        <v>2025</v>
      </c>
      <c r="H38" t="str">
        <f t="shared" ca="1" si="1"/>
        <v>Due</v>
      </c>
    </row>
    <row r="39" spans="1:8" ht="15.75" customHeight="1">
      <c r="A39" t="s">
        <v>29</v>
      </c>
      <c r="B39" t="s">
        <v>30</v>
      </c>
      <c r="C39" t="s">
        <v>27</v>
      </c>
      <c r="D39" t="s">
        <v>28</v>
      </c>
      <c r="E39">
        <v>2019</v>
      </c>
      <c r="F39" t="s">
        <v>689</v>
      </c>
      <c r="G39">
        <f t="shared" si="0"/>
        <v>2022</v>
      </c>
      <c r="H39" t="str">
        <f t="shared" ca="1" si="1"/>
        <v>Due</v>
      </c>
    </row>
    <row r="40" spans="1:8" ht="15.75" customHeight="1">
      <c r="A40" t="s">
        <v>31</v>
      </c>
      <c r="B40" t="s">
        <v>32</v>
      </c>
      <c r="C40" t="s">
        <v>27</v>
      </c>
      <c r="D40" t="s">
        <v>28</v>
      </c>
      <c r="E40">
        <v>2019</v>
      </c>
      <c r="F40" t="s">
        <v>689</v>
      </c>
      <c r="G40">
        <f t="shared" si="0"/>
        <v>2022</v>
      </c>
      <c r="H40" t="str">
        <f t="shared" ca="1" si="1"/>
        <v>Due</v>
      </c>
    </row>
    <row r="41" spans="1:8" ht="15.75" customHeight="1">
      <c r="A41" t="s">
        <v>33</v>
      </c>
      <c r="B41" t="s">
        <v>34</v>
      </c>
      <c r="C41" t="s">
        <v>35</v>
      </c>
      <c r="D41" t="s">
        <v>36</v>
      </c>
      <c r="G41" t="str">
        <f t="shared" si="0"/>
        <v/>
      </c>
      <c r="H41" t="str">
        <f t="shared" ca="1" si="1"/>
        <v>Valid</v>
      </c>
    </row>
    <row r="42" spans="1:8" ht="15.75" customHeight="1">
      <c r="A42" t="s">
        <v>37</v>
      </c>
      <c r="B42" t="s">
        <v>38</v>
      </c>
      <c r="C42" t="s">
        <v>39</v>
      </c>
      <c r="D42" t="s">
        <v>28</v>
      </c>
      <c r="E42">
        <v>2019</v>
      </c>
      <c r="F42" t="s">
        <v>689</v>
      </c>
      <c r="G42">
        <f t="shared" si="0"/>
        <v>2022</v>
      </c>
      <c r="H42" t="str">
        <f t="shared" ca="1" si="1"/>
        <v>Due</v>
      </c>
    </row>
    <row r="43" spans="1:8" ht="15.75" customHeight="1">
      <c r="A43" t="s">
        <v>40</v>
      </c>
      <c r="B43" t="s">
        <v>41</v>
      </c>
      <c r="C43" t="s">
        <v>39</v>
      </c>
      <c r="D43" t="s">
        <v>28</v>
      </c>
      <c r="E43">
        <v>2021</v>
      </c>
      <c r="F43" t="s">
        <v>689</v>
      </c>
      <c r="G43">
        <f t="shared" si="0"/>
        <v>2024</v>
      </c>
      <c r="H43" t="str">
        <f t="shared" ca="1" si="1"/>
        <v>Due</v>
      </c>
    </row>
    <row r="44" spans="1:8" ht="15.75" customHeight="1">
      <c r="A44" t="s">
        <v>42</v>
      </c>
      <c r="B44" t="s">
        <v>43</v>
      </c>
      <c r="C44" t="s">
        <v>39</v>
      </c>
      <c r="D44" t="s">
        <v>28</v>
      </c>
      <c r="G44" t="str">
        <f t="shared" si="0"/>
        <v/>
      </c>
      <c r="H44" t="str">
        <f t="shared" ca="1" si="1"/>
        <v>Valid</v>
      </c>
    </row>
    <row r="45" spans="1:8" ht="15.75" customHeight="1">
      <c r="A45" t="s">
        <v>44</v>
      </c>
      <c r="B45" t="s">
        <v>45</v>
      </c>
      <c r="C45" t="s">
        <v>39</v>
      </c>
      <c r="D45" t="s">
        <v>28</v>
      </c>
      <c r="E45">
        <v>2017</v>
      </c>
      <c r="F45" t="s">
        <v>689</v>
      </c>
      <c r="G45">
        <f t="shared" si="0"/>
        <v>2020</v>
      </c>
      <c r="H45" t="str">
        <f t="shared" ca="1" si="1"/>
        <v>Due</v>
      </c>
    </row>
    <row r="46" spans="1:8" ht="15.75" customHeight="1">
      <c r="A46" t="s">
        <v>46</v>
      </c>
      <c r="B46" t="s">
        <v>47</v>
      </c>
      <c r="C46" t="s">
        <v>39</v>
      </c>
      <c r="D46" t="s">
        <v>28</v>
      </c>
      <c r="E46">
        <v>2021</v>
      </c>
      <c r="F46" t="s">
        <v>689</v>
      </c>
      <c r="G46">
        <f t="shared" si="0"/>
        <v>2024</v>
      </c>
      <c r="H46" t="str">
        <f t="shared" ca="1" si="1"/>
        <v>Due</v>
      </c>
    </row>
    <row r="47" spans="1:8" ht="15.75" customHeight="1">
      <c r="A47" t="s">
        <v>48</v>
      </c>
      <c r="B47" t="s">
        <v>49</v>
      </c>
      <c r="C47" t="s">
        <v>39</v>
      </c>
      <c r="D47" t="s">
        <v>28</v>
      </c>
      <c r="E47">
        <v>2022</v>
      </c>
      <c r="F47" t="s">
        <v>689</v>
      </c>
      <c r="G47">
        <f t="shared" si="0"/>
        <v>2025</v>
      </c>
      <c r="H47" t="str">
        <f t="shared" ca="1" si="1"/>
        <v>Due</v>
      </c>
    </row>
    <row r="48" spans="1:8" ht="15.75" customHeight="1">
      <c r="A48" t="s">
        <v>50</v>
      </c>
      <c r="B48" t="s">
        <v>51</v>
      </c>
      <c r="C48" t="s">
        <v>39</v>
      </c>
      <c r="D48" t="s">
        <v>28</v>
      </c>
      <c r="E48">
        <v>2022</v>
      </c>
      <c r="F48" t="s">
        <v>689</v>
      </c>
      <c r="G48">
        <f t="shared" si="0"/>
        <v>2025</v>
      </c>
      <c r="H48" t="str">
        <f t="shared" ca="1" si="1"/>
        <v>Due</v>
      </c>
    </row>
    <row r="49" spans="1:8" ht="15.75" customHeight="1">
      <c r="A49" t="s">
        <v>52</v>
      </c>
      <c r="B49" t="s">
        <v>53</v>
      </c>
      <c r="C49" t="s">
        <v>39</v>
      </c>
      <c r="D49" t="s">
        <v>28</v>
      </c>
      <c r="E49">
        <v>2018</v>
      </c>
      <c r="F49" t="s">
        <v>768</v>
      </c>
      <c r="G49" t="str">
        <f t="shared" si="0"/>
        <v>Lifetime</v>
      </c>
      <c r="H49" t="str">
        <f t="shared" ca="1" si="1"/>
        <v>Valid</v>
      </c>
    </row>
    <row r="50" spans="1:8" ht="15.75" customHeight="1">
      <c r="A50" t="s">
        <v>54</v>
      </c>
      <c r="B50" t="s">
        <v>55</v>
      </c>
      <c r="C50" t="s">
        <v>39</v>
      </c>
      <c r="D50" t="s">
        <v>28</v>
      </c>
      <c r="E50">
        <v>2019</v>
      </c>
      <c r="F50" t="s">
        <v>693</v>
      </c>
      <c r="G50">
        <f t="shared" si="0"/>
        <v>2024</v>
      </c>
      <c r="H50" t="str">
        <f t="shared" ca="1" si="1"/>
        <v>Due</v>
      </c>
    </row>
    <row r="51" spans="1:8" ht="15.75" customHeight="1">
      <c r="A51" t="s">
        <v>56</v>
      </c>
      <c r="B51" t="s">
        <v>57</v>
      </c>
      <c r="C51" t="s">
        <v>39</v>
      </c>
      <c r="D51" t="s">
        <v>36</v>
      </c>
      <c r="E51">
        <v>2018</v>
      </c>
      <c r="F51" t="s">
        <v>689</v>
      </c>
      <c r="G51">
        <f t="shared" si="0"/>
        <v>2021</v>
      </c>
      <c r="H51" t="str">
        <f t="shared" ca="1" si="1"/>
        <v>Due</v>
      </c>
    </row>
    <row r="52" spans="1:8" ht="15.75" customHeight="1">
      <c r="A52" t="s">
        <v>58</v>
      </c>
      <c r="B52" t="s">
        <v>59</v>
      </c>
      <c r="C52" t="s">
        <v>39</v>
      </c>
      <c r="D52" t="s">
        <v>28</v>
      </c>
      <c r="E52">
        <v>2017</v>
      </c>
      <c r="F52" t="s">
        <v>689</v>
      </c>
      <c r="G52">
        <f t="shared" si="0"/>
        <v>2020</v>
      </c>
      <c r="H52" t="str">
        <f t="shared" ca="1" si="1"/>
        <v>Due</v>
      </c>
    </row>
    <row r="53" spans="1:8" ht="15.75" customHeight="1">
      <c r="A53" t="s">
        <v>60</v>
      </c>
      <c r="B53" t="s">
        <v>61</v>
      </c>
      <c r="C53" t="s">
        <v>39</v>
      </c>
      <c r="D53" t="s">
        <v>28</v>
      </c>
      <c r="E53">
        <v>2022</v>
      </c>
      <c r="F53" t="s">
        <v>689</v>
      </c>
      <c r="G53">
        <f t="shared" si="0"/>
        <v>2025</v>
      </c>
      <c r="H53" t="str">
        <f t="shared" ca="1" si="1"/>
        <v>Due</v>
      </c>
    </row>
    <row r="54" spans="1:8" ht="15.75" customHeight="1">
      <c r="A54" t="s">
        <v>62</v>
      </c>
      <c r="B54" t="s">
        <v>63</v>
      </c>
      <c r="C54" t="s">
        <v>64</v>
      </c>
      <c r="D54" t="s">
        <v>36</v>
      </c>
      <c r="G54" t="str">
        <f t="shared" si="0"/>
        <v/>
      </c>
      <c r="H54" t="str">
        <f t="shared" ca="1" si="1"/>
        <v>Valid</v>
      </c>
    </row>
    <row r="55" spans="1:8" ht="15.75" customHeight="1">
      <c r="A55" t="s">
        <v>65</v>
      </c>
      <c r="B55" t="s">
        <v>66</v>
      </c>
      <c r="C55" t="s">
        <v>67</v>
      </c>
      <c r="D55" t="s">
        <v>28</v>
      </c>
      <c r="E55">
        <v>2025</v>
      </c>
      <c r="F55" t="s">
        <v>689</v>
      </c>
      <c r="G55">
        <f t="shared" si="0"/>
        <v>2028</v>
      </c>
      <c r="H55" t="str">
        <f t="shared" ca="1" si="1"/>
        <v>Valid</v>
      </c>
    </row>
    <row r="56" spans="1:8" ht="15.75" customHeight="1">
      <c r="A56" t="s">
        <v>68</v>
      </c>
      <c r="B56" t="s">
        <v>69</v>
      </c>
      <c r="C56" t="s">
        <v>70</v>
      </c>
      <c r="D56" t="s">
        <v>28</v>
      </c>
      <c r="G56" t="str">
        <f t="shared" si="0"/>
        <v/>
      </c>
      <c r="H56" t="str">
        <f t="shared" ca="1" si="1"/>
        <v>Valid</v>
      </c>
    </row>
    <row r="57" spans="1:8" ht="15.75" customHeight="1">
      <c r="A57" t="s">
        <v>71</v>
      </c>
      <c r="B57" t="s">
        <v>72</v>
      </c>
      <c r="C57" t="s">
        <v>70</v>
      </c>
      <c r="D57" t="s">
        <v>28</v>
      </c>
      <c r="G57" t="str">
        <f t="shared" si="0"/>
        <v/>
      </c>
      <c r="H57" t="str">
        <f t="shared" ca="1" si="1"/>
        <v>Valid</v>
      </c>
    </row>
    <row r="58" spans="1:8" ht="15.75" customHeight="1">
      <c r="A58" t="s">
        <v>73</v>
      </c>
      <c r="B58" t="s">
        <v>74</v>
      </c>
      <c r="C58" t="s">
        <v>70</v>
      </c>
      <c r="D58" t="s">
        <v>28</v>
      </c>
      <c r="G58" t="str">
        <f t="shared" si="0"/>
        <v/>
      </c>
      <c r="H58" t="str">
        <f t="shared" ca="1" si="1"/>
        <v>Valid</v>
      </c>
    </row>
    <row r="59" spans="1:8" ht="15.75" customHeight="1">
      <c r="A59" t="s">
        <v>75</v>
      </c>
      <c r="B59" t="s">
        <v>76</v>
      </c>
      <c r="C59" t="s">
        <v>70</v>
      </c>
      <c r="D59" t="s">
        <v>28</v>
      </c>
      <c r="G59" t="str">
        <f t="shared" si="0"/>
        <v/>
      </c>
      <c r="H59" t="str">
        <f t="shared" ca="1" si="1"/>
        <v>Valid</v>
      </c>
    </row>
    <row r="60" spans="1:8" ht="15.75" customHeight="1">
      <c r="A60" t="s">
        <v>77</v>
      </c>
      <c r="B60" t="s">
        <v>78</v>
      </c>
      <c r="C60" t="s">
        <v>79</v>
      </c>
      <c r="D60" t="s">
        <v>28</v>
      </c>
      <c r="G60" t="str">
        <f t="shared" si="0"/>
        <v/>
      </c>
      <c r="H60" t="str">
        <f t="shared" ca="1" si="1"/>
        <v>Valid</v>
      </c>
    </row>
    <row r="61" spans="1:8" ht="15.75" customHeight="1">
      <c r="A61" t="s">
        <v>769</v>
      </c>
      <c r="B61" t="s">
        <v>770</v>
      </c>
      <c r="C61" t="s">
        <v>771</v>
      </c>
      <c r="D61" t="s">
        <v>772</v>
      </c>
      <c r="E61">
        <v>2022</v>
      </c>
      <c r="F61" t="s">
        <v>689</v>
      </c>
      <c r="G61">
        <f t="shared" si="0"/>
        <v>2025</v>
      </c>
      <c r="H61" t="str">
        <f t="shared" ca="1" si="1"/>
        <v>Due</v>
      </c>
    </row>
    <row r="62" spans="1:8" ht="15.75" customHeight="1">
      <c r="A62" t="s">
        <v>773</v>
      </c>
      <c r="B62" t="s">
        <v>774</v>
      </c>
      <c r="C62" t="s">
        <v>775</v>
      </c>
      <c r="D62" t="s">
        <v>83</v>
      </c>
      <c r="E62">
        <v>2022</v>
      </c>
      <c r="F62" t="s">
        <v>689</v>
      </c>
      <c r="G62">
        <f t="shared" si="0"/>
        <v>2025</v>
      </c>
      <c r="H62" t="str">
        <f t="shared" ca="1" si="1"/>
        <v>Due</v>
      </c>
    </row>
    <row r="63" spans="1:8" ht="15.75" customHeight="1">
      <c r="A63" t="s">
        <v>776</v>
      </c>
      <c r="B63" t="s">
        <v>777</v>
      </c>
      <c r="C63" t="s">
        <v>778</v>
      </c>
      <c r="D63" t="s">
        <v>83</v>
      </c>
      <c r="G63" t="str">
        <f t="shared" si="0"/>
        <v/>
      </c>
      <c r="H63" t="str">
        <f t="shared" ca="1" si="1"/>
        <v>Valid</v>
      </c>
    </row>
    <row r="64" spans="1:8" ht="15.75" customHeight="1">
      <c r="A64" t="s">
        <v>779</v>
      </c>
      <c r="B64" t="s">
        <v>780</v>
      </c>
      <c r="C64" t="s">
        <v>781</v>
      </c>
      <c r="D64" t="s">
        <v>83</v>
      </c>
      <c r="G64" t="str">
        <f t="shared" si="0"/>
        <v/>
      </c>
      <c r="H64" t="str">
        <f t="shared" ca="1" si="1"/>
        <v>Valid</v>
      </c>
    </row>
    <row r="65" spans="1:8" ht="15.75" customHeight="1">
      <c r="A65" t="s">
        <v>782</v>
      </c>
      <c r="B65" t="s">
        <v>783</v>
      </c>
      <c r="C65" t="s">
        <v>781</v>
      </c>
      <c r="D65" t="s">
        <v>83</v>
      </c>
      <c r="G65" t="str">
        <f t="shared" si="0"/>
        <v/>
      </c>
      <c r="H65" t="str">
        <f t="shared" ca="1" si="1"/>
        <v>Valid</v>
      </c>
    </row>
    <row r="66" spans="1:8" ht="15.75" customHeight="1">
      <c r="A66" t="s">
        <v>784</v>
      </c>
      <c r="B66" t="s">
        <v>785</v>
      </c>
      <c r="C66" t="s">
        <v>786</v>
      </c>
      <c r="D66" t="s">
        <v>83</v>
      </c>
      <c r="E66">
        <v>2026</v>
      </c>
      <c r="F66" t="s">
        <v>689</v>
      </c>
      <c r="G66">
        <f t="shared" si="0"/>
        <v>2029</v>
      </c>
      <c r="H66" t="str">
        <f t="shared" ca="1" si="1"/>
        <v>Valid</v>
      </c>
    </row>
    <row r="67" spans="1:8" ht="15.75" customHeight="1">
      <c r="A67" t="s">
        <v>787</v>
      </c>
      <c r="B67" t="s">
        <v>788</v>
      </c>
      <c r="C67" t="s">
        <v>789</v>
      </c>
      <c r="D67" t="s">
        <v>83</v>
      </c>
      <c r="E67">
        <v>2025</v>
      </c>
      <c r="F67" t="s">
        <v>689</v>
      </c>
      <c r="G67">
        <f t="shared" si="0"/>
        <v>2028</v>
      </c>
      <c r="H67" t="str">
        <f t="shared" ca="1" si="1"/>
        <v>Valid</v>
      </c>
    </row>
    <row r="68" spans="1:8" ht="15.75" customHeight="1">
      <c r="A68" t="s">
        <v>790</v>
      </c>
      <c r="B68" t="s">
        <v>791</v>
      </c>
      <c r="C68" t="s">
        <v>792</v>
      </c>
      <c r="D68" t="s">
        <v>83</v>
      </c>
      <c r="E68">
        <v>2018</v>
      </c>
      <c r="F68" t="s">
        <v>689</v>
      </c>
      <c r="G68">
        <f t="shared" ref="G68:G131" si="2">IF(ISBLANK(E68), "", IF(OR(F68="First aid (M)", F68="First aid (L)"), "Lifetime", IF(F68="First aid (V)", E68+5, E68+3)))</f>
        <v>2021</v>
      </c>
      <c r="H68" t="str">
        <f t="shared" ref="H68:H131" ca="1" si="3">IF(ISBLANK(G68), "", IF(G68="Lifetime", "Valid", IF(YEAR(TODAY())&gt;=G68, "Due", "Valid")))</f>
        <v>Due</v>
      </c>
    </row>
    <row r="69" spans="1:8" ht="15.75" customHeight="1">
      <c r="A69" t="s">
        <v>80</v>
      </c>
      <c r="B69" s="17" t="s">
        <v>81</v>
      </c>
      <c r="C69" t="s">
        <v>82</v>
      </c>
      <c r="D69" t="s">
        <v>83</v>
      </c>
      <c r="E69">
        <v>2025</v>
      </c>
      <c r="F69" t="s">
        <v>693</v>
      </c>
      <c r="G69">
        <f t="shared" si="2"/>
        <v>2030</v>
      </c>
      <c r="H69" t="str">
        <f t="shared" ca="1" si="3"/>
        <v>Valid</v>
      </c>
    </row>
    <row r="70" spans="1:8" ht="15.75" customHeight="1">
      <c r="A70" t="s">
        <v>793</v>
      </c>
      <c r="B70" t="s">
        <v>794</v>
      </c>
      <c r="C70" t="s">
        <v>795</v>
      </c>
      <c r="D70" t="s">
        <v>87</v>
      </c>
      <c r="G70" t="str">
        <f t="shared" si="2"/>
        <v/>
      </c>
      <c r="H70" t="str">
        <f t="shared" ca="1" si="3"/>
        <v>Valid</v>
      </c>
    </row>
    <row r="71" spans="1:8" ht="15.75" customHeight="1">
      <c r="A71" t="s">
        <v>796</v>
      </c>
      <c r="B71" t="s">
        <v>797</v>
      </c>
      <c r="C71" t="s">
        <v>798</v>
      </c>
      <c r="D71" t="s">
        <v>87</v>
      </c>
      <c r="G71" t="str">
        <f t="shared" si="2"/>
        <v/>
      </c>
      <c r="H71" t="str">
        <f t="shared" ca="1" si="3"/>
        <v>Valid</v>
      </c>
    </row>
    <row r="72" spans="1:8" ht="15.75" customHeight="1">
      <c r="A72" t="s">
        <v>799</v>
      </c>
      <c r="B72" t="s">
        <v>800</v>
      </c>
      <c r="C72" t="s">
        <v>798</v>
      </c>
      <c r="D72" t="s">
        <v>87</v>
      </c>
      <c r="E72">
        <v>2024</v>
      </c>
      <c r="F72" t="s">
        <v>689</v>
      </c>
      <c r="G72">
        <f t="shared" si="2"/>
        <v>2027</v>
      </c>
      <c r="H72" t="str">
        <f t="shared" ca="1" si="3"/>
        <v>Valid</v>
      </c>
    </row>
    <row r="73" spans="1:8" ht="15.75" customHeight="1">
      <c r="A73" t="s">
        <v>801</v>
      </c>
      <c r="B73" t="s">
        <v>802</v>
      </c>
      <c r="C73" t="s">
        <v>803</v>
      </c>
      <c r="D73" t="s">
        <v>87</v>
      </c>
      <c r="E73">
        <v>2021</v>
      </c>
      <c r="F73" t="s">
        <v>689</v>
      </c>
      <c r="G73">
        <f t="shared" si="2"/>
        <v>2024</v>
      </c>
      <c r="H73" t="str">
        <f t="shared" ca="1" si="3"/>
        <v>Due</v>
      </c>
    </row>
    <row r="74" spans="1:8" ht="15.75" customHeight="1">
      <c r="A74" t="s">
        <v>804</v>
      </c>
      <c r="B74" t="s">
        <v>805</v>
      </c>
      <c r="C74" t="s">
        <v>806</v>
      </c>
      <c r="D74" t="s">
        <v>87</v>
      </c>
      <c r="E74">
        <v>2026</v>
      </c>
      <c r="F74" t="s">
        <v>689</v>
      </c>
      <c r="G74">
        <f t="shared" si="2"/>
        <v>2029</v>
      </c>
      <c r="H74" t="str">
        <f t="shared" ca="1" si="3"/>
        <v>Valid</v>
      </c>
    </row>
    <row r="75" spans="1:8" ht="15.75" customHeight="1">
      <c r="A75" t="s">
        <v>807</v>
      </c>
      <c r="B75" t="s">
        <v>808</v>
      </c>
      <c r="C75" t="s">
        <v>809</v>
      </c>
      <c r="D75" t="s">
        <v>87</v>
      </c>
      <c r="G75" t="str">
        <f t="shared" si="2"/>
        <v/>
      </c>
      <c r="H75" t="str">
        <f t="shared" ca="1" si="3"/>
        <v>Valid</v>
      </c>
    </row>
    <row r="76" spans="1:8" ht="15.75" customHeight="1">
      <c r="A76" t="s">
        <v>810</v>
      </c>
      <c r="B76" t="s">
        <v>811</v>
      </c>
      <c r="C76" t="s">
        <v>812</v>
      </c>
      <c r="D76" t="s">
        <v>87</v>
      </c>
      <c r="E76">
        <v>2026</v>
      </c>
      <c r="F76" t="s">
        <v>689</v>
      </c>
      <c r="G76">
        <f t="shared" si="2"/>
        <v>2029</v>
      </c>
      <c r="H76" t="str">
        <f t="shared" ca="1" si="3"/>
        <v>Valid</v>
      </c>
    </row>
    <row r="77" spans="1:8" ht="15.75" customHeight="1">
      <c r="A77" t="s">
        <v>84</v>
      </c>
      <c r="B77" t="s">
        <v>85</v>
      </c>
      <c r="C77" t="s">
        <v>86</v>
      </c>
      <c r="D77" t="s">
        <v>87</v>
      </c>
      <c r="E77">
        <v>2023</v>
      </c>
      <c r="F77" t="s">
        <v>689</v>
      </c>
      <c r="G77">
        <f t="shared" si="2"/>
        <v>2026</v>
      </c>
      <c r="H77" t="str">
        <f t="shared" ca="1" si="3"/>
        <v>Due</v>
      </c>
    </row>
    <row r="78" spans="1:8" ht="15.75" customHeight="1">
      <c r="A78" t="s">
        <v>88</v>
      </c>
      <c r="B78" t="s">
        <v>89</v>
      </c>
      <c r="C78" t="s">
        <v>90</v>
      </c>
      <c r="D78" t="s">
        <v>87</v>
      </c>
      <c r="E78">
        <v>2018</v>
      </c>
      <c r="F78" t="s">
        <v>689</v>
      </c>
      <c r="G78">
        <f t="shared" si="2"/>
        <v>2021</v>
      </c>
      <c r="H78" t="str">
        <f t="shared" ca="1" si="3"/>
        <v>Due</v>
      </c>
    </row>
    <row r="79" spans="1:8" ht="15.75" customHeight="1">
      <c r="A79" t="s">
        <v>91</v>
      </c>
      <c r="B79" t="s">
        <v>92</v>
      </c>
      <c r="C79" t="s">
        <v>93</v>
      </c>
      <c r="D79" t="s">
        <v>87</v>
      </c>
      <c r="E79">
        <v>2025</v>
      </c>
      <c r="F79" t="s">
        <v>689</v>
      </c>
      <c r="G79">
        <f t="shared" si="2"/>
        <v>2028</v>
      </c>
      <c r="H79" t="str">
        <f t="shared" ca="1" si="3"/>
        <v>Valid</v>
      </c>
    </row>
    <row r="80" spans="1:8" ht="15.75" customHeight="1">
      <c r="A80" t="s">
        <v>94</v>
      </c>
      <c r="B80" t="s">
        <v>95</v>
      </c>
      <c r="C80" t="s">
        <v>96</v>
      </c>
      <c r="D80" t="s">
        <v>87</v>
      </c>
      <c r="E80">
        <v>2025</v>
      </c>
      <c r="F80" t="s">
        <v>689</v>
      </c>
      <c r="G80">
        <f t="shared" si="2"/>
        <v>2028</v>
      </c>
      <c r="H80" t="str">
        <f t="shared" ca="1" si="3"/>
        <v>Valid</v>
      </c>
    </row>
    <row r="81" spans="1:8" ht="15.75" customHeight="1">
      <c r="A81" t="s">
        <v>97</v>
      </c>
      <c r="B81" t="s">
        <v>98</v>
      </c>
      <c r="C81" t="s">
        <v>99</v>
      </c>
      <c r="D81" t="s">
        <v>87</v>
      </c>
      <c r="E81">
        <v>2022</v>
      </c>
      <c r="F81" t="s">
        <v>689</v>
      </c>
      <c r="G81">
        <f t="shared" si="2"/>
        <v>2025</v>
      </c>
      <c r="H81" t="str">
        <f t="shared" ca="1" si="3"/>
        <v>Due</v>
      </c>
    </row>
    <row r="82" spans="1:8" ht="15.75" customHeight="1">
      <c r="A82" t="s">
        <v>100</v>
      </c>
      <c r="B82" s="17" t="s">
        <v>101</v>
      </c>
      <c r="C82" t="s">
        <v>102</v>
      </c>
      <c r="D82" t="s">
        <v>87</v>
      </c>
      <c r="E82">
        <v>2026</v>
      </c>
      <c r="F82" t="s">
        <v>693</v>
      </c>
      <c r="G82">
        <f t="shared" si="2"/>
        <v>2031</v>
      </c>
      <c r="H82" t="str">
        <f t="shared" ca="1" si="3"/>
        <v>Valid</v>
      </c>
    </row>
    <row r="83" spans="1:8" ht="15.75" customHeight="1">
      <c r="A83" t="s">
        <v>103</v>
      </c>
      <c r="B83" t="s">
        <v>104</v>
      </c>
      <c r="C83" t="s">
        <v>105</v>
      </c>
      <c r="D83" t="s">
        <v>87</v>
      </c>
      <c r="G83" t="str">
        <f t="shared" si="2"/>
        <v/>
      </c>
      <c r="H83" t="str">
        <f t="shared" ca="1" si="3"/>
        <v>Valid</v>
      </c>
    </row>
    <row r="84" spans="1:8" ht="15.75" customHeight="1">
      <c r="A84" t="s">
        <v>106</v>
      </c>
      <c r="B84" t="s">
        <v>107</v>
      </c>
      <c r="C84" t="s">
        <v>11</v>
      </c>
      <c r="D84" t="s">
        <v>87</v>
      </c>
      <c r="E84">
        <v>2023</v>
      </c>
      <c r="F84" t="s">
        <v>689</v>
      </c>
      <c r="G84">
        <f t="shared" si="2"/>
        <v>2026</v>
      </c>
      <c r="H84" t="str">
        <f t="shared" ca="1" si="3"/>
        <v>Due</v>
      </c>
    </row>
    <row r="85" spans="1:8" ht="15.75" customHeight="1">
      <c r="A85" t="s">
        <v>108</v>
      </c>
      <c r="B85" t="s">
        <v>109</v>
      </c>
      <c r="C85" t="s">
        <v>110</v>
      </c>
      <c r="D85" t="s">
        <v>87</v>
      </c>
      <c r="G85" t="str">
        <f t="shared" si="2"/>
        <v/>
      </c>
      <c r="H85" t="str">
        <f t="shared" ca="1" si="3"/>
        <v>Valid</v>
      </c>
    </row>
    <row r="86" spans="1:8" ht="15.75" customHeight="1">
      <c r="A86" t="s">
        <v>111</v>
      </c>
      <c r="B86" t="s">
        <v>112</v>
      </c>
      <c r="C86" t="s">
        <v>110</v>
      </c>
      <c r="D86" t="s">
        <v>87</v>
      </c>
      <c r="G86" t="str">
        <f t="shared" si="2"/>
        <v/>
      </c>
      <c r="H86" t="str">
        <f t="shared" ca="1" si="3"/>
        <v>Valid</v>
      </c>
    </row>
    <row r="87" spans="1:8" ht="15.75" customHeight="1">
      <c r="A87" t="s">
        <v>113</v>
      </c>
      <c r="B87" t="s">
        <v>114</v>
      </c>
      <c r="C87" t="s">
        <v>110</v>
      </c>
      <c r="D87" t="s">
        <v>87</v>
      </c>
      <c r="G87" t="str">
        <f t="shared" si="2"/>
        <v/>
      </c>
      <c r="H87" t="str">
        <f t="shared" ca="1" si="3"/>
        <v>Valid</v>
      </c>
    </row>
    <row r="88" spans="1:8" ht="15.75" customHeight="1">
      <c r="A88" t="s">
        <v>115</v>
      </c>
      <c r="B88" t="s">
        <v>116</v>
      </c>
      <c r="C88" t="s">
        <v>110</v>
      </c>
      <c r="D88" t="s">
        <v>87</v>
      </c>
      <c r="G88" t="str">
        <f t="shared" si="2"/>
        <v/>
      </c>
      <c r="H88" t="str">
        <f t="shared" ca="1" si="3"/>
        <v>Valid</v>
      </c>
    </row>
    <row r="89" spans="1:8" ht="15.75" customHeight="1">
      <c r="A89" t="s">
        <v>813</v>
      </c>
      <c r="B89" t="s">
        <v>814</v>
      </c>
      <c r="C89" t="s">
        <v>815</v>
      </c>
      <c r="D89" t="s">
        <v>12</v>
      </c>
      <c r="E89">
        <v>2024</v>
      </c>
      <c r="F89" t="s">
        <v>689</v>
      </c>
      <c r="G89">
        <f t="shared" si="2"/>
        <v>2027</v>
      </c>
      <c r="H89" t="str">
        <f t="shared" ca="1" si="3"/>
        <v>Valid</v>
      </c>
    </row>
    <row r="90" spans="1:8" ht="15.75" customHeight="1">
      <c r="A90" t="s">
        <v>117</v>
      </c>
      <c r="B90" t="s">
        <v>118</v>
      </c>
      <c r="C90" t="s">
        <v>39</v>
      </c>
      <c r="D90" t="s">
        <v>12</v>
      </c>
      <c r="E90">
        <v>2025</v>
      </c>
      <c r="F90" t="s">
        <v>689</v>
      </c>
      <c r="G90">
        <f t="shared" si="2"/>
        <v>2028</v>
      </c>
      <c r="H90" t="str">
        <f t="shared" ca="1" si="3"/>
        <v>Valid</v>
      </c>
    </row>
    <row r="91" spans="1:8" ht="15.75" customHeight="1">
      <c r="A91" t="s">
        <v>119</v>
      </c>
      <c r="B91" t="s">
        <v>120</v>
      </c>
      <c r="C91" t="s">
        <v>64</v>
      </c>
      <c r="D91" t="s">
        <v>12</v>
      </c>
      <c r="G91" t="str">
        <f t="shared" si="2"/>
        <v/>
      </c>
      <c r="H91" t="str">
        <f t="shared" ca="1" si="3"/>
        <v>Valid</v>
      </c>
    </row>
    <row r="92" spans="1:8" ht="15.75" customHeight="1">
      <c r="A92" t="s">
        <v>816</v>
      </c>
      <c r="B92" t="s">
        <v>817</v>
      </c>
      <c r="C92" t="s">
        <v>818</v>
      </c>
      <c r="D92" t="s">
        <v>126</v>
      </c>
      <c r="G92" t="str">
        <f t="shared" si="2"/>
        <v/>
      </c>
      <c r="H92" t="str">
        <f t="shared" ca="1" si="3"/>
        <v>Valid</v>
      </c>
    </row>
    <row r="93" spans="1:8" ht="15.75" customHeight="1">
      <c r="A93" t="s">
        <v>819</v>
      </c>
      <c r="B93" t="s">
        <v>820</v>
      </c>
      <c r="C93" t="s">
        <v>821</v>
      </c>
      <c r="D93" t="s">
        <v>126</v>
      </c>
      <c r="G93" t="str">
        <f t="shared" si="2"/>
        <v/>
      </c>
      <c r="H93" t="str">
        <f t="shared" ca="1" si="3"/>
        <v>Valid</v>
      </c>
    </row>
    <row r="94" spans="1:8" ht="15.75" customHeight="1">
      <c r="A94" t="s">
        <v>822</v>
      </c>
      <c r="B94" t="s">
        <v>823</v>
      </c>
      <c r="C94" t="s">
        <v>824</v>
      </c>
      <c r="D94" t="s">
        <v>126</v>
      </c>
      <c r="G94" t="str">
        <f t="shared" si="2"/>
        <v/>
      </c>
      <c r="H94" t="str">
        <f t="shared" ca="1" si="3"/>
        <v>Valid</v>
      </c>
    </row>
    <row r="95" spans="1:8" ht="15.75" customHeight="1">
      <c r="A95" t="s">
        <v>825</v>
      </c>
      <c r="B95" t="s">
        <v>826</v>
      </c>
      <c r="C95" t="s">
        <v>827</v>
      </c>
      <c r="D95" t="s">
        <v>126</v>
      </c>
      <c r="E95">
        <v>2023</v>
      </c>
      <c r="F95" t="s">
        <v>689</v>
      </c>
      <c r="G95">
        <f t="shared" si="2"/>
        <v>2026</v>
      </c>
      <c r="H95" t="str">
        <f t="shared" ca="1" si="3"/>
        <v>Due</v>
      </c>
    </row>
    <row r="96" spans="1:8" ht="15.75" customHeight="1">
      <c r="A96" t="s">
        <v>121</v>
      </c>
      <c r="B96" s="17" t="s">
        <v>122</v>
      </c>
      <c r="C96" t="s">
        <v>123</v>
      </c>
      <c r="D96" t="s">
        <v>12</v>
      </c>
      <c r="E96">
        <v>2024</v>
      </c>
      <c r="F96" t="s">
        <v>693</v>
      </c>
      <c r="G96">
        <f t="shared" si="2"/>
        <v>2029</v>
      </c>
      <c r="H96" t="str">
        <f t="shared" ca="1" si="3"/>
        <v>Valid</v>
      </c>
    </row>
    <row r="97" spans="1:8" ht="15.75" customHeight="1">
      <c r="A97" t="s">
        <v>124</v>
      </c>
      <c r="B97" t="s">
        <v>125</v>
      </c>
      <c r="C97" t="s">
        <v>11</v>
      </c>
      <c r="D97" t="s">
        <v>126</v>
      </c>
      <c r="E97">
        <v>2025</v>
      </c>
      <c r="F97" t="s">
        <v>689</v>
      </c>
      <c r="G97">
        <f t="shared" si="2"/>
        <v>2028</v>
      </c>
      <c r="H97" t="str">
        <f t="shared" ca="1" si="3"/>
        <v>Valid</v>
      </c>
    </row>
    <row r="98" spans="1:8" ht="15.75" customHeight="1">
      <c r="A98" t="s">
        <v>127</v>
      </c>
      <c r="B98" s="17" t="s">
        <v>128</v>
      </c>
      <c r="C98" t="s">
        <v>11</v>
      </c>
      <c r="D98" t="s">
        <v>12</v>
      </c>
      <c r="E98">
        <v>2025</v>
      </c>
      <c r="F98" t="s">
        <v>693</v>
      </c>
      <c r="G98">
        <f t="shared" si="2"/>
        <v>2030</v>
      </c>
      <c r="H98" t="str">
        <f t="shared" ca="1" si="3"/>
        <v>Valid</v>
      </c>
    </row>
    <row r="99" spans="1:8" ht="15.75" customHeight="1">
      <c r="A99" t="s">
        <v>828</v>
      </c>
      <c r="B99" t="s">
        <v>829</v>
      </c>
      <c r="C99" t="s">
        <v>830</v>
      </c>
      <c r="D99" t="s">
        <v>131</v>
      </c>
      <c r="E99">
        <v>2024</v>
      </c>
      <c r="F99" t="s">
        <v>689</v>
      </c>
      <c r="G99">
        <f t="shared" si="2"/>
        <v>2027</v>
      </c>
      <c r="H99" t="str">
        <f t="shared" ca="1" si="3"/>
        <v>Valid</v>
      </c>
    </row>
    <row r="100" spans="1:8" ht="15.75" customHeight="1">
      <c r="A100" t="s">
        <v>831</v>
      </c>
      <c r="B100" t="s">
        <v>832</v>
      </c>
      <c r="C100" t="s">
        <v>833</v>
      </c>
      <c r="D100" t="s">
        <v>131</v>
      </c>
      <c r="E100">
        <v>2026</v>
      </c>
      <c r="F100" t="s">
        <v>689</v>
      </c>
      <c r="G100">
        <f t="shared" si="2"/>
        <v>2029</v>
      </c>
      <c r="H100" t="str">
        <f t="shared" ca="1" si="3"/>
        <v>Valid</v>
      </c>
    </row>
    <row r="101" spans="1:8" ht="15.75" customHeight="1">
      <c r="A101" t="s">
        <v>834</v>
      </c>
      <c r="B101" t="s">
        <v>835</v>
      </c>
      <c r="C101" t="s">
        <v>836</v>
      </c>
      <c r="D101" t="s">
        <v>131</v>
      </c>
      <c r="G101" t="str">
        <f t="shared" si="2"/>
        <v/>
      </c>
      <c r="H101" t="str">
        <f t="shared" ca="1" si="3"/>
        <v>Valid</v>
      </c>
    </row>
    <row r="102" spans="1:8" ht="15.75" customHeight="1">
      <c r="A102" t="s">
        <v>129</v>
      </c>
      <c r="B102" t="s">
        <v>130</v>
      </c>
      <c r="C102" t="s">
        <v>123</v>
      </c>
      <c r="D102" t="s">
        <v>131</v>
      </c>
      <c r="E102">
        <v>2023</v>
      </c>
      <c r="F102" t="s">
        <v>689</v>
      </c>
      <c r="G102">
        <f t="shared" si="2"/>
        <v>2026</v>
      </c>
      <c r="H102" t="str">
        <f t="shared" ca="1" si="3"/>
        <v>Due</v>
      </c>
    </row>
    <row r="103" spans="1:8" ht="15.75" customHeight="1">
      <c r="A103" t="s">
        <v>132</v>
      </c>
      <c r="B103" t="s">
        <v>133</v>
      </c>
      <c r="C103" t="s">
        <v>93</v>
      </c>
      <c r="D103" t="s">
        <v>131</v>
      </c>
      <c r="E103">
        <v>2023</v>
      </c>
      <c r="F103" t="s">
        <v>689</v>
      </c>
      <c r="G103">
        <f t="shared" si="2"/>
        <v>2026</v>
      </c>
      <c r="H103" t="str">
        <f t="shared" ca="1" si="3"/>
        <v>Due</v>
      </c>
    </row>
    <row r="104" spans="1:8" ht="15.75" customHeight="1">
      <c r="A104" t="s">
        <v>134</v>
      </c>
      <c r="B104" t="s">
        <v>135</v>
      </c>
      <c r="C104" t="s">
        <v>136</v>
      </c>
      <c r="D104" t="s">
        <v>131</v>
      </c>
      <c r="G104" t="str">
        <f t="shared" si="2"/>
        <v/>
      </c>
      <c r="H104" t="str">
        <f t="shared" ca="1" si="3"/>
        <v>Valid</v>
      </c>
    </row>
    <row r="105" spans="1:8" ht="15.75" customHeight="1">
      <c r="A105" t="s">
        <v>137</v>
      </c>
      <c r="B105" t="s">
        <v>138</v>
      </c>
      <c r="C105" t="s">
        <v>139</v>
      </c>
      <c r="D105" t="s">
        <v>131</v>
      </c>
      <c r="E105">
        <v>2021</v>
      </c>
      <c r="F105" t="s">
        <v>689</v>
      </c>
      <c r="G105">
        <f t="shared" si="2"/>
        <v>2024</v>
      </c>
      <c r="H105" t="str">
        <f t="shared" ca="1" si="3"/>
        <v>Due</v>
      </c>
    </row>
    <row r="106" spans="1:8" ht="15.75" customHeight="1">
      <c r="A106" t="s">
        <v>140</v>
      </c>
      <c r="B106" t="s">
        <v>141</v>
      </c>
      <c r="C106" t="s">
        <v>82</v>
      </c>
      <c r="D106" t="s">
        <v>131</v>
      </c>
      <c r="E106">
        <v>2025</v>
      </c>
      <c r="F106" t="s">
        <v>689</v>
      </c>
      <c r="G106">
        <f t="shared" si="2"/>
        <v>2028</v>
      </c>
      <c r="H106" t="str">
        <f t="shared" ca="1" si="3"/>
        <v>Valid</v>
      </c>
    </row>
    <row r="107" spans="1:8" ht="15.75" customHeight="1">
      <c r="A107" t="s">
        <v>142</v>
      </c>
      <c r="B107" t="s">
        <v>143</v>
      </c>
      <c r="C107" t="s">
        <v>144</v>
      </c>
      <c r="D107" t="s">
        <v>131</v>
      </c>
      <c r="G107" t="str">
        <f t="shared" si="2"/>
        <v/>
      </c>
      <c r="H107" t="str">
        <f t="shared" ca="1" si="3"/>
        <v>Valid</v>
      </c>
    </row>
    <row r="108" spans="1:8" ht="15.75" customHeight="1">
      <c r="A108" t="s">
        <v>145</v>
      </c>
      <c r="B108" t="s">
        <v>146</v>
      </c>
      <c r="C108" t="s">
        <v>144</v>
      </c>
      <c r="D108" t="s">
        <v>131</v>
      </c>
      <c r="G108" t="str">
        <f t="shared" si="2"/>
        <v/>
      </c>
      <c r="H108" t="str">
        <f t="shared" ca="1" si="3"/>
        <v>Valid</v>
      </c>
    </row>
    <row r="109" spans="1:8" ht="15.75" customHeight="1">
      <c r="A109" t="s">
        <v>147</v>
      </c>
      <c r="B109" t="s">
        <v>148</v>
      </c>
      <c r="C109" t="s">
        <v>79</v>
      </c>
      <c r="D109" t="s">
        <v>131</v>
      </c>
      <c r="E109">
        <v>2025</v>
      </c>
      <c r="F109" t="s">
        <v>689</v>
      </c>
      <c r="G109">
        <f t="shared" si="2"/>
        <v>2028</v>
      </c>
      <c r="H109" t="str">
        <f t="shared" ca="1" si="3"/>
        <v>Valid</v>
      </c>
    </row>
    <row r="110" spans="1:8" ht="15.75" customHeight="1">
      <c r="A110" t="s">
        <v>837</v>
      </c>
      <c r="B110" t="s">
        <v>838</v>
      </c>
      <c r="C110" t="s">
        <v>839</v>
      </c>
      <c r="D110" t="s">
        <v>131</v>
      </c>
      <c r="G110" t="str">
        <f t="shared" si="2"/>
        <v/>
      </c>
      <c r="H110" t="str">
        <f t="shared" ca="1" si="3"/>
        <v>Valid</v>
      </c>
    </row>
    <row r="111" spans="1:8" ht="15.75" customHeight="1">
      <c r="A111" t="s">
        <v>840</v>
      </c>
      <c r="B111" t="s">
        <v>841</v>
      </c>
      <c r="C111" t="s">
        <v>842</v>
      </c>
      <c r="D111" t="s">
        <v>131</v>
      </c>
      <c r="E111">
        <v>2022</v>
      </c>
      <c r="F111" t="s">
        <v>689</v>
      </c>
      <c r="G111">
        <f t="shared" si="2"/>
        <v>2025</v>
      </c>
      <c r="H111" t="str">
        <f t="shared" ca="1" si="3"/>
        <v>Due</v>
      </c>
    </row>
    <row r="112" spans="1:8" ht="15.75" customHeight="1">
      <c r="A112" t="s">
        <v>843</v>
      </c>
      <c r="B112" t="s">
        <v>844</v>
      </c>
      <c r="C112" t="s">
        <v>845</v>
      </c>
      <c r="D112" t="s">
        <v>152</v>
      </c>
      <c r="E112">
        <v>2021</v>
      </c>
      <c r="F112" t="s">
        <v>689</v>
      </c>
      <c r="G112">
        <f t="shared" si="2"/>
        <v>2024</v>
      </c>
      <c r="H112" t="str">
        <f t="shared" ca="1" si="3"/>
        <v>Due</v>
      </c>
    </row>
    <row r="113" spans="1:8" ht="15.75" customHeight="1">
      <c r="A113" t="s">
        <v>846</v>
      </c>
      <c r="B113" t="s">
        <v>847</v>
      </c>
      <c r="C113" t="s">
        <v>848</v>
      </c>
      <c r="D113" t="s">
        <v>152</v>
      </c>
      <c r="G113" t="str">
        <f t="shared" si="2"/>
        <v/>
      </c>
      <c r="H113" t="str">
        <f t="shared" ca="1" si="3"/>
        <v>Valid</v>
      </c>
    </row>
    <row r="114" spans="1:8" ht="15.75" customHeight="1">
      <c r="A114" t="s">
        <v>849</v>
      </c>
      <c r="B114" t="s">
        <v>850</v>
      </c>
      <c r="C114" t="s">
        <v>851</v>
      </c>
      <c r="D114" t="s">
        <v>152</v>
      </c>
      <c r="G114" t="str">
        <f t="shared" si="2"/>
        <v/>
      </c>
      <c r="H114" t="str">
        <f t="shared" ca="1" si="3"/>
        <v>Valid</v>
      </c>
    </row>
    <row r="115" spans="1:8" ht="15.75" customHeight="1">
      <c r="A115" t="s">
        <v>852</v>
      </c>
      <c r="B115" t="s">
        <v>853</v>
      </c>
      <c r="C115" t="s">
        <v>851</v>
      </c>
      <c r="D115" t="s">
        <v>152</v>
      </c>
      <c r="E115">
        <v>2021</v>
      </c>
      <c r="F115" t="s">
        <v>689</v>
      </c>
      <c r="G115">
        <f t="shared" si="2"/>
        <v>2024</v>
      </c>
      <c r="H115" t="str">
        <f t="shared" ca="1" si="3"/>
        <v>Due</v>
      </c>
    </row>
    <row r="116" spans="1:8" ht="15.75" customHeight="1">
      <c r="A116" t="s">
        <v>854</v>
      </c>
      <c r="B116" t="s">
        <v>855</v>
      </c>
      <c r="C116" t="s">
        <v>856</v>
      </c>
      <c r="D116" t="s">
        <v>152</v>
      </c>
      <c r="E116">
        <v>2018</v>
      </c>
      <c r="F116" t="s">
        <v>768</v>
      </c>
      <c r="G116" t="str">
        <f t="shared" si="2"/>
        <v>Lifetime</v>
      </c>
      <c r="H116" t="str">
        <f t="shared" ca="1" si="3"/>
        <v>Valid</v>
      </c>
    </row>
    <row r="117" spans="1:8" ht="15.75" customHeight="1">
      <c r="A117" t="s">
        <v>149</v>
      </c>
      <c r="B117" t="s">
        <v>150</v>
      </c>
      <c r="C117" t="s">
        <v>151</v>
      </c>
      <c r="D117" t="s">
        <v>152</v>
      </c>
      <c r="E117">
        <v>2021</v>
      </c>
      <c r="F117" t="s">
        <v>689</v>
      </c>
      <c r="G117">
        <f t="shared" si="2"/>
        <v>2024</v>
      </c>
      <c r="H117" t="str">
        <f t="shared" ca="1" si="3"/>
        <v>Due</v>
      </c>
    </row>
    <row r="118" spans="1:8" ht="15.75" customHeight="1">
      <c r="A118" t="s">
        <v>153</v>
      </c>
      <c r="B118" t="s">
        <v>154</v>
      </c>
      <c r="C118" t="s">
        <v>155</v>
      </c>
      <c r="D118" t="s">
        <v>152</v>
      </c>
      <c r="E118">
        <v>2023</v>
      </c>
      <c r="F118" t="s">
        <v>689</v>
      </c>
      <c r="G118">
        <f t="shared" si="2"/>
        <v>2026</v>
      </c>
      <c r="H118" t="str">
        <f t="shared" ca="1" si="3"/>
        <v>Due</v>
      </c>
    </row>
    <row r="119" spans="1:8" ht="15.75" customHeight="1">
      <c r="A119" t="s">
        <v>156</v>
      </c>
      <c r="B119" t="s">
        <v>157</v>
      </c>
      <c r="C119" t="s">
        <v>155</v>
      </c>
      <c r="D119" t="s">
        <v>152</v>
      </c>
      <c r="E119">
        <v>2019</v>
      </c>
      <c r="F119" t="s">
        <v>689</v>
      </c>
      <c r="G119">
        <f t="shared" si="2"/>
        <v>2022</v>
      </c>
      <c r="H119" t="str">
        <f t="shared" ca="1" si="3"/>
        <v>Due</v>
      </c>
    </row>
    <row r="120" spans="1:8" ht="15.75" customHeight="1">
      <c r="A120" t="s">
        <v>158</v>
      </c>
      <c r="B120" t="s">
        <v>159</v>
      </c>
      <c r="C120" t="s">
        <v>39</v>
      </c>
      <c r="D120" t="s">
        <v>152</v>
      </c>
      <c r="G120" t="str">
        <f t="shared" si="2"/>
        <v/>
      </c>
      <c r="H120" t="str">
        <f t="shared" ca="1" si="3"/>
        <v>Valid</v>
      </c>
    </row>
    <row r="121" spans="1:8" ht="15.75" customHeight="1">
      <c r="A121" t="s">
        <v>160</v>
      </c>
      <c r="B121" t="s">
        <v>161</v>
      </c>
      <c r="C121" t="s">
        <v>39</v>
      </c>
      <c r="D121" t="s">
        <v>152</v>
      </c>
      <c r="E121">
        <v>2022</v>
      </c>
      <c r="F121" t="s">
        <v>689</v>
      </c>
      <c r="G121">
        <f t="shared" si="2"/>
        <v>2025</v>
      </c>
      <c r="H121" t="str">
        <f t="shared" ca="1" si="3"/>
        <v>Due</v>
      </c>
    </row>
    <row r="122" spans="1:8" ht="15.75" customHeight="1">
      <c r="A122" t="s">
        <v>162</v>
      </c>
      <c r="B122" t="s">
        <v>163</v>
      </c>
      <c r="C122" t="s">
        <v>139</v>
      </c>
      <c r="D122" t="s">
        <v>152</v>
      </c>
      <c r="E122">
        <v>2026</v>
      </c>
      <c r="F122" t="s">
        <v>689</v>
      </c>
      <c r="G122">
        <f t="shared" si="2"/>
        <v>2029</v>
      </c>
      <c r="H122" t="str">
        <f t="shared" ca="1" si="3"/>
        <v>Valid</v>
      </c>
    </row>
    <row r="123" spans="1:8" ht="15.75" customHeight="1">
      <c r="A123" t="s">
        <v>164</v>
      </c>
      <c r="B123" t="s">
        <v>165</v>
      </c>
      <c r="C123" t="s">
        <v>139</v>
      </c>
      <c r="D123" t="s">
        <v>152</v>
      </c>
      <c r="E123">
        <v>2018</v>
      </c>
      <c r="F123" t="s">
        <v>689</v>
      </c>
      <c r="G123">
        <f t="shared" si="2"/>
        <v>2021</v>
      </c>
      <c r="H123" t="str">
        <f t="shared" ca="1" si="3"/>
        <v>Due</v>
      </c>
    </row>
    <row r="124" spans="1:8" ht="15.75" customHeight="1">
      <c r="A124" t="s">
        <v>857</v>
      </c>
      <c r="B124" t="s">
        <v>858</v>
      </c>
      <c r="C124" t="s">
        <v>859</v>
      </c>
      <c r="D124" t="s">
        <v>152</v>
      </c>
      <c r="G124" t="str">
        <f t="shared" si="2"/>
        <v/>
      </c>
      <c r="H124" t="str">
        <f t="shared" ca="1" si="3"/>
        <v>Valid</v>
      </c>
    </row>
    <row r="125" spans="1:8" ht="15.75" customHeight="1">
      <c r="A125" t="s">
        <v>166</v>
      </c>
      <c r="B125" t="s">
        <v>167</v>
      </c>
      <c r="C125" t="s">
        <v>168</v>
      </c>
      <c r="D125" t="s">
        <v>152</v>
      </c>
      <c r="G125" t="str">
        <f t="shared" si="2"/>
        <v/>
      </c>
      <c r="H125" t="str">
        <f t="shared" ca="1" si="3"/>
        <v>Valid</v>
      </c>
    </row>
    <row r="126" spans="1:8" ht="15.75" customHeight="1">
      <c r="A126" t="s">
        <v>169</v>
      </c>
      <c r="B126" t="s">
        <v>170</v>
      </c>
      <c r="C126" t="s">
        <v>171</v>
      </c>
      <c r="D126" t="s">
        <v>152</v>
      </c>
      <c r="E126">
        <v>2022</v>
      </c>
      <c r="F126" t="s">
        <v>689</v>
      </c>
      <c r="G126">
        <f t="shared" si="2"/>
        <v>2025</v>
      </c>
      <c r="H126" t="str">
        <f t="shared" ca="1" si="3"/>
        <v>Due</v>
      </c>
    </row>
    <row r="127" spans="1:8" ht="15.75" customHeight="1">
      <c r="A127" t="s">
        <v>172</v>
      </c>
      <c r="B127" t="s">
        <v>173</v>
      </c>
      <c r="C127" t="s">
        <v>174</v>
      </c>
      <c r="D127" t="s">
        <v>152</v>
      </c>
      <c r="G127" t="str">
        <f t="shared" si="2"/>
        <v/>
      </c>
      <c r="H127" t="str">
        <f t="shared" ca="1" si="3"/>
        <v>Valid</v>
      </c>
    </row>
    <row r="128" spans="1:8" ht="15.75" customHeight="1">
      <c r="A128" t="s">
        <v>860</v>
      </c>
      <c r="B128" t="s">
        <v>861</v>
      </c>
      <c r="C128" t="s">
        <v>862</v>
      </c>
      <c r="D128" t="s">
        <v>152</v>
      </c>
      <c r="G128" t="str">
        <f t="shared" si="2"/>
        <v/>
      </c>
      <c r="H128" t="str">
        <f t="shared" ca="1" si="3"/>
        <v>Valid</v>
      </c>
    </row>
    <row r="129" spans="1:8" ht="15.75" customHeight="1">
      <c r="A129" t="s">
        <v>863</v>
      </c>
      <c r="B129" t="s">
        <v>864</v>
      </c>
      <c r="C129" t="s">
        <v>862</v>
      </c>
      <c r="D129" t="s">
        <v>152</v>
      </c>
      <c r="G129" t="str">
        <f t="shared" si="2"/>
        <v/>
      </c>
      <c r="H129" t="str">
        <f t="shared" ca="1" si="3"/>
        <v>Valid</v>
      </c>
    </row>
    <row r="130" spans="1:8" ht="15.75" customHeight="1">
      <c r="A130" t="s">
        <v>865</v>
      </c>
      <c r="B130" t="s">
        <v>866</v>
      </c>
      <c r="C130" t="s">
        <v>862</v>
      </c>
      <c r="D130" t="s">
        <v>152</v>
      </c>
      <c r="G130" t="str">
        <f t="shared" si="2"/>
        <v/>
      </c>
      <c r="H130" t="str">
        <f t="shared" ca="1" si="3"/>
        <v>Valid</v>
      </c>
    </row>
    <row r="131" spans="1:8" ht="15.75" customHeight="1">
      <c r="A131" t="s">
        <v>867</v>
      </c>
      <c r="B131" t="s">
        <v>868</v>
      </c>
      <c r="C131" t="s">
        <v>869</v>
      </c>
      <c r="D131" t="s">
        <v>152</v>
      </c>
      <c r="G131" t="str">
        <f t="shared" si="2"/>
        <v/>
      </c>
      <c r="H131" t="str">
        <f t="shared" ca="1" si="3"/>
        <v>Valid</v>
      </c>
    </row>
    <row r="132" spans="1:8" ht="15.75" customHeight="1">
      <c r="A132" t="s">
        <v>870</v>
      </c>
      <c r="B132" t="s">
        <v>871</v>
      </c>
      <c r="C132" t="s">
        <v>872</v>
      </c>
      <c r="D132" t="s">
        <v>152</v>
      </c>
      <c r="G132" t="str">
        <f t="shared" ref="G132:G195" si="4">IF(ISBLANK(E132), "", IF(OR(F132="First aid (M)", F132="First aid (L)"), "Lifetime", IF(F132="First aid (V)", E132+5, E132+3)))</f>
        <v/>
      </c>
      <c r="H132" t="str">
        <f t="shared" ref="H132:H195" ca="1" si="5">IF(ISBLANK(G132), "", IF(G132="Lifetime", "Valid", IF(YEAR(TODAY())&gt;=G132, "Due", "Valid")))</f>
        <v>Valid</v>
      </c>
    </row>
    <row r="133" spans="1:8" ht="15.75" customHeight="1">
      <c r="A133" t="s">
        <v>873</v>
      </c>
      <c r="B133" t="s">
        <v>874</v>
      </c>
      <c r="C133" t="s">
        <v>872</v>
      </c>
      <c r="D133" t="s">
        <v>152</v>
      </c>
      <c r="E133">
        <v>2026</v>
      </c>
      <c r="F133" t="s">
        <v>689</v>
      </c>
      <c r="G133">
        <f t="shared" si="4"/>
        <v>2029</v>
      </c>
      <c r="H133" t="str">
        <f t="shared" ca="1" si="5"/>
        <v>Valid</v>
      </c>
    </row>
    <row r="134" spans="1:8" ht="15.75" customHeight="1">
      <c r="A134" t="s">
        <v>875</v>
      </c>
      <c r="B134" t="s">
        <v>876</v>
      </c>
      <c r="C134" t="s">
        <v>877</v>
      </c>
      <c r="D134" t="s">
        <v>152</v>
      </c>
      <c r="E134">
        <v>2022</v>
      </c>
      <c r="F134" t="s">
        <v>689</v>
      </c>
      <c r="G134">
        <f t="shared" si="4"/>
        <v>2025</v>
      </c>
      <c r="H134" t="str">
        <f t="shared" ca="1" si="5"/>
        <v>Due</v>
      </c>
    </row>
    <row r="135" spans="1:8" ht="15.75" customHeight="1">
      <c r="A135" t="s">
        <v>878</v>
      </c>
      <c r="B135" t="s">
        <v>879</v>
      </c>
      <c r="C135" t="s">
        <v>877</v>
      </c>
      <c r="D135" t="s">
        <v>152</v>
      </c>
      <c r="E135">
        <v>2024</v>
      </c>
      <c r="F135" t="s">
        <v>689</v>
      </c>
      <c r="G135">
        <f t="shared" si="4"/>
        <v>2027</v>
      </c>
      <c r="H135" t="str">
        <f t="shared" ca="1" si="5"/>
        <v>Valid</v>
      </c>
    </row>
    <row r="136" spans="1:8" ht="15.75" customHeight="1">
      <c r="A136" t="s">
        <v>880</v>
      </c>
      <c r="B136" t="s">
        <v>881</v>
      </c>
      <c r="C136" t="s">
        <v>882</v>
      </c>
      <c r="D136" t="s">
        <v>152</v>
      </c>
      <c r="E136">
        <v>2024</v>
      </c>
      <c r="F136" t="s">
        <v>689</v>
      </c>
      <c r="G136">
        <f t="shared" si="4"/>
        <v>2027</v>
      </c>
      <c r="H136" t="str">
        <f t="shared" ca="1" si="5"/>
        <v>Valid</v>
      </c>
    </row>
    <row r="137" spans="1:8" ht="15.75" customHeight="1">
      <c r="A137" t="s">
        <v>883</v>
      </c>
      <c r="B137" t="s">
        <v>884</v>
      </c>
      <c r="C137" t="s">
        <v>882</v>
      </c>
      <c r="D137" t="s">
        <v>152</v>
      </c>
      <c r="G137" t="str">
        <f t="shared" si="4"/>
        <v/>
      </c>
      <c r="H137" t="str">
        <f t="shared" ca="1" si="5"/>
        <v>Valid</v>
      </c>
    </row>
    <row r="138" spans="1:8" ht="15.75" customHeight="1">
      <c r="A138" t="s">
        <v>885</v>
      </c>
      <c r="B138" t="s">
        <v>886</v>
      </c>
      <c r="C138" t="s">
        <v>882</v>
      </c>
      <c r="D138" t="s">
        <v>152</v>
      </c>
      <c r="E138">
        <v>2021</v>
      </c>
      <c r="F138" t="s">
        <v>689</v>
      </c>
      <c r="G138">
        <f t="shared" si="4"/>
        <v>2024</v>
      </c>
      <c r="H138" t="str">
        <f t="shared" ca="1" si="5"/>
        <v>Due</v>
      </c>
    </row>
    <row r="139" spans="1:8" ht="15.75" customHeight="1">
      <c r="A139" t="s">
        <v>887</v>
      </c>
      <c r="B139" t="s">
        <v>888</v>
      </c>
      <c r="C139" t="s">
        <v>889</v>
      </c>
      <c r="D139" t="s">
        <v>152</v>
      </c>
      <c r="G139" t="str">
        <f t="shared" si="4"/>
        <v/>
      </c>
      <c r="H139" t="str">
        <f t="shared" ca="1" si="5"/>
        <v>Valid</v>
      </c>
    </row>
    <row r="140" spans="1:8" ht="15.75" customHeight="1">
      <c r="A140" t="s">
        <v>890</v>
      </c>
      <c r="B140" t="s">
        <v>891</v>
      </c>
      <c r="C140" t="s">
        <v>889</v>
      </c>
      <c r="D140" t="s">
        <v>152</v>
      </c>
      <c r="E140">
        <v>2022</v>
      </c>
      <c r="F140" t="s">
        <v>689</v>
      </c>
      <c r="G140">
        <f t="shared" si="4"/>
        <v>2025</v>
      </c>
      <c r="H140" t="str">
        <f t="shared" ca="1" si="5"/>
        <v>Due</v>
      </c>
    </row>
    <row r="141" spans="1:8" ht="15.75" customHeight="1">
      <c r="A141" t="s">
        <v>892</v>
      </c>
      <c r="B141" t="s">
        <v>893</v>
      </c>
      <c r="C141" t="s">
        <v>894</v>
      </c>
      <c r="D141" t="s">
        <v>152</v>
      </c>
      <c r="E141">
        <v>2021</v>
      </c>
      <c r="F141" t="s">
        <v>689</v>
      </c>
      <c r="G141">
        <f t="shared" si="4"/>
        <v>2024</v>
      </c>
      <c r="H141" t="str">
        <f t="shared" ca="1" si="5"/>
        <v>Due</v>
      </c>
    </row>
    <row r="142" spans="1:8" ht="15.75" customHeight="1">
      <c r="A142" t="s">
        <v>895</v>
      </c>
      <c r="B142" t="s">
        <v>896</v>
      </c>
      <c r="C142" t="s">
        <v>851</v>
      </c>
      <c r="D142" t="s">
        <v>152</v>
      </c>
      <c r="E142">
        <v>2018</v>
      </c>
      <c r="F142" t="s">
        <v>693</v>
      </c>
      <c r="G142">
        <f t="shared" si="4"/>
        <v>2023</v>
      </c>
      <c r="H142" t="str">
        <f t="shared" ca="1" si="5"/>
        <v>Due</v>
      </c>
    </row>
    <row r="143" spans="1:8" ht="15.75" customHeight="1">
      <c r="A143" t="s">
        <v>897</v>
      </c>
      <c r="B143" t="s">
        <v>898</v>
      </c>
      <c r="C143" t="s">
        <v>899</v>
      </c>
      <c r="D143" t="s">
        <v>152</v>
      </c>
      <c r="G143" t="str">
        <f t="shared" si="4"/>
        <v/>
      </c>
      <c r="H143" t="str">
        <f t="shared" ca="1" si="5"/>
        <v>Valid</v>
      </c>
    </row>
    <row r="144" spans="1:8" ht="15.75" customHeight="1">
      <c r="A144" t="s">
        <v>900</v>
      </c>
      <c r="B144" t="s">
        <v>901</v>
      </c>
      <c r="C144" t="s">
        <v>902</v>
      </c>
      <c r="D144" t="s">
        <v>152</v>
      </c>
      <c r="E144">
        <v>2026</v>
      </c>
      <c r="F144" t="s">
        <v>689</v>
      </c>
      <c r="G144">
        <f t="shared" si="4"/>
        <v>2029</v>
      </c>
      <c r="H144" t="str">
        <f t="shared" ca="1" si="5"/>
        <v>Valid</v>
      </c>
    </row>
    <row r="145" spans="1:8" ht="15.75" customHeight="1">
      <c r="A145" t="s">
        <v>903</v>
      </c>
      <c r="B145" t="s">
        <v>904</v>
      </c>
      <c r="C145" t="s">
        <v>902</v>
      </c>
      <c r="D145" t="s">
        <v>152</v>
      </c>
      <c r="E145">
        <v>2026</v>
      </c>
      <c r="F145" t="s">
        <v>689</v>
      </c>
      <c r="G145">
        <f t="shared" si="4"/>
        <v>2029</v>
      </c>
      <c r="H145" t="str">
        <f t="shared" ca="1" si="5"/>
        <v>Valid</v>
      </c>
    </row>
    <row r="146" spans="1:8" ht="15.75" customHeight="1">
      <c r="A146" t="s">
        <v>905</v>
      </c>
      <c r="B146" t="s">
        <v>906</v>
      </c>
      <c r="C146" t="s">
        <v>907</v>
      </c>
      <c r="D146" t="s">
        <v>152</v>
      </c>
      <c r="E146">
        <v>2021</v>
      </c>
      <c r="F146" t="s">
        <v>689</v>
      </c>
      <c r="G146">
        <f t="shared" si="4"/>
        <v>2024</v>
      </c>
      <c r="H146" t="str">
        <f t="shared" ca="1" si="5"/>
        <v>Due</v>
      </c>
    </row>
    <row r="147" spans="1:8" ht="15.75" customHeight="1">
      <c r="A147" t="s">
        <v>908</v>
      </c>
      <c r="B147" t="s">
        <v>909</v>
      </c>
      <c r="C147" t="s">
        <v>910</v>
      </c>
      <c r="D147" t="s">
        <v>152</v>
      </c>
      <c r="E147">
        <v>2021</v>
      </c>
      <c r="F147" t="s">
        <v>689</v>
      </c>
      <c r="G147">
        <f t="shared" si="4"/>
        <v>2024</v>
      </c>
      <c r="H147" t="str">
        <f t="shared" ca="1" si="5"/>
        <v>Due</v>
      </c>
    </row>
    <row r="148" spans="1:8" ht="15.75" customHeight="1">
      <c r="A148" t="s">
        <v>911</v>
      </c>
      <c r="B148" t="s">
        <v>912</v>
      </c>
      <c r="C148" t="s">
        <v>913</v>
      </c>
      <c r="D148" t="s">
        <v>152</v>
      </c>
      <c r="E148">
        <v>2023</v>
      </c>
      <c r="F148" t="s">
        <v>689</v>
      </c>
      <c r="G148">
        <f t="shared" si="4"/>
        <v>2026</v>
      </c>
      <c r="H148" t="str">
        <f t="shared" ca="1" si="5"/>
        <v>Due</v>
      </c>
    </row>
    <row r="149" spans="1:8" ht="15.75" customHeight="1">
      <c r="A149" t="s">
        <v>914</v>
      </c>
      <c r="B149" t="s">
        <v>915</v>
      </c>
      <c r="C149" t="s">
        <v>916</v>
      </c>
      <c r="D149" t="s">
        <v>152</v>
      </c>
      <c r="G149" t="str">
        <f t="shared" si="4"/>
        <v/>
      </c>
      <c r="H149" t="str">
        <f t="shared" ca="1" si="5"/>
        <v>Valid</v>
      </c>
    </row>
    <row r="150" spans="1:8" ht="15.75" customHeight="1">
      <c r="A150" t="s">
        <v>917</v>
      </c>
      <c r="B150" t="s">
        <v>918</v>
      </c>
      <c r="C150" t="s">
        <v>919</v>
      </c>
      <c r="D150" t="s">
        <v>152</v>
      </c>
      <c r="E150">
        <v>2025</v>
      </c>
      <c r="F150" t="s">
        <v>689</v>
      </c>
      <c r="G150">
        <f t="shared" si="4"/>
        <v>2028</v>
      </c>
      <c r="H150" t="str">
        <f t="shared" ca="1" si="5"/>
        <v>Valid</v>
      </c>
    </row>
    <row r="151" spans="1:8" ht="15.75" customHeight="1">
      <c r="A151" t="s">
        <v>175</v>
      </c>
      <c r="B151" t="s">
        <v>176</v>
      </c>
      <c r="C151" t="s">
        <v>177</v>
      </c>
      <c r="D151" t="s">
        <v>152</v>
      </c>
      <c r="E151">
        <v>2025</v>
      </c>
      <c r="F151" t="s">
        <v>689</v>
      </c>
      <c r="G151">
        <f t="shared" si="4"/>
        <v>2028</v>
      </c>
      <c r="H151" t="str">
        <f t="shared" ca="1" si="5"/>
        <v>Valid</v>
      </c>
    </row>
    <row r="152" spans="1:8" ht="15.75" customHeight="1">
      <c r="A152" t="s">
        <v>178</v>
      </c>
      <c r="B152" t="s">
        <v>179</v>
      </c>
      <c r="C152" t="s">
        <v>177</v>
      </c>
      <c r="D152" t="s">
        <v>152</v>
      </c>
      <c r="G152" t="str">
        <f t="shared" si="4"/>
        <v/>
      </c>
      <c r="H152" t="str">
        <f t="shared" ca="1" si="5"/>
        <v>Valid</v>
      </c>
    </row>
    <row r="153" spans="1:8" ht="15.75" customHeight="1">
      <c r="A153" t="s">
        <v>180</v>
      </c>
      <c r="B153" t="s">
        <v>181</v>
      </c>
      <c r="C153" t="s">
        <v>39</v>
      </c>
      <c r="D153" t="s">
        <v>152</v>
      </c>
      <c r="E153">
        <v>2019</v>
      </c>
      <c r="F153" t="s">
        <v>689</v>
      </c>
      <c r="G153">
        <f t="shared" si="4"/>
        <v>2022</v>
      </c>
      <c r="H153" t="str">
        <f t="shared" ca="1" si="5"/>
        <v>Due</v>
      </c>
    </row>
    <row r="154" spans="1:8" ht="15.75" customHeight="1">
      <c r="A154" t="s">
        <v>182</v>
      </c>
      <c r="B154" t="s">
        <v>183</v>
      </c>
      <c r="C154" t="s">
        <v>39</v>
      </c>
      <c r="D154" t="s">
        <v>152</v>
      </c>
      <c r="G154" t="str">
        <f t="shared" si="4"/>
        <v/>
      </c>
      <c r="H154" t="str">
        <f t="shared" ca="1" si="5"/>
        <v>Valid</v>
      </c>
    </row>
    <row r="155" spans="1:8" ht="15.75" customHeight="1">
      <c r="A155" t="s">
        <v>184</v>
      </c>
      <c r="B155" t="s">
        <v>185</v>
      </c>
      <c r="C155" t="s">
        <v>39</v>
      </c>
      <c r="D155" t="s">
        <v>152</v>
      </c>
      <c r="E155">
        <v>2019</v>
      </c>
      <c r="F155" t="s">
        <v>689</v>
      </c>
      <c r="G155">
        <f t="shared" si="4"/>
        <v>2022</v>
      </c>
      <c r="H155" t="str">
        <f t="shared" ca="1" si="5"/>
        <v>Due</v>
      </c>
    </row>
    <row r="156" spans="1:8" ht="15.75" customHeight="1">
      <c r="A156" t="s">
        <v>186</v>
      </c>
      <c r="B156" t="s">
        <v>187</v>
      </c>
      <c r="C156" t="s">
        <v>39</v>
      </c>
      <c r="D156" t="s">
        <v>152</v>
      </c>
      <c r="G156" t="str">
        <f t="shared" si="4"/>
        <v/>
      </c>
      <c r="H156" t="str">
        <f t="shared" ca="1" si="5"/>
        <v>Valid</v>
      </c>
    </row>
    <row r="157" spans="1:8" ht="15.75" customHeight="1">
      <c r="A157" t="s">
        <v>188</v>
      </c>
      <c r="B157" t="s">
        <v>189</v>
      </c>
      <c r="C157" t="s">
        <v>39</v>
      </c>
      <c r="D157" t="s">
        <v>152</v>
      </c>
      <c r="E157">
        <v>2022</v>
      </c>
      <c r="F157" t="s">
        <v>689</v>
      </c>
      <c r="G157">
        <f t="shared" si="4"/>
        <v>2025</v>
      </c>
      <c r="H157" t="str">
        <f t="shared" ca="1" si="5"/>
        <v>Due</v>
      </c>
    </row>
    <row r="158" spans="1:8" ht="15.75" customHeight="1">
      <c r="A158" t="s">
        <v>190</v>
      </c>
      <c r="B158" t="s">
        <v>191</v>
      </c>
      <c r="C158" t="s">
        <v>39</v>
      </c>
      <c r="D158" t="s">
        <v>152</v>
      </c>
      <c r="E158">
        <v>2017</v>
      </c>
      <c r="F158" t="s">
        <v>689</v>
      </c>
      <c r="G158">
        <f t="shared" si="4"/>
        <v>2020</v>
      </c>
      <c r="H158" t="str">
        <f t="shared" ca="1" si="5"/>
        <v>Due</v>
      </c>
    </row>
    <row r="159" spans="1:8" ht="15.75" customHeight="1">
      <c r="A159" t="s">
        <v>192</v>
      </c>
      <c r="B159" t="s">
        <v>193</v>
      </c>
      <c r="C159" t="s">
        <v>39</v>
      </c>
      <c r="D159" t="s">
        <v>152</v>
      </c>
      <c r="E159">
        <v>2019</v>
      </c>
      <c r="F159" t="s">
        <v>689</v>
      </c>
      <c r="G159">
        <f t="shared" si="4"/>
        <v>2022</v>
      </c>
      <c r="H159" t="str">
        <f t="shared" ca="1" si="5"/>
        <v>Due</v>
      </c>
    </row>
    <row r="160" spans="1:8" ht="15.75" customHeight="1">
      <c r="A160" t="s">
        <v>194</v>
      </c>
      <c r="B160" t="s">
        <v>195</v>
      </c>
      <c r="C160" t="s">
        <v>39</v>
      </c>
      <c r="D160" t="s">
        <v>152</v>
      </c>
      <c r="E160">
        <v>2021</v>
      </c>
      <c r="F160" t="s">
        <v>689</v>
      </c>
      <c r="G160">
        <f t="shared" si="4"/>
        <v>2024</v>
      </c>
      <c r="H160" t="str">
        <f t="shared" ca="1" si="5"/>
        <v>Due</v>
      </c>
    </row>
    <row r="161" spans="1:8" ht="15.75" customHeight="1">
      <c r="A161" t="s">
        <v>196</v>
      </c>
      <c r="B161" t="s">
        <v>197</v>
      </c>
      <c r="C161" t="s">
        <v>39</v>
      </c>
      <c r="D161" t="s">
        <v>152</v>
      </c>
      <c r="E161">
        <v>2019</v>
      </c>
      <c r="F161" t="s">
        <v>689</v>
      </c>
      <c r="G161">
        <f t="shared" si="4"/>
        <v>2022</v>
      </c>
      <c r="H161" t="str">
        <f t="shared" ca="1" si="5"/>
        <v>Due</v>
      </c>
    </row>
    <row r="162" spans="1:8" ht="15.75" customHeight="1">
      <c r="A162" t="s">
        <v>198</v>
      </c>
      <c r="B162" t="s">
        <v>199</v>
      </c>
      <c r="C162" t="s">
        <v>39</v>
      </c>
      <c r="D162" t="s">
        <v>152</v>
      </c>
      <c r="E162">
        <v>2022</v>
      </c>
      <c r="F162" t="s">
        <v>689</v>
      </c>
      <c r="G162">
        <f t="shared" si="4"/>
        <v>2025</v>
      </c>
      <c r="H162" t="str">
        <f t="shared" ca="1" si="5"/>
        <v>Due</v>
      </c>
    </row>
    <row r="163" spans="1:8" ht="15.75" customHeight="1">
      <c r="A163" t="s">
        <v>200</v>
      </c>
      <c r="B163" t="s">
        <v>201</v>
      </c>
      <c r="C163" t="s">
        <v>39</v>
      </c>
      <c r="D163" t="s">
        <v>152</v>
      </c>
      <c r="E163">
        <v>2023</v>
      </c>
      <c r="F163" t="s">
        <v>689</v>
      </c>
      <c r="G163">
        <f t="shared" si="4"/>
        <v>2026</v>
      </c>
      <c r="H163" t="str">
        <f t="shared" ca="1" si="5"/>
        <v>Due</v>
      </c>
    </row>
    <row r="164" spans="1:8" ht="15.75" customHeight="1">
      <c r="A164" t="s">
        <v>202</v>
      </c>
      <c r="B164" t="s">
        <v>203</v>
      </c>
      <c r="C164" t="s">
        <v>39</v>
      </c>
      <c r="D164" t="s">
        <v>152</v>
      </c>
      <c r="E164">
        <v>2019</v>
      </c>
      <c r="F164" t="s">
        <v>689</v>
      </c>
      <c r="G164">
        <f t="shared" si="4"/>
        <v>2022</v>
      </c>
      <c r="H164" t="str">
        <f t="shared" ca="1" si="5"/>
        <v>Due</v>
      </c>
    </row>
    <row r="165" spans="1:8" ht="15.75" customHeight="1">
      <c r="A165" t="s">
        <v>204</v>
      </c>
      <c r="B165" t="s">
        <v>205</v>
      </c>
      <c r="C165" t="s">
        <v>39</v>
      </c>
      <c r="D165" t="s">
        <v>152</v>
      </c>
      <c r="E165">
        <v>2023</v>
      </c>
      <c r="F165" t="s">
        <v>689</v>
      </c>
      <c r="G165">
        <f t="shared" si="4"/>
        <v>2026</v>
      </c>
      <c r="H165" t="str">
        <f t="shared" ca="1" si="5"/>
        <v>Due</v>
      </c>
    </row>
    <row r="166" spans="1:8" ht="15.75" customHeight="1">
      <c r="A166" t="s">
        <v>206</v>
      </c>
      <c r="B166" t="s">
        <v>207</v>
      </c>
      <c r="C166" t="s">
        <v>39</v>
      </c>
      <c r="D166" t="s">
        <v>152</v>
      </c>
      <c r="E166">
        <v>2021</v>
      </c>
      <c r="F166" t="s">
        <v>689</v>
      </c>
      <c r="G166">
        <f t="shared" si="4"/>
        <v>2024</v>
      </c>
      <c r="H166" t="str">
        <f t="shared" ca="1" si="5"/>
        <v>Due</v>
      </c>
    </row>
    <row r="167" spans="1:8" ht="15.75" customHeight="1">
      <c r="A167" t="s">
        <v>208</v>
      </c>
      <c r="B167" t="s">
        <v>209</v>
      </c>
      <c r="C167" t="s">
        <v>39</v>
      </c>
      <c r="D167" t="s">
        <v>152</v>
      </c>
      <c r="E167">
        <v>2023</v>
      </c>
      <c r="F167" t="s">
        <v>689</v>
      </c>
      <c r="G167">
        <f t="shared" si="4"/>
        <v>2026</v>
      </c>
      <c r="H167" t="str">
        <f t="shared" ca="1" si="5"/>
        <v>Due</v>
      </c>
    </row>
    <row r="168" spans="1:8" ht="15.75" customHeight="1">
      <c r="A168" t="s">
        <v>210</v>
      </c>
      <c r="B168" t="s">
        <v>211</v>
      </c>
      <c r="C168" t="s">
        <v>39</v>
      </c>
      <c r="D168" t="s">
        <v>152</v>
      </c>
      <c r="E168">
        <v>2018</v>
      </c>
      <c r="F168" t="s">
        <v>689</v>
      </c>
      <c r="G168">
        <f t="shared" si="4"/>
        <v>2021</v>
      </c>
      <c r="H168" t="str">
        <f t="shared" ca="1" si="5"/>
        <v>Due</v>
      </c>
    </row>
    <row r="169" spans="1:8" ht="15.75" customHeight="1">
      <c r="A169" t="s">
        <v>212</v>
      </c>
      <c r="B169" t="s">
        <v>213</v>
      </c>
      <c r="C169" t="s">
        <v>39</v>
      </c>
      <c r="D169" t="s">
        <v>152</v>
      </c>
      <c r="E169">
        <v>2023</v>
      </c>
      <c r="F169" t="s">
        <v>689</v>
      </c>
      <c r="G169">
        <f t="shared" si="4"/>
        <v>2026</v>
      </c>
      <c r="H169" t="str">
        <f t="shared" ca="1" si="5"/>
        <v>Due</v>
      </c>
    </row>
    <row r="170" spans="1:8" ht="15.75" customHeight="1">
      <c r="A170" t="s">
        <v>214</v>
      </c>
      <c r="B170" t="s">
        <v>215</v>
      </c>
      <c r="C170" t="s">
        <v>39</v>
      </c>
      <c r="D170" t="s">
        <v>152</v>
      </c>
      <c r="E170">
        <v>2019</v>
      </c>
      <c r="F170" t="s">
        <v>689</v>
      </c>
      <c r="G170">
        <f t="shared" si="4"/>
        <v>2022</v>
      </c>
      <c r="H170" t="str">
        <f t="shared" ca="1" si="5"/>
        <v>Due</v>
      </c>
    </row>
    <row r="171" spans="1:8" ht="15.75" customHeight="1">
      <c r="A171" t="s">
        <v>216</v>
      </c>
      <c r="B171" t="s">
        <v>217</v>
      </c>
      <c r="C171" t="s">
        <v>39</v>
      </c>
      <c r="D171" t="s">
        <v>152</v>
      </c>
      <c r="E171">
        <v>2018</v>
      </c>
      <c r="F171" t="s">
        <v>693</v>
      </c>
      <c r="G171">
        <f t="shared" si="4"/>
        <v>2023</v>
      </c>
      <c r="H171" t="str">
        <f t="shared" ca="1" si="5"/>
        <v>Due</v>
      </c>
    </row>
    <row r="172" spans="1:8" ht="15.75" customHeight="1">
      <c r="A172" t="s">
        <v>218</v>
      </c>
      <c r="B172" t="s">
        <v>219</v>
      </c>
      <c r="C172" t="s">
        <v>39</v>
      </c>
      <c r="D172" t="s">
        <v>152</v>
      </c>
      <c r="E172">
        <v>2025</v>
      </c>
      <c r="F172" t="s">
        <v>689</v>
      </c>
      <c r="G172">
        <f t="shared" si="4"/>
        <v>2028</v>
      </c>
      <c r="H172" t="str">
        <f t="shared" ca="1" si="5"/>
        <v>Valid</v>
      </c>
    </row>
    <row r="173" spans="1:8" ht="15.75" customHeight="1">
      <c r="A173" t="s">
        <v>220</v>
      </c>
      <c r="B173" t="s">
        <v>221</v>
      </c>
      <c r="C173" t="s">
        <v>39</v>
      </c>
      <c r="D173" t="s">
        <v>152</v>
      </c>
      <c r="E173">
        <v>2018</v>
      </c>
      <c r="F173" t="s">
        <v>689</v>
      </c>
      <c r="G173">
        <f t="shared" si="4"/>
        <v>2021</v>
      </c>
      <c r="H173" t="str">
        <f t="shared" ca="1" si="5"/>
        <v>Due</v>
      </c>
    </row>
    <row r="174" spans="1:8" ht="15.75" customHeight="1">
      <c r="A174" t="s">
        <v>222</v>
      </c>
      <c r="B174" t="s">
        <v>223</v>
      </c>
      <c r="C174" t="s">
        <v>39</v>
      </c>
      <c r="D174" t="s">
        <v>152</v>
      </c>
      <c r="E174">
        <v>2019</v>
      </c>
      <c r="F174" t="s">
        <v>689</v>
      </c>
      <c r="G174">
        <f t="shared" si="4"/>
        <v>2022</v>
      </c>
      <c r="H174" t="str">
        <f t="shared" ca="1" si="5"/>
        <v>Due</v>
      </c>
    </row>
    <row r="175" spans="1:8" ht="15.75" customHeight="1">
      <c r="A175" t="s">
        <v>224</v>
      </c>
      <c r="B175" t="s">
        <v>225</v>
      </c>
      <c r="C175" t="s">
        <v>39</v>
      </c>
      <c r="D175" t="s">
        <v>152</v>
      </c>
      <c r="G175" t="str">
        <f t="shared" si="4"/>
        <v/>
      </c>
      <c r="H175" t="str">
        <f t="shared" ca="1" si="5"/>
        <v>Valid</v>
      </c>
    </row>
    <row r="176" spans="1:8" ht="15.75" customHeight="1">
      <c r="A176" t="s">
        <v>226</v>
      </c>
      <c r="B176" t="s">
        <v>227</v>
      </c>
      <c r="C176" t="s">
        <v>139</v>
      </c>
      <c r="D176" t="s">
        <v>152</v>
      </c>
      <c r="E176">
        <v>2022</v>
      </c>
      <c r="F176" t="s">
        <v>689</v>
      </c>
      <c r="G176">
        <f t="shared" si="4"/>
        <v>2025</v>
      </c>
      <c r="H176" t="str">
        <f t="shared" ca="1" si="5"/>
        <v>Due</v>
      </c>
    </row>
    <row r="177" spans="1:8" ht="15.75" customHeight="1">
      <c r="A177" t="s">
        <v>228</v>
      </c>
      <c r="B177" t="s">
        <v>229</v>
      </c>
      <c r="C177" t="s">
        <v>139</v>
      </c>
      <c r="D177" t="s">
        <v>152</v>
      </c>
      <c r="E177">
        <v>2025</v>
      </c>
      <c r="F177" t="s">
        <v>689</v>
      </c>
      <c r="G177">
        <f t="shared" si="4"/>
        <v>2028</v>
      </c>
      <c r="H177" t="str">
        <f t="shared" ca="1" si="5"/>
        <v>Valid</v>
      </c>
    </row>
    <row r="178" spans="1:8" ht="15.75" customHeight="1">
      <c r="A178" t="s">
        <v>230</v>
      </c>
      <c r="B178" t="s">
        <v>231</v>
      </c>
      <c r="C178" t="s">
        <v>139</v>
      </c>
      <c r="D178" t="s">
        <v>152</v>
      </c>
      <c r="E178">
        <v>2022</v>
      </c>
      <c r="F178" t="s">
        <v>689</v>
      </c>
      <c r="G178">
        <f t="shared" si="4"/>
        <v>2025</v>
      </c>
      <c r="H178" t="str">
        <f t="shared" ca="1" si="5"/>
        <v>Due</v>
      </c>
    </row>
    <row r="179" spans="1:8" ht="15.75" customHeight="1">
      <c r="A179" t="s">
        <v>232</v>
      </c>
      <c r="B179" t="s">
        <v>233</v>
      </c>
      <c r="C179" t="s">
        <v>139</v>
      </c>
      <c r="D179" t="s">
        <v>152</v>
      </c>
      <c r="E179">
        <v>2016</v>
      </c>
      <c r="F179" t="s">
        <v>689</v>
      </c>
      <c r="G179">
        <f t="shared" si="4"/>
        <v>2019</v>
      </c>
      <c r="H179" t="str">
        <f t="shared" ca="1" si="5"/>
        <v>Due</v>
      </c>
    </row>
    <row r="180" spans="1:8" ht="15.75" customHeight="1">
      <c r="A180" t="s">
        <v>234</v>
      </c>
      <c r="B180" t="s">
        <v>235</v>
      </c>
      <c r="C180" t="s">
        <v>64</v>
      </c>
      <c r="D180" t="s">
        <v>152</v>
      </c>
      <c r="G180" t="str">
        <f t="shared" si="4"/>
        <v/>
      </c>
      <c r="H180" t="str">
        <f t="shared" ca="1" si="5"/>
        <v>Valid</v>
      </c>
    </row>
    <row r="181" spans="1:8" ht="15.75" customHeight="1">
      <c r="A181" t="s">
        <v>236</v>
      </c>
      <c r="B181" t="s">
        <v>237</v>
      </c>
      <c r="C181" t="s">
        <v>64</v>
      </c>
      <c r="D181" t="s">
        <v>152</v>
      </c>
      <c r="G181" t="str">
        <f t="shared" si="4"/>
        <v/>
      </c>
      <c r="H181" t="str">
        <f t="shared" ca="1" si="5"/>
        <v>Valid</v>
      </c>
    </row>
    <row r="182" spans="1:8" ht="15.75" customHeight="1">
      <c r="A182" t="s">
        <v>238</v>
      </c>
      <c r="B182" t="s">
        <v>239</v>
      </c>
      <c r="C182" t="s">
        <v>240</v>
      </c>
      <c r="D182" t="s">
        <v>152</v>
      </c>
      <c r="E182">
        <v>2025</v>
      </c>
      <c r="F182" t="s">
        <v>689</v>
      </c>
      <c r="G182">
        <f t="shared" si="4"/>
        <v>2028</v>
      </c>
      <c r="H182" t="str">
        <f t="shared" ca="1" si="5"/>
        <v>Valid</v>
      </c>
    </row>
    <row r="183" spans="1:8" ht="15.75" customHeight="1">
      <c r="A183" t="s">
        <v>241</v>
      </c>
      <c r="B183" t="s">
        <v>242</v>
      </c>
      <c r="C183" t="s">
        <v>11</v>
      </c>
      <c r="D183" t="s">
        <v>152</v>
      </c>
      <c r="E183">
        <v>2022</v>
      </c>
      <c r="F183" t="s">
        <v>689</v>
      </c>
      <c r="G183">
        <f t="shared" si="4"/>
        <v>2025</v>
      </c>
      <c r="H183" t="str">
        <f t="shared" ca="1" si="5"/>
        <v>Due</v>
      </c>
    </row>
    <row r="184" spans="1:8" ht="15.75" customHeight="1">
      <c r="A184" t="s">
        <v>243</v>
      </c>
      <c r="B184" t="s">
        <v>244</v>
      </c>
      <c r="C184" t="s">
        <v>11</v>
      </c>
      <c r="D184" t="s">
        <v>152</v>
      </c>
      <c r="G184" t="str">
        <f t="shared" si="4"/>
        <v/>
      </c>
      <c r="H184" t="str">
        <f t="shared" ca="1" si="5"/>
        <v>Valid</v>
      </c>
    </row>
    <row r="185" spans="1:8" ht="15.75" customHeight="1">
      <c r="A185" t="s">
        <v>245</v>
      </c>
      <c r="B185" t="s">
        <v>246</v>
      </c>
      <c r="C185" t="s">
        <v>11</v>
      </c>
      <c r="D185" t="s">
        <v>152</v>
      </c>
      <c r="G185" t="str">
        <f t="shared" si="4"/>
        <v/>
      </c>
      <c r="H185" t="str">
        <f t="shared" ca="1" si="5"/>
        <v>Valid</v>
      </c>
    </row>
    <row r="186" spans="1:8" ht="15.75" customHeight="1">
      <c r="A186" t="s">
        <v>247</v>
      </c>
      <c r="B186" t="s">
        <v>248</v>
      </c>
      <c r="C186" t="s">
        <v>11</v>
      </c>
      <c r="D186" t="s">
        <v>152</v>
      </c>
      <c r="G186" t="str">
        <f t="shared" si="4"/>
        <v/>
      </c>
      <c r="H186" t="str">
        <f t="shared" ca="1" si="5"/>
        <v>Valid</v>
      </c>
    </row>
    <row r="187" spans="1:8" ht="15.75" customHeight="1">
      <c r="A187" t="s">
        <v>249</v>
      </c>
      <c r="B187" t="s">
        <v>250</v>
      </c>
      <c r="C187" t="s">
        <v>11</v>
      </c>
      <c r="D187" t="s">
        <v>152</v>
      </c>
      <c r="G187" t="str">
        <f t="shared" si="4"/>
        <v/>
      </c>
      <c r="H187" t="str">
        <f t="shared" ca="1" si="5"/>
        <v>Valid</v>
      </c>
    </row>
    <row r="188" spans="1:8" ht="15.75" customHeight="1">
      <c r="A188" t="s">
        <v>251</v>
      </c>
      <c r="B188" t="s">
        <v>252</v>
      </c>
      <c r="C188" t="s">
        <v>11</v>
      </c>
      <c r="D188" t="s">
        <v>152</v>
      </c>
      <c r="G188" t="str">
        <f t="shared" si="4"/>
        <v/>
      </c>
      <c r="H188" t="str">
        <f t="shared" ca="1" si="5"/>
        <v>Valid</v>
      </c>
    </row>
    <row r="189" spans="1:8" ht="15.75" customHeight="1">
      <c r="A189" t="s">
        <v>253</v>
      </c>
      <c r="B189" t="s">
        <v>254</v>
      </c>
      <c r="C189" t="s">
        <v>82</v>
      </c>
      <c r="D189" t="s">
        <v>152</v>
      </c>
      <c r="E189">
        <v>2023</v>
      </c>
      <c r="F189" t="s">
        <v>689</v>
      </c>
      <c r="G189">
        <f t="shared" si="4"/>
        <v>2026</v>
      </c>
      <c r="H189" t="str">
        <f t="shared" ca="1" si="5"/>
        <v>Due</v>
      </c>
    </row>
    <row r="190" spans="1:8" ht="15.75" customHeight="1">
      <c r="A190" t="s">
        <v>255</v>
      </c>
      <c r="B190" t="s">
        <v>256</v>
      </c>
      <c r="C190" t="s">
        <v>82</v>
      </c>
      <c r="D190" t="s">
        <v>152</v>
      </c>
      <c r="E190">
        <v>2023</v>
      </c>
      <c r="F190" t="s">
        <v>689</v>
      </c>
      <c r="G190">
        <f t="shared" si="4"/>
        <v>2026</v>
      </c>
      <c r="H190" t="str">
        <f t="shared" ca="1" si="5"/>
        <v>Due</v>
      </c>
    </row>
    <row r="191" spans="1:8" ht="15.75" customHeight="1">
      <c r="A191" t="s">
        <v>257</v>
      </c>
      <c r="B191" t="s">
        <v>258</v>
      </c>
      <c r="C191" t="s">
        <v>171</v>
      </c>
      <c r="D191" t="s">
        <v>152</v>
      </c>
      <c r="G191" t="str">
        <f t="shared" si="4"/>
        <v/>
      </c>
      <c r="H191" t="str">
        <f t="shared" ca="1" si="5"/>
        <v>Valid</v>
      </c>
    </row>
    <row r="192" spans="1:8" ht="15.75" customHeight="1">
      <c r="A192" t="s">
        <v>259</v>
      </c>
      <c r="B192" t="s">
        <v>260</v>
      </c>
      <c r="C192" t="s">
        <v>261</v>
      </c>
      <c r="D192" t="s">
        <v>152</v>
      </c>
      <c r="E192">
        <v>2025</v>
      </c>
      <c r="F192" t="s">
        <v>689</v>
      </c>
      <c r="G192">
        <f t="shared" si="4"/>
        <v>2028</v>
      </c>
      <c r="H192" t="str">
        <f t="shared" ca="1" si="5"/>
        <v>Valid</v>
      </c>
    </row>
    <row r="193" spans="1:8" ht="15.75" customHeight="1">
      <c r="A193" t="s">
        <v>262</v>
      </c>
      <c r="B193" t="s">
        <v>263</v>
      </c>
      <c r="C193" t="s">
        <v>67</v>
      </c>
      <c r="D193" t="s">
        <v>152</v>
      </c>
      <c r="G193" t="str">
        <f t="shared" si="4"/>
        <v/>
      </c>
      <c r="H193" t="str">
        <f t="shared" ca="1" si="5"/>
        <v>Valid</v>
      </c>
    </row>
    <row r="194" spans="1:8" ht="15.75" customHeight="1">
      <c r="A194" t="s">
        <v>264</v>
      </c>
      <c r="B194" t="s">
        <v>265</v>
      </c>
      <c r="C194" t="s">
        <v>144</v>
      </c>
      <c r="D194" t="s">
        <v>152</v>
      </c>
      <c r="G194" t="str">
        <f t="shared" si="4"/>
        <v/>
      </c>
      <c r="H194" t="str">
        <f t="shared" ca="1" si="5"/>
        <v>Valid</v>
      </c>
    </row>
    <row r="195" spans="1:8" ht="15.75" customHeight="1">
      <c r="A195" t="s">
        <v>266</v>
      </c>
      <c r="B195" t="s">
        <v>267</v>
      </c>
      <c r="C195" t="s">
        <v>268</v>
      </c>
      <c r="D195" t="s">
        <v>152</v>
      </c>
      <c r="G195" t="str">
        <f t="shared" si="4"/>
        <v/>
      </c>
      <c r="H195" t="str">
        <f t="shared" ca="1" si="5"/>
        <v>Valid</v>
      </c>
    </row>
    <row r="196" spans="1:8" ht="15.75" customHeight="1">
      <c r="A196" t="s">
        <v>269</v>
      </c>
      <c r="B196" t="s">
        <v>270</v>
      </c>
      <c r="C196" t="s">
        <v>268</v>
      </c>
      <c r="D196" t="s">
        <v>152</v>
      </c>
      <c r="G196" t="str">
        <f t="shared" ref="G196:G259" si="6">IF(ISBLANK(E196), "", IF(OR(F196="First aid (M)", F196="First aid (L)"), "Lifetime", IF(F196="First aid (V)", E196+5, E196+3)))</f>
        <v/>
      </c>
      <c r="H196" t="str">
        <f t="shared" ref="H196:H259" ca="1" si="7">IF(ISBLANK(G196), "", IF(G196="Lifetime", "Valid", IF(YEAR(TODAY())&gt;=G196, "Due", "Valid")))</f>
        <v>Valid</v>
      </c>
    </row>
    <row r="197" spans="1:8" ht="15.75" customHeight="1">
      <c r="A197" t="s">
        <v>271</v>
      </c>
      <c r="B197" t="s">
        <v>272</v>
      </c>
      <c r="C197" t="s">
        <v>268</v>
      </c>
      <c r="D197" t="s">
        <v>152</v>
      </c>
      <c r="G197" t="str">
        <f t="shared" si="6"/>
        <v/>
      </c>
      <c r="H197" t="str">
        <f t="shared" ca="1" si="7"/>
        <v>Valid</v>
      </c>
    </row>
    <row r="198" spans="1:8" ht="15.75" customHeight="1">
      <c r="A198" t="s">
        <v>273</v>
      </c>
      <c r="B198" t="s">
        <v>274</v>
      </c>
      <c r="C198" t="s">
        <v>79</v>
      </c>
      <c r="D198" t="s">
        <v>152</v>
      </c>
      <c r="G198" t="str">
        <f t="shared" si="6"/>
        <v/>
      </c>
      <c r="H198" t="str">
        <f t="shared" ca="1" si="7"/>
        <v>Valid</v>
      </c>
    </row>
    <row r="199" spans="1:8" ht="15.75" customHeight="1">
      <c r="A199" t="s">
        <v>275</v>
      </c>
      <c r="B199" t="s">
        <v>276</v>
      </c>
      <c r="C199" t="s">
        <v>79</v>
      </c>
      <c r="D199" t="s">
        <v>152</v>
      </c>
      <c r="G199" t="str">
        <f t="shared" si="6"/>
        <v/>
      </c>
      <c r="H199" t="str">
        <f t="shared" ca="1" si="7"/>
        <v>Valid</v>
      </c>
    </row>
    <row r="200" spans="1:8" ht="15.75" customHeight="1">
      <c r="A200" t="s">
        <v>277</v>
      </c>
      <c r="B200" t="s">
        <v>278</v>
      </c>
      <c r="C200" t="s">
        <v>79</v>
      </c>
      <c r="D200" t="s">
        <v>152</v>
      </c>
      <c r="G200" t="str">
        <f t="shared" si="6"/>
        <v/>
      </c>
      <c r="H200" t="str">
        <f t="shared" ca="1" si="7"/>
        <v>Valid</v>
      </c>
    </row>
    <row r="201" spans="1:8" ht="15.75" customHeight="1">
      <c r="A201" t="s">
        <v>279</v>
      </c>
      <c r="B201" t="s">
        <v>280</v>
      </c>
      <c r="C201" t="s">
        <v>79</v>
      </c>
      <c r="D201" t="s">
        <v>152</v>
      </c>
      <c r="G201" t="str">
        <f t="shared" si="6"/>
        <v/>
      </c>
      <c r="H201" t="str">
        <f t="shared" ca="1" si="7"/>
        <v>Valid</v>
      </c>
    </row>
    <row r="202" spans="1:8" ht="15.75" customHeight="1">
      <c r="A202" t="s">
        <v>920</v>
      </c>
      <c r="B202" t="s">
        <v>921</v>
      </c>
      <c r="C202" t="s">
        <v>922</v>
      </c>
      <c r="D202" t="s">
        <v>152</v>
      </c>
      <c r="E202">
        <v>2018</v>
      </c>
      <c r="F202" t="s">
        <v>689</v>
      </c>
      <c r="G202">
        <f t="shared" si="6"/>
        <v>2021</v>
      </c>
      <c r="H202" t="str">
        <f t="shared" ca="1" si="7"/>
        <v>Due</v>
      </c>
    </row>
    <row r="203" spans="1:8" ht="15.75" customHeight="1">
      <c r="A203" t="s">
        <v>923</v>
      </c>
      <c r="B203" t="s">
        <v>924</v>
      </c>
      <c r="C203" t="s">
        <v>889</v>
      </c>
      <c r="D203" t="s">
        <v>152</v>
      </c>
      <c r="G203" t="str">
        <f t="shared" si="6"/>
        <v/>
      </c>
      <c r="H203" t="str">
        <f t="shared" ca="1" si="7"/>
        <v>Valid</v>
      </c>
    </row>
    <row r="204" spans="1:8" ht="15.75" customHeight="1">
      <c r="A204" t="s">
        <v>925</v>
      </c>
      <c r="B204" t="s">
        <v>926</v>
      </c>
      <c r="C204" t="s">
        <v>927</v>
      </c>
      <c r="D204" t="s">
        <v>152</v>
      </c>
      <c r="E204">
        <v>2017</v>
      </c>
      <c r="F204" t="s">
        <v>768</v>
      </c>
      <c r="G204" t="str">
        <f t="shared" si="6"/>
        <v>Lifetime</v>
      </c>
      <c r="H204" t="str">
        <f t="shared" ca="1" si="7"/>
        <v>Valid</v>
      </c>
    </row>
    <row r="205" spans="1:8" ht="15.75" customHeight="1">
      <c r="A205" t="s">
        <v>281</v>
      </c>
      <c r="B205" t="s">
        <v>282</v>
      </c>
      <c r="C205" t="s">
        <v>283</v>
      </c>
      <c r="D205" t="s">
        <v>152</v>
      </c>
      <c r="G205" t="str">
        <f t="shared" si="6"/>
        <v/>
      </c>
      <c r="H205" t="str">
        <f t="shared" ca="1" si="7"/>
        <v>Valid</v>
      </c>
    </row>
    <row r="206" spans="1:8" ht="15.75" customHeight="1">
      <c r="A206" t="s">
        <v>284</v>
      </c>
      <c r="B206" t="s">
        <v>285</v>
      </c>
      <c r="C206" t="s">
        <v>39</v>
      </c>
      <c r="D206" t="s">
        <v>152</v>
      </c>
      <c r="E206">
        <v>2025</v>
      </c>
      <c r="F206" t="s">
        <v>689</v>
      </c>
      <c r="G206">
        <f t="shared" si="6"/>
        <v>2028</v>
      </c>
      <c r="H206" t="str">
        <f t="shared" ca="1" si="7"/>
        <v>Valid</v>
      </c>
    </row>
    <row r="207" spans="1:8" ht="15.75" customHeight="1">
      <c r="A207" t="s">
        <v>286</v>
      </c>
      <c r="B207" t="s">
        <v>287</v>
      </c>
      <c r="C207" t="s">
        <v>39</v>
      </c>
      <c r="D207" t="s">
        <v>152</v>
      </c>
      <c r="E207">
        <v>2018</v>
      </c>
      <c r="F207" t="s">
        <v>693</v>
      </c>
      <c r="G207">
        <f t="shared" si="6"/>
        <v>2023</v>
      </c>
      <c r="H207" t="str">
        <f t="shared" ca="1" si="7"/>
        <v>Due</v>
      </c>
    </row>
    <row r="208" spans="1:8" ht="15.75" customHeight="1">
      <c r="A208" t="s">
        <v>288</v>
      </c>
      <c r="B208" t="s">
        <v>289</v>
      </c>
      <c r="C208" t="s">
        <v>39</v>
      </c>
      <c r="D208" t="s">
        <v>152</v>
      </c>
      <c r="E208">
        <v>2019</v>
      </c>
      <c r="F208" t="s">
        <v>689</v>
      </c>
      <c r="G208">
        <f t="shared" si="6"/>
        <v>2022</v>
      </c>
      <c r="H208" t="str">
        <f t="shared" ca="1" si="7"/>
        <v>Due</v>
      </c>
    </row>
    <row r="209" spans="1:8" ht="15.75" customHeight="1">
      <c r="A209" t="s">
        <v>290</v>
      </c>
      <c r="B209" t="s">
        <v>291</v>
      </c>
      <c r="C209" t="s">
        <v>39</v>
      </c>
      <c r="D209" t="s">
        <v>152</v>
      </c>
      <c r="G209" t="str">
        <f t="shared" si="6"/>
        <v/>
      </c>
      <c r="H209" t="str">
        <f t="shared" ca="1" si="7"/>
        <v>Valid</v>
      </c>
    </row>
    <row r="210" spans="1:8" ht="15.75" customHeight="1">
      <c r="A210" t="s">
        <v>292</v>
      </c>
      <c r="B210" t="s">
        <v>293</v>
      </c>
      <c r="C210" t="s">
        <v>139</v>
      </c>
      <c r="D210" t="s">
        <v>152</v>
      </c>
      <c r="E210">
        <v>2025</v>
      </c>
      <c r="F210" t="s">
        <v>689</v>
      </c>
      <c r="G210">
        <f t="shared" si="6"/>
        <v>2028</v>
      </c>
      <c r="H210" t="str">
        <f t="shared" ca="1" si="7"/>
        <v>Valid</v>
      </c>
    </row>
    <row r="211" spans="1:8" ht="15.75" customHeight="1">
      <c r="A211" t="s">
        <v>294</v>
      </c>
      <c r="B211" s="17" t="s">
        <v>295</v>
      </c>
      <c r="C211" t="s">
        <v>139</v>
      </c>
      <c r="D211" t="s">
        <v>152</v>
      </c>
      <c r="E211">
        <v>2026</v>
      </c>
      <c r="F211" t="s">
        <v>693</v>
      </c>
      <c r="G211">
        <f t="shared" si="6"/>
        <v>2031</v>
      </c>
      <c r="H211" t="str">
        <f t="shared" ca="1" si="7"/>
        <v>Valid</v>
      </c>
    </row>
    <row r="212" spans="1:8" ht="15.75" customHeight="1">
      <c r="A212" t="s">
        <v>296</v>
      </c>
      <c r="B212" t="s">
        <v>297</v>
      </c>
      <c r="C212" t="s">
        <v>64</v>
      </c>
      <c r="D212" t="s">
        <v>152</v>
      </c>
      <c r="G212" t="str">
        <f t="shared" si="6"/>
        <v/>
      </c>
      <c r="H212" t="str">
        <f t="shared" ca="1" si="7"/>
        <v>Valid</v>
      </c>
    </row>
    <row r="213" spans="1:8" ht="15.75" customHeight="1">
      <c r="A213" t="s">
        <v>298</v>
      </c>
      <c r="B213" t="s">
        <v>299</v>
      </c>
      <c r="C213" t="s">
        <v>300</v>
      </c>
      <c r="D213" t="s">
        <v>152</v>
      </c>
      <c r="G213" t="str">
        <f t="shared" si="6"/>
        <v/>
      </c>
      <c r="H213" t="str">
        <f t="shared" ca="1" si="7"/>
        <v>Valid</v>
      </c>
    </row>
    <row r="214" spans="1:8" ht="15.75" customHeight="1">
      <c r="A214" t="s">
        <v>301</v>
      </c>
      <c r="B214" t="s">
        <v>302</v>
      </c>
      <c r="C214" t="s">
        <v>174</v>
      </c>
      <c r="D214" t="s">
        <v>152</v>
      </c>
      <c r="G214" t="str">
        <f t="shared" si="6"/>
        <v/>
      </c>
      <c r="H214" t="str">
        <f t="shared" ca="1" si="7"/>
        <v>Valid</v>
      </c>
    </row>
    <row r="215" spans="1:8" ht="15.75" customHeight="1">
      <c r="A215" t="s">
        <v>303</v>
      </c>
      <c r="B215" t="s">
        <v>304</v>
      </c>
      <c r="C215" t="s">
        <v>174</v>
      </c>
      <c r="D215" t="s">
        <v>152</v>
      </c>
      <c r="G215" t="str">
        <f t="shared" si="6"/>
        <v/>
      </c>
      <c r="H215" t="str">
        <f t="shared" ca="1" si="7"/>
        <v>Valid</v>
      </c>
    </row>
    <row r="216" spans="1:8" ht="15.75" customHeight="1">
      <c r="A216" t="s">
        <v>305</v>
      </c>
      <c r="B216" t="s">
        <v>306</v>
      </c>
      <c r="C216" t="s">
        <v>174</v>
      </c>
      <c r="D216" t="s">
        <v>152</v>
      </c>
      <c r="G216" t="str">
        <f t="shared" si="6"/>
        <v/>
      </c>
      <c r="H216" t="str">
        <f t="shared" ca="1" si="7"/>
        <v>Valid</v>
      </c>
    </row>
    <row r="217" spans="1:8" ht="15.75" customHeight="1">
      <c r="A217" t="s">
        <v>307</v>
      </c>
      <c r="B217" t="s">
        <v>308</v>
      </c>
      <c r="C217" t="s">
        <v>174</v>
      </c>
      <c r="D217" t="s">
        <v>152</v>
      </c>
      <c r="G217" t="str">
        <f t="shared" si="6"/>
        <v/>
      </c>
      <c r="H217" t="str">
        <f t="shared" ca="1" si="7"/>
        <v>Valid</v>
      </c>
    </row>
    <row r="218" spans="1:8" ht="15.75" customHeight="1">
      <c r="A218" t="s">
        <v>309</v>
      </c>
      <c r="B218" t="s">
        <v>310</v>
      </c>
      <c r="C218" t="s">
        <v>79</v>
      </c>
      <c r="D218" t="s">
        <v>152</v>
      </c>
      <c r="G218" t="str">
        <f t="shared" si="6"/>
        <v/>
      </c>
      <c r="H218" t="str">
        <f t="shared" ca="1" si="7"/>
        <v>Valid</v>
      </c>
    </row>
    <row r="219" spans="1:8" ht="15.75" customHeight="1">
      <c r="A219" t="s">
        <v>928</v>
      </c>
      <c r="B219" t="s">
        <v>929</v>
      </c>
      <c r="C219" t="s">
        <v>882</v>
      </c>
      <c r="D219" t="s">
        <v>152</v>
      </c>
      <c r="G219" t="str">
        <f t="shared" si="6"/>
        <v/>
      </c>
      <c r="H219" t="str">
        <f t="shared" ca="1" si="7"/>
        <v>Valid</v>
      </c>
    </row>
    <row r="220" spans="1:8" ht="15.75" customHeight="1">
      <c r="A220" t="s">
        <v>930</v>
      </c>
      <c r="B220" t="s">
        <v>931</v>
      </c>
      <c r="C220" t="s">
        <v>919</v>
      </c>
      <c r="D220" t="s">
        <v>152</v>
      </c>
      <c r="G220" t="str">
        <f t="shared" si="6"/>
        <v/>
      </c>
      <c r="H220" t="str">
        <f t="shared" ca="1" si="7"/>
        <v>Valid</v>
      </c>
    </row>
    <row r="221" spans="1:8" ht="15.75" customHeight="1">
      <c r="A221" t="s">
        <v>311</v>
      </c>
      <c r="B221" t="s">
        <v>312</v>
      </c>
      <c r="C221" t="s">
        <v>123</v>
      </c>
      <c r="D221" t="s">
        <v>152</v>
      </c>
      <c r="G221" t="str">
        <f t="shared" si="6"/>
        <v/>
      </c>
      <c r="H221" t="str">
        <f t="shared" ca="1" si="7"/>
        <v>Valid</v>
      </c>
    </row>
    <row r="222" spans="1:8" ht="15.75" customHeight="1">
      <c r="A222" t="s">
        <v>313</v>
      </c>
      <c r="B222" t="s">
        <v>314</v>
      </c>
      <c r="C222" t="s">
        <v>315</v>
      </c>
      <c r="D222" t="s">
        <v>152</v>
      </c>
      <c r="E222">
        <v>2019</v>
      </c>
      <c r="F222" t="s">
        <v>689</v>
      </c>
      <c r="G222">
        <f t="shared" si="6"/>
        <v>2022</v>
      </c>
      <c r="H222" t="str">
        <f t="shared" ca="1" si="7"/>
        <v>Due</v>
      </c>
    </row>
    <row r="223" spans="1:8" ht="15.75" customHeight="1">
      <c r="A223" t="s">
        <v>316</v>
      </c>
      <c r="B223" t="s">
        <v>317</v>
      </c>
      <c r="C223" t="s">
        <v>139</v>
      </c>
      <c r="D223" t="s">
        <v>152</v>
      </c>
      <c r="G223" t="str">
        <f t="shared" si="6"/>
        <v/>
      </c>
      <c r="H223" t="str">
        <f t="shared" ca="1" si="7"/>
        <v>Valid</v>
      </c>
    </row>
    <row r="224" spans="1:8" ht="15.75" customHeight="1">
      <c r="A224" t="s">
        <v>318</v>
      </c>
      <c r="B224" t="s">
        <v>319</v>
      </c>
      <c r="C224" t="s">
        <v>139</v>
      </c>
      <c r="D224" t="s">
        <v>152</v>
      </c>
      <c r="G224" t="str">
        <f t="shared" si="6"/>
        <v/>
      </c>
      <c r="H224" t="str">
        <f t="shared" ca="1" si="7"/>
        <v>Valid</v>
      </c>
    </row>
    <row r="225" spans="1:8" ht="15.75" customHeight="1">
      <c r="A225" t="s">
        <v>320</v>
      </c>
      <c r="B225" t="s">
        <v>321</v>
      </c>
      <c r="C225" t="s">
        <v>139</v>
      </c>
      <c r="D225" t="s">
        <v>152</v>
      </c>
      <c r="G225" t="str">
        <f t="shared" si="6"/>
        <v/>
      </c>
      <c r="H225" t="str">
        <f t="shared" ca="1" si="7"/>
        <v>Valid</v>
      </c>
    </row>
    <row r="226" spans="1:8" ht="15.75" customHeight="1">
      <c r="A226" t="s">
        <v>322</v>
      </c>
      <c r="B226" t="s">
        <v>323</v>
      </c>
      <c r="C226" t="s">
        <v>139</v>
      </c>
      <c r="D226" t="s">
        <v>152</v>
      </c>
      <c r="E226">
        <v>2025</v>
      </c>
      <c r="F226" t="s">
        <v>689</v>
      </c>
      <c r="G226">
        <f t="shared" si="6"/>
        <v>2028</v>
      </c>
      <c r="H226" t="str">
        <f t="shared" ca="1" si="7"/>
        <v>Valid</v>
      </c>
    </row>
    <row r="227" spans="1:8" ht="15.75" customHeight="1">
      <c r="A227" t="s">
        <v>324</v>
      </c>
      <c r="B227" t="s">
        <v>325</v>
      </c>
      <c r="C227" t="s">
        <v>64</v>
      </c>
      <c r="D227" t="s">
        <v>152</v>
      </c>
      <c r="E227">
        <v>2017</v>
      </c>
      <c r="F227" t="s">
        <v>768</v>
      </c>
      <c r="G227" t="str">
        <f t="shared" si="6"/>
        <v>Lifetime</v>
      </c>
      <c r="H227" t="str">
        <f t="shared" ca="1" si="7"/>
        <v>Valid</v>
      </c>
    </row>
    <row r="228" spans="1:8" ht="15.75" customHeight="1">
      <c r="A228" t="s">
        <v>326</v>
      </c>
      <c r="B228" t="s">
        <v>327</v>
      </c>
      <c r="C228" t="s">
        <v>174</v>
      </c>
      <c r="D228" t="s">
        <v>152</v>
      </c>
      <c r="G228" t="str">
        <f t="shared" si="6"/>
        <v/>
      </c>
      <c r="H228" t="str">
        <f t="shared" ca="1" si="7"/>
        <v>Valid</v>
      </c>
    </row>
    <row r="229" spans="1:8" ht="15.75" customHeight="1">
      <c r="A229" t="s">
        <v>328</v>
      </c>
      <c r="B229" t="s">
        <v>329</v>
      </c>
      <c r="C229" t="s">
        <v>174</v>
      </c>
      <c r="D229" t="s">
        <v>152</v>
      </c>
      <c r="G229" t="str">
        <f t="shared" si="6"/>
        <v/>
      </c>
      <c r="H229" t="str">
        <f t="shared" ca="1" si="7"/>
        <v>Valid</v>
      </c>
    </row>
    <row r="230" spans="1:8" ht="15.75" customHeight="1">
      <c r="A230" t="s">
        <v>330</v>
      </c>
      <c r="B230" t="s">
        <v>331</v>
      </c>
      <c r="C230" t="s">
        <v>79</v>
      </c>
      <c r="D230" t="s">
        <v>152</v>
      </c>
      <c r="G230" t="str">
        <f t="shared" si="6"/>
        <v/>
      </c>
      <c r="H230" t="str">
        <f t="shared" ca="1" si="7"/>
        <v>Valid</v>
      </c>
    </row>
    <row r="231" spans="1:8" ht="15.75" customHeight="1">
      <c r="A231" t="s">
        <v>932</v>
      </c>
      <c r="B231" t="s">
        <v>933</v>
      </c>
      <c r="C231" t="s">
        <v>862</v>
      </c>
      <c r="D231" t="s">
        <v>152</v>
      </c>
      <c r="E231">
        <v>2024</v>
      </c>
      <c r="F231" t="s">
        <v>689</v>
      </c>
      <c r="G231">
        <f t="shared" si="6"/>
        <v>2027</v>
      </c>
      <c r="H231" t="str">
        <f t="shared" ca="1" si="7"/>
        <v>Valid</v>
      </c>
    </row>
    <row r="232" spans="1:8" ht="15.75" customHeight="1">
      <c r="A232" t="s">
        <v>934</v>
      </c>
      <c r="B232" t="s">
        <v>935</v>
      </c>
      <c r="C232" t="s">
        <v>882</v>
      </c>
      <c r="D232" t="s">
        <v>152</v>
      </c>
      <c r="G232" t="str">
        <f t="shared" si="6"/>
        <v/>
      </c>
      <c r="H232" t="str">
        <f t="shared" ca="1" si="7"/>
        <v>Valid</v>
      </c>
    </row>
    <row r="233" spans="1:8" ht="15.75" customHeight="1">
      <c r="A233" t="s">
        <v>936</v>
      </c>
      <c r="B233" t="s">
        <v>937</v>
      </c>
      <c r="C233" t="s">
        <v>848</v>
      </c>
      <c r="D233" t="s">
        <v>152</v>
      </c>
      <c r="E233">
        <v>2018</v>
      </c>
      <c r="F233" t="s">
        <v>768</v>
      </c>
      <c r="G233" t="str">
        <f t="shared" si="6"/>
        <v>Lifetime</v>
      </c>
      <c r="H233" t="str">
        <f t="shared" ca="1" si="7"/>
        <v>Valid</v>
      </c>
    </row>
    <row r="234" spans="1:8" ht="15.75" customHeight="1">
      <c r="A234" t="s">
        <v>938</v>
      </c>
      <c r="B234" t="s">
        <v>939</v>
      </c>
      <c r="C234" t="s">
        <v>940</v>
      </c>
      <c r="D234" t="s">
        <v>152</v>
      </c>
      <c r="G234" t="str">
        <f t="shared" si="6"/>
        <v/>
      </c>
      <c r="H234" t="str">
        <f t="shared" ca="1" si="7"/>
        <v>Valid</v>
      </c>
    </row>
    <row r="235" spans="1:8" ht="15.75" customHeight="1">
      <c r="A235" t="s">
        <v>941</v>
      </c>
      <c r="B235" t="s">
        <v>942</v>
      </c>
      <c r="C235" t="s">
        <v>919</v>
      </c>
      <c r="D235" t="s">
        <v>152</v>
      </c>
      <c r="E235">
        <v>2025</v>
      </c>
      <c r="F235" t="s">
        <v>689</v>
      </c>
      <c r="G235">
        <f t="shared" si="6"/>
        <v>2028</v>
      </c>
      <c r="H235" t="str">
        <f t="shared" ca="1" si="7"/>
        <v>Valid</v>
      </c>
    </row>
    <row r="236" spans="1:8" ht="15.75" customHeight="1">
      <c r="A236" t="s">
        <v>332</v>
      </c>
      <c r="B236" t="s">
        <v>333</v>
      </c>
      <c r="C236" t="s">
        <v>334</v>
      </c>
      <c r="D236" t="s">
        <v>152</v>
      </c>
      <c r="E236">
        <v>2023</v>
      </c>
      <c r="F236" t="s">
        <v>689</v>
      </c>
      <c r="G236">
        <f t="shared" si="6"/>
        <v>2026</v>
      </c>
      <c r="H236" t="str">
        <f t="shared" ca="1" si="7"/>
        <v>Due</v>
      </c>
    </row>
    <row r="237" spans="1:8" ht="15.75" customHeight="1">
      <c r="A237" t="s">
        <v>335</v>
      </c>
      <c r="B237" t="s">
        <v>336</v>
      </c>
      <c r="C237" t="s">
        <v>337</v>
      </c>
      <c r="D237" t="s">
        <v>152</v>
      </c>
      <c r="G237" t="str">
        <f t="shared" si="6"/>
        <v/>
      </c>
      <c r="H237" t="str">
        <f t="shared" ca="1" si="7"/>
        <v>Valid</v>
      </c>
    </row>
    <row r="238" spans="1:8" ht="15.75" customHeight="1">
      <c r="A238" t="s">
        <v>338</v>
      </c>
      <c r="B238" t="s">
        <v>339</v>
      </c>
      <c r="C238" t="s">
        <v>337</v>
      </c>
      <c r="D238" t="s">
        <v>152</v>
      </c>
      <c r="G238" t="str">
        <f t="shared" si="6"/>
        <v/>
      </c>
      <c r="H238" t="str">
        <f t="shared" ca="1" si="7"/>
        <v>Valid</v>
      </c>
    </row>
    <row r="239" spans="1:8" ht="15.75" customHeight="1">
      <c r="A239" t="s">
        <v>340</v>
      </c>
      <c r="B239" t="s">
        <v>341</v>
      </c>
      <c r="C239" t="s">
        <v>315</v>
      </c>
      <c r="D239" t="s">
        <v>152</v>
      </c>
      <c r="E239">
        <v>2018</v>
      </c>
      <c r="F239" t="s">
        <v>689</v>
      </c>
      <c r="G239">
        <f t="shared" si="6"/>
        <v>2021</v>
      </c>
      <c r="H239" t="str">
        <f t="shared" ca="1" si="7"/>
        <v>Due</v>
      </c>
    </row>
    <row r="240" spans="1:8" ht="15.75" customHeight="1">
      <c r="A240" t="s">
        <v>342</v>
      </c>
      <c r="B240" t="s">
        <v>343</v>
      </c>
      <c r="C240" t="s">
        <v>315</v>
      </c>
      <c r="D240" t="s">
        <v>152</v>
      </c>
      <c r="G240" t="str">
        <f t="shared" si="6"/>
        <v/>
      </c>
      <c r="H240" t="str">
        <f t="shared" ca="1" si="7"/>
        <v>Valid</v>
      </c>
    </row>
    <row r="241" spans="1:8" ht="15.75" customHeight="1">
      <c r="A241" t="s">
        <v>344</v>
      </c>
      <c r="B241" t="s">
        <v>345</v>
      </c>
      <c r="C241" t="s">
        <v>346</v>
      </c>
      <c r="D241" t="s">
        <v>152</v>
      </c>
      <c r="E241">
        <v>2023</v>
      </c>
      <c r="F241" t="s">
        <v>689</v>
      </c>
      <c r="G241">
        <f t="shared" si="6"/>
        <v>2026</v>
      </c>
      <c r="H241" t="str">
        <f t="shared" ca="1" si="7"/>
        <v>Due</v>
      </c>
    </row>
    <row r="242" spans="1:8" ht="15.75" customHeight="1">
      <c r="A242" t="s">
        <v>347</v>
      </c>
      <c r="B242" t="s">
        <v>348</v>
      </c>
      <c r="C242" t="s">
        <v>39</v>
      </c>
      <c r="D242" t="s">
        <v>152</v>
      </c>
      <c r="G242" t="str">
        <f t="shared" si="6"/>
        <v/>
      </c>
      <c r="H242" t="str">
        <f t="shared" ca="1" si="7"/>
        <v>Valid</v>
      </c>
    </row>
    <row r="243" spans="1:8" ht="15.75" customHeight="1">
      <c r="A243" t="s">
        <v>349</v>
      </c>
      <c r="B243" t="s">
        <v>350</v>
      </c>
      <c r="C243" t="s">
        <v>39</v>
      </c>
      <c r="D243" t="s">
        <v>152</v>
      </c>
      <c r="E243">
        <v>2025</v>
      </c>
      <c r="F243" t="s">
        <v>689</v>
      </c>
      <c r="G243">
        <f t="shared" si="6"/>
        <v>2028</v>
      </c>
      <c r="H243" t="str">
        <f t="shared" ca="1" si="7"/>
        <v>Valid</v>
      </c>
    </row>
    <row r="244" spans="1:8" ht="15.75" customHeight="1">
      <c r="A244" t="s">
        <v>351</v>
      </c>
      <c r="B244" t="s">
        <v>352</v>
      </c>
      <c r="C244" t="s">
        <v>39</v>
      </c>
      <c r="D244" t="s">
        <v>152</v>
      </c>
      <c r="E244">
        <v>2019</v>
      </c>
      <c r="F244" t="s">
        <v>689</v>
      </c>
      <c r="G244">
        <f t="shared" si="6"/>
        <v>2022</v>
      </c>
      <c r="H244" t="str">
        <f t="shared" ca="1" si="7"/>
        <v>Due</v>
      </c>
    </row>
    <row r="245" spans="1:8" ht="15.75" customHeight="1">
      <c r="A245" t="s">
        <v>353</v>
      </c>
      <c r="B245" t="s">
        <v>354</v>
      </c>
      <c r="C245" t="s">
        <v>39</v>
      </c>
      <c r="D245" t="s">
        <v>152</v>
      </c>
      <c r="E245">
        <v>2019</v>
      </c>
      <c r="F245" t="s">
        <v>689</v>
      </c>
      <c r="G245">
        <f t="shared" si="6"/>
        <v>2022</v>
      </c>
      <c r="H245" t="str">
        <f t="shared" ca="1" si="7"/>
        <v>Due</v>
      </c>
    </row>
    <row r="246" spans="1:8" ht="15.75" customHeight="1">
      <c r="A246" t="s">
        <v>355</v>
      </c>
      <c r="B246" t="s">
        <v>356</v>
      </c>
      <c r="C246" t="s">
        <v>39</v>
      </c>
      <c r="D246" t="s">
        <v>152</v>
      </c>
      <c r="G246" t="str">
        <f t="shared" si="6"/>
        <v/>
      </c>
      <c r="H246" t="str">
        <f t="shared" ca="1" si="7"/>
        <v>Valid</v>
      </c>
    </row>
    <row r="247" spans="1:8" ht="15.75" customHeight="1">
      <c r="A247" t="s">
        <v>357</v>
      </c>
      <c r="B247" t="s">
        <v>358</v>
      </c>
      <c r="C247" t="s">
        <v>39</v>
      </c>
      <c r="D247" t="s">
        <v>152</v>
      </c>
      <c r="G247" t="str">
        <f t="shared" si="6"/>
        <v/>
      </c>
      <c r="H247" t="str">
        <f t="shared" ca="1" si="7"/>
        <v>Valid</v>
      </c>
    </row>
    <row r="248" spans="1:8" ht="15.75" customHeight="1">
      <c r="A248" t="s">
        <v>359</v>
      </c>
      <c r="B248" t="s">
        <v>360</v>
      </c>
      <c r="C248" t="s">
        <v>139</v>
      </c>
      <c r="D248" t="s">
        <v>152</v>
      </c>
      <c r="E248">
        <v>2025</v>
      </c>
      <c r="F248" t="s">
        <v>689</v>
      </c>
      <c r="G248">
        <f t="shared" si="6"/>
        <v>2028</v>
      </c>
      <c r="H248" t="str">
        <f t="shared" ca="1" si="7"/>
        <v>Valid</v>
      </c>
    </row>
    <row r="249" spans="1:8" ht="15.75" customHeight="1">
      <c r="A249" t="s">
        <v>361</v>
      </c>
      <c r="B249" t="s">
        <v>362</v>
      </c>
      <c r="C249" t="s">
        <v>139</v>
      </c>
      <c r="D249" t="s">
        <v>152</v>
      </c>
      <c r="E249">
        <v>2018</v>
      </c>
      <c r="F249" t="s">
        <v>689</v>
      </c>
      <c r="G249">
        <f t="shared" si="6"/>
        <v>2021</v>
      </c>
      <c r="H249" t="str">
        <f t="shared" ca="1" si="7"/>
        <v>Due</v>
      </c>
    </row>
    <row r="250" spans="1:8" ht="15.75" customHeight="1">
      <c r="A250" t="s">
        <v>363</v>
      </c>
      <c r="B250" t="s">
        <v>364</v>
      </c>
      <c r="C250" t="s">
        <v>139</v>
      </c>
      <c r="D250" t="s">
        <v>152</v>
      </c>
      <c r="E250">
        <v>2019</v>
      </c>
      <c r="F250" t="s">
        <v>689</v>
      </c>
      <c r="G250">
        <f t="shared" si="6"/>
        <v>2022</v>
      </c>
      <c r="H250" t="str">
        <f t="shared" ca="1" si="7"/>
        <v>Due</v>
      </c>
    </row>
    <row r="251" spans="1:8" ht="15.75" customHeight="1">
      <c r="A251" t="s">
        <v>365</v>
      </c>
      <c r="B251" t="s">
        <v>366</v>
      </c>
      <c r="C251" t="s">
        <v>139</v>
      </c>
      <c r="D251" t="s">
        <v>152</v>
      </c>
      <c r="E251">
        <v>2025</v>
      </c>
      <c r="F251" t="s">
        <v>689</v>
      </c>
      <c r="G251">
        <f t="shared" si="6"/>
        <v>2028</v>
      </c>
      <c r="H251" t="str">
        <f t="shared" ca="1" si="7"/>
        <v>Valid</v>
      </c>
    </row>
    <row r="252" spans="1:8" ht="15.75" customHeight="1">
      <c r="A252" t="s">
        <v>367</v>
      </c>
      <c r="B252" t="s">
        <v>368</v>
      </c>
      <c r="C252" t="s">
        <v>139</v>
      </c>
      <c r="D252" t="s">
        <v>152</v>
      </c>
      <c r="E252">
        <v>2021</v>
      </c>
      <c r="F252" t="s">
        <v>689</v>
      </c>
      <c r="G252">
        <f t="shared" si="6"/>
        <v>2024</v>
      </c>
      <c r="H252" t="str">
        <f t="shared" ca="1" si="7"/>
        <v>Due</v>
      </c>
    </row>
    <row r="253" spans="1:8" ht="15.75" customHeight="1">
      <c r="A253" t="s">
        <v>369</v>
      </c>
      <c r="B253" s="17" t="s">
        <v>370</v>
      </c>
      <c r="C253" t="s">
        <v>139</v>
      </c>
      <c r="D253" t="s">
        <v>152</v>
      </c>
      <c r="E253">
        <v>2026</v>
      </c>
      <c r="F253" t="s">
        <v>693</v>
      </c>
      <c r="G253">
        <f t="shared" si="6"/>
        <v>2031</v>
      </c>
      <c r="H253" t="str">
        <f t="shared" ca="1" si="7"/>
        <v>Valid</v>
      </c>
    </row>
    <row r="254" spans="1:8" ht="15.75" customHeight="1">
      <c r="A254" t="s">
        <v>371</v>
      </c>
      <c r="B254" t="s">
        <v>372</v>
      </c>
      <c r="C254" t="s">
        <v>64</v>
      </c>
      <c r="D254" t="s">
        <v>152</v>
      </c>
      <c r="G254" t="str">
        <f t="shared" si="6"/>
        <v/>
      </c>
      <c r="H254" t="str">
        <f t="shared" ca="1" si="7"/>
        <v>Valid</v>
      </c>
    </row>
    <row r="255" spans="1:8" ht="15.75" customHeight="1">
      <c r="A255" t="s">
        <v>373</v>
      </c>
      <c r="B255" t="s">
        <v>374</v>
      </c>
      <c r="C255" t="s">
        <v>11</v>
      </c>
      <c r="D255" t="s">
        <v>152</v>
      </c>
      <c r="E255">
        <v>2023</v>
      </c>
      <c r="F255" t="s">
        <v>689</v>
      </c>
      <c r="G255">
        <f t="shared" si="6"/>
        <v>2026</v>
      </c>
      <c r="H255" t="str">
        <f t="shared" ca="1" si="7"/>
        <v>Due</v>
      </c>
    </row>
    <row r="256" spans="1:8" ht="15.75" customHeight="1">
      <c r="A256" t="s">
        <v>375</v>
      </c>
      <c r="B256" t="s">
        <v>376</v>
      </c>
      <c r="C256" t="s">
        <v>82</v>
      </c>
      <c r="D256" t="s">
        <v>152</v>
      </c>
      <c r="G256" t="str">
        <f t="shared" si="6"/>
        <v/>
      </c>
      <c r="H256" t="str">
        <f t="shared" ca="1" si="7"/>
        <v>Valid</v>
      </c>
    </row>
    <row r="257" spans="1:8" ht="15.75" customHeight="1">
      <c r="A257" t="s">
        <v>377</v>
      </c>
      <c r="B257" t="s">
        <v>378</v>
      </c>
      <c r="C257" t="s">
        <v>379</v>
      </c>
      <c r="D257" t="s">
        <v>152</v>
      </c>
      <c r="G257" t="str">
        <f t="shared" si="6"/>
        <v/>
      </c>
      <c r="H257" t="str">
        <f t="shared" ca="1" si="7"/>
        <v>Valid</v>
      </c>
    </row>
    <row r="258" spans="1:8" ht="15.75" customHeight="1">
      <c r="A258" t="s">
        <v>380</v>
      </c>
      <c r="B258" t="s">
        <v>381</v>
      </c>
      <c r="C258" t="s">
        <v>382</v>
      </c>
      <c r="D258" t="s">
        <v>152</v>
      </c>
      <c r="E258">
        <v>2023</v>
      </c>
      <c r="F258" t="s">
        <v>689</v>
      </c>
      <c r="G258">
        <f t="shared" si="6"/>
        <v>2026</v>
      </c>
      <c r="H258" t="str">
        <f t="shared" ca="1" si="7"/>
        <v>Due</v>
      </c>
    </row>
    <row r="259" spans="1:8" ht="15.75" customHeight="1">
      <c r="A259" t="s">
        <v>943</v>
      </c>
      <c r="B259" t="s">
        <v>944</v>
      </c>
      <c r="C259" t="s">
        <v>882</v>
      </c>
      <c r="D259" t="s">
        <v>152</v>
      </c>
      <c r="E259">
        <v>2024</v>
      </c>
      <c r="F259" t="s">
        <v>689</v>
      </c>
      <c r="G259">
        <f t="shared" si="6"/>
        <v>2027</v>
      </c>
      <c r="H259" t="str">
        <f t="shared" ca="1" si="7"/>
        <v>Valid</v>
      </c>
    </row>
    <row r="260" spans="1:8" ht="15.75" customHeight="1">
      <c r="A260" t="s">
        <v>945</v>
      </c>
      <c r="B260" t="s">
        <v>946</v>
      </c>
      <c r="C260" t="s">
        <v>947</v>
      </c>
      <c r="D260" t="s">
        <v>152</v>
      </c>
      <c r="G260" t="str">
        <f t="shared" ref="G260:G323" si="8">IF(ISBLANK(E260), "", IF(OR(F260="First aid (M)", F260="First aid (L)"), "Lifetime", IF(F260="First aid (V)", E260+5, E260+3)))</f>
        <v/>
      </c>
      <c r="H260" t="str">
        <f t="shared" ref="H260:H323" ca="1" si="9">IF(ISBLANK(G260), "", IF(G260="Lifetime", "Valid", IF(YEAR(TODAY())&gt;=G260, "Due", "Valid")))</f>
        <v>Valid</v>
      </c>
    </row>
    <row r="261" spans="1:8" ht="15.75" customHeight="1">
      <c r="A261" t="s">
        <v>948</v>
      </c>
      <c r="B261" t="s">
        <v>949</v>
      </c>
      <c r="C261" t="s">
        <v>848</v>
      </c>
      <c r="D261" t="s">
        <v>152</v>
      </c>
      <c r="E261">
        <v>2026</v>
      </c>
      <c r="F261" t="s">
        <v>689</v>
      </c>
      <c r="G261">
        <f t="shared" si="8"/>
        <v>2029</v>
      </c>
      <c r="H261" t="str">
        <f t="shared" ca="1" si="9"/>
        <v>Valid</v>
      </c>
    </row>
    <row r="262" spans="1:8" ht="15.75" customHeight="1">
      <c r="A262" t="s">
        <v>950</v>
      </c>
      <c r="B262" t="s">
        <v>951</v>
      </c>
      <c r="C262" t="s">
        <v>952</v>
      </c>
      <c r="D262" t="s">
        <v>152</v>
      </c>
      <c r="E262">
        <v>2021</v>
      </c>
      <c r="F262" t="s">
        <v>689</v>
      </c>
      <c r="G262">
        <f t="shared" si="8"/>
        <v>2024</v>
      </c>
      <c r="H262" t="str">
        <f t="shared" ca="1" si="9"/>
        <v>Due</v>
      </c>
    </row>
    <row r="263" spans="1:8" ht="15.75" customHeight="1">
      <c r="A263" t="s">
        <v>383</v>
      </c>
      <c r="B263" t="s">
        <v>384</v>
      </c>
      <c r="C263" t="s">
        <v>123</v>
      </c>
      <c r="D263" t="s">
        <v>152</v>
      </c>
      <c r="G263" t="str">
        <f t="shared" si="8"/>
        <v/>
      </c>
      <c r="H263" t="str">
        <f t="shared" ca="1" si="9"/>
        <v>Valid</v>
      </c>
    </row>
    <row r="264" spans="1:8" ht="15.75" customHeight="1">
      <c r="A264" t="s">
        <v>385</v>
      </c>
      <c r="B264" t="s">
        <v>293</v>
      </c>
      <c r="C264" t="s">
        <v>315</v>
      </c>
      <c r="D264" t="s">
        <v>152</v>
      </c>
      <c r="E264">
        <v>2025</v>
      </c>
      <c r="F264" t="s">
        <v>689</v>
      </c>
      <c r="G264">
        <f t="shared" si="8"/>
        <v>2028</v>
      </c>
      <c r="H264" t="str">
        <f t="shared" ca="1" si="9"/>
        <v>Valid</v>
      </c>
    </row>
    <row r="265" spans="1:8" ht="15.75" customHeight="1">
      <c r="A265" t="s">
        <v>386</v>
      </c>
      <c r="B265" t="s">
        <v>387</v>
      </c>
      <c r="C265" t="s">
        <v>388</v>
      </c>
      <c r="D265" t="s">
        <v>152</v>
      </c>
      <c r="G265" t="str">
        <f t="shared" si="8"/>
        <v/>
      </c>
      <c r="H265" t="str">
        <f t="shared" ca="1" si="9"/>
        <v>Valid</v>
      </c>
    </row>
    <row r="266" spans="1:8" ht="15.75" customHeight="1">
      <c r="A266" t="s">
        <v>389</v>
      </c>
      <c r="B266" t="s">
        <v>390</v>
      </c>
      <c r="C266" t="s">
        <v>39</v>
      </c>
      <c r="D266" t="s">
        <v>152</v>
      </c>
      <c r="E266">
        <v>2022</v>
      </c>
      <c r="F266" t="s">
        <v>689</v>
      </c>
      <c r="G266">
        <f t="shared" si="8"/>
        <v>2025</v>
      </c>
      <c r="H266" t="str">
        <f t="shared" ca="1" si="9"/>
        <v>Due</v>
      </c>
    </row>
    <row r="267" spans="1:8" ht="15.75" customHeight="1">
      <c r="A267" t="s">
        <v>391</v>
      </c>
      <c r="B267" t="s">
        <v>392</v>
      </c>
      <c r="C267" t="s">
        <v>11</v>
      </c>
      <c r="D267" t="s">
        <v>152</v>
      </c>
      <c r="G267" t="str">
        <f t="shared" si="8"/>
        <v/>
      </c>
      <c r="H267" t="str">
        <f t="shared" ca="1" si="9"/>
        <v>Valid</v>
      </c>
    </row>
    <row r="268" spans="1:8" ht="15.75" customHeight="1">
      <c r="A268" t="s">
        <v>393</v>
      </c>
      <c r="B268" t="s">
        <v>394</v>
      </c>
      <c r="C268" t="s">
        <v>11</v>
      </c>
      <c r="D268" t="s">
        <v>152</v>
      </c>
      <c r="E268">
        <v>2023</v>
      </c>
      <c r="F268" t="s">
        <v>689</v>
      </c>
      <c r="G268">
        <f t="shared" si="8"/>
        <v>2026</v>
      </c>
      <c r="H268" t="str">
        <f t="shared" ca="1" si="9"/>
        <v>Due</v>
      </c>
    </row>
    <row r="269" spans="1:8" ht="15.75" customHeight="1">
      <c r="A269" t="s">
        <v>395</v>
      </c>
      <c r="B269" t="s">
        <v>396</v>
      </c>
      <c r="C269" t="s">
        <v>174</v>
      </c>
      <c r="D269" t="s">
        <v>152</v>
      </c>
      <c r="G269" t="str">
        <f t="shared" si="8"/>
        <v/>
      </c>
      <c r="H269" t="str">
        <f t="shared" ca="1" si="9"/>
        <v>Valid</v>
      </c>
    </row>
    <row r="270" spans="1:8" ht="15.75" customHeight="1">
      <c r="A270" t="s">
        <v>397</v>
      </c>
      <c r="B270" t="s">
        <v>398</v>
      </c>
      <c r="C270" t="s">
        <v>79</v>
      </c>
      <c r="D270" t="s">
        <v>152</v>
      </c>
      <c r="G270" t="str">
        <f t="shared" si="8"/>
        <v/>
      </c>
      <c r="H270" t="str">
        <f t="shared" ca="1" si="9"/>
        <v>Valid</v>
      </c>
    </row>
    <row r="271" spans="1:8" ht="15.75" customHeight="1">
      <c r="A271" t="s">
        <v>953</v>
      </c>
      <c r="B271" t="s">
        <v>954</v>
      </c>
      <c r="C271" t="s">
        <v>882</v>
      </c>
      <c r="D271" t="s">
        <v>152</v>
      </c>
      <c r="E271">
        <v>2022</v>
      </c>
      <c r="F271" t="s">
        <v>689</v>
      </c>
      <c r="G271">
        <f t="shared" si="8"/>
        <v>2025</v>
      </c>
      <c r="H271" t="str">
        <f t="shared" ca="1" si="9"/>
        <v>Due</v>
      </c>
    </row>
    <row r="272" spans="1:8" ht="15.75" customHeight="1">
      <c r="A272" t="s">
        <v>955</v>
      </c>
      <c r="B272" t="s">
        <v>956</v>
      </c>
      <c r="C272" t="s">
        <v>916</v>
      </c>
      <c r="D272" t="s">
        <v>152</v>
      </c>
      <c r="E272">
        <v>2018</v>
      </c>
      <c r="F272" t="s">
        <v>689</v>
      </c>
      <c r="G272">
        <f t="shared" si="8"/>
        <v>2021</v>
      </c>
      <c r="H272" t="str">
        <f t="shared" ca="1" si="9"/>
        <v>Due</v>
      </c>
    </row>
    <row r="273" spans="1:8" ht="15.75" customHeight="1">
      <c r="A273" t="s">
        <v>399</v>
      </c>
      <c r="B273" t="s">
        <v>400</v>
      </c>
      <c r="C273" t="s">
        <v>401</v>
      </c>
      <c r="D273" t="s">
        <v>152</v>
      </c>
      <c r="G273" t="str">
        <f t="shared" si="8"/>
        <v/>
      </c>
      <c r="H273" t="str">
        <f t="shared" ca="1" si="9"/>
        <v>Valid</v>
      </c>
    </row>
    <row r="274" spans="1:8" ht="15.75" customHeight="1">
      <c r="A274" t="s">
        <v>402</v>
      </c>
      <c r="B274" t="s">
        <v>403</v>
      </c>
      <c r="C274" t="s">
        <v>315</v>
      </c>
      <c r="D274" t="s">
        <v>152</v>
      </c>
      <c r="G274" t="str">
        <f t="shared" si="8"/>
        <v/>
      </c>
      <c r="H274" t="str">
        <f t="shared" ca="1" si="9"/>
        <v>Valid</v>
      </c>
    </row>
    <row r="275" spans="1:8" ht="15.75" customHeight="1">
      <c r="A275" t="s">
        <v>404</v>
      </c>
      <c r="B275" t="s">
        <v>405</v>
      </c>
      <c r="C275" t="s">
        <v>388</v>
      </c>
      <c r="D275" t="s">
        <v>152</v>
      </c>
      <c r="E275">
        <v>2023</v>
      </c>
      <c r="F275" t="s">
        <v>689</v>
      </c>
      <c r="G275">
        <f t="shared" si="8"/>
        <v>2026</v>
      </c>
      <c r="H275" t="str">
        <f t="shared" ca="1" si="9"/>
        <v>Due</v>
      </c>
    </row>
    <row r="276" spans="1:8" ht="15.75" customHeight="1">
      <c r="A276" t="s">
        <v>406</v>
      </c>
      <c r="B276" t="s">
        <v>407</v>
      </c>
      <c r="C276" t="s">
        <v>39</v>
      </c>
      <c r="D276" t="s">
        <v>152</v>
      </c>
      <c r="G276" t="str">
        <f t="shared" si="8"/>
        <v/>
      </c>
      <c r="H276" t="str">
        <f t="shared" ca="1" si="9"/>
        <v>Valid</v>
      </c>
    </row>
    <row r="277" spans="1:8" ht="15.75" customHeight="1">
      <c r="A277" t="s">
        <v>408</v>
      </c>
      <c r="B277" t="s">
        <v>409</v>
      </c>
      <c r="C277" t="s">
        <v>401</v>
      </c>
      <c r="D277" t="s">
        <v>152</v>
      </c>
      <c r="G277" t="str">
        <f t="shared" si="8"/>
        <v/>
      </c>
      <c r="H277" t="str">
        <f t="shared" ca="1" si="9"/>
        <v>Valid</v>
      </c>
    </row>
    <row r="278" spans="1:8" ht="15.75" customHeight="1">
      <c r="A278" t="s">
        <v>410</v>
      </c>
      <c r="B278" t="s">
        <v>411</v>
      </c>
      <c r="C278" t="s">
        <v>39</v>
      </c>
      <c r="D278" t="s">
        <v>152</v>
      </c>
      <c r="G278" t="str">
        <f t="shared" si="8"/>
        <v/>
      </c>
      <c r="H278" t="str">
        <f t="shared" ca="1" si="9"/>
        <v>Valid</v>
      </c>
    </row>
    <row r="279" spans="1:8" ht="15.75" customHeight="1">
      <c r="A279" t="s">
        <v>412</v>
      </c>
      <c r="B279" t="s">
        <v>413</v>
      </c>
      <c r="C279" t="s">
        <v>139</v>
      </c>
      <c r="D279" t="s">
        <v>152</v>
      </c>
      <c r="E279">
        <v>2016</v>
      </c>
      <c r="F279" t="s">
        <v>693</v>
      </c>
      <c r="G279">
        <f t="shared" si="8"/>
        <v>2021</v>
      </c>
      <c r="H279" t="str">
        <f t="shared" ca="1" si="9"/>
        <v>Due</v>
      </c>
    </row>
    <row r="280" spans="1:8" ht="15.75" customHeight="1">
      <c r="A280" t="s">
        <v>414</v>
      </c>
      <c r="B280" t="s">
        <v>415</v>
      </c>
      <c r="C280" t="s">
        <v>416</v>
      </c>
      <c r="D280" t="s">
        <v>152</v>
      </c>
      <c r="E280">
        <v>2025</v>
      </c>
      <c r="F280" t="s">
        <v>689</v>
      </c>
      <c r="G280">
        <f t="shared" si="8"/>
        <v>2028</v>
      </c>
      <c r="H280" t="str">
        <f t="shared" ca="1" si="9"/>
        <v>Valid</v>
      </c>
    </row>
    <row r="281" spans="1:8" ht="15.75" customHeight="1">
      <c r="A281" t="s">
        <v>417</v>
      </c>
      <c r="B281" t="s">
        <v>418</v>
      </c>
      <c r="C281" t="s">
        <v>416</v>
      </c>
      <c r="D281" t="s">
        <v>152</v>
      </c>
      <c r="E281">
        <v>2021</v>
      </c>
      <c r="F281" t="s">
        <v>689</v>
      </c>
      <c r="G281">
        <f t="shared" si="8"/>
        <v>2024</v>
      </c>
      <c r="H281" t="str">
        <f t="shared" ca="1" si="9"/>
        <v>Due</v>
      </c>
    </row>
    <row r="282" spans="1:8" ht="15.75" customHeight="1">
      <c r="A282" t="s">
        <v>419</v>
      </c>
      <c r="B282" t="s">
        <v>420</v>
      </c>
      <c r="C282" t="s">
        <v>421</v>
      </c>
      <c r="D282" t="s">
        <v>152</v>
      </c>
      <c r="G282" t="str">
        <f t="shared" si="8"/>
        <v/>
      </c>
      <c r="H282" t="str">
        <f t="shared" ca="1" si="9"/>
        <v>Valid</v>
      </c>
    </row>
    <row r="283" spans="1:8" ht="15.75" customHeight="1">
      <c r="A283" t="s">
        <v>957</v>
      </c>
      <c r="B283" t="s">
        <v>958</v>
      </c>
      <c r="C283" t="s">
        <v>959</v>
      </c>
      <c r="D283" t="s">
        <v>425</v>
      </c>
      <c r="E283">
        <v>2022</v>
      </c>
      <c r="F283" t="s">
        <v>960</v>
      </c>
      <c r="G283" t="str">
        <f t="shared" si="8"/>
        <v>Lifetime</v>
      </c>
      <c r="H283" t="str">
        <f t="shared" ca="1" si="9"/>
        <v>Valid</v>
      </c>
    </row>
    <row r="284" spans="1:8" ht="15.75" customHeight="1">
      <c r="A284" t="s">
        <v>961</v>
      </c>
      <c r="B284" t="s">
        <v>962</v>
      </c>
      <c r="C284" t="s">
        <v>963</v>
      </c>
      <c r="D284" t="s">
        <v>425</v>
      </c>
      <c r="E284">
        <v>2026</v>
      </c>
      <c r="F284" t="s">
        <v>768</v>
      </c>
      <c r="G284" t="str">
        <f t="shared" si="8"/>
        <v>Lifetime</v>
      </c>
      <c r="H284" t="str">
        <f t="shared" ca="1" si="9"/>
        <v>Valid</v>
      </c>
    </row>
    <row r="285" spans="1:8" ht="15.75" customHeight="1">
      <c r="A285" t="s">
        <v>964</v>
      </c>
      <c r="B285" t="s">
        <v>965</v>
      </c>
      <c r="C285" t="s">
        <v>966</v>
      </c>
      <c r="D285" t="s">
        <v>425</v>
      </c>
      <c r="E285">
        <v>2020</v>
      </c>
      <c r="F285" t="s">
        <v>768</v>
      </c>
      <c r="G285" t="str">
        <f t="shared" si="8"/>
        <v>Lifetime</v>
      </c>
      <c r="H285" t="str">
        <f t="shared" ca="1" si="9"/>
        <v>Valid</v>
      </c>
    </row>
    <row r="286" spans="1:8" ht="15.75" customHeight="1">
      <c r="A286" t="s">
        <v>967</v>
      </c>
      <c r="B286" t="s">
        <v>968</v>
      </c>
      <c r="C286" t="s">
        <v>966</v>
      </c>
      <c r="D286" t="s">
        <v>425</v>
      </c>
      <c r="E286">
        <v>2020</v>
      </c>
      <c r="F286" t="s">
        <v>768</v>
      </c>
      <c r="G286" t="str">
        <f t="shared" si="8"/>
        <v>Lifetime</v>
      </c>
      <c r="H286" t="str">
        <f t="shared" ca="1" si="9"/>
        <v>Valid</v>
      </c>
    </row>
    <row r="287" spans="1:8" ht="15.75" customHeight="1">
      <c r="A287" t="s">
        <v>969</v>
      </c>
      <c r="B287" t="s">
        <v>970</v>
      </c>
      <c r="C287" t="s">
        <v>971</v>
      </c>
      <c r="D287" t="s">
        <v>425</v>
      </c>
      <c r="E287">
        <v>2020</v>
      </c>
      <c r="F287" t="s">
        <v>768</v>
      </c>
      <c r="G287" t="str">
        <f t="shared" si="8"/>
        <v>Lifetime</v>
      </c>
      <c r="H287" t="str">
        <f t="shared" ca="1" si="9"/>
        <v>Valid</v>
      </c>
    </row>
    <row r="288" spans="1:8" ht="15.75" customHeight="1">
      <c r="A288" t="s">
        <v>972</v>
      </c>
      <c r="B288" t="s">
        <v>973</v>
      </c>
      <c r="C288" t="s">
        <v>971</v>
      </c>
      <c r="D288" t="s">
        <v>425</v>
      </c>
      <c r="E288">
        <v>2020</v>
      </c>
      <c r="F288" t="s">
        <v>768</v>
      </c>
      <c r="G288" t="str">
        <f t="shared" si="8"/>
        <v>Lifetime</v>
      </c>
      <c r="H288" t="str">
        <f t="shared" ca="1" si="9"/>
        <v>Valid</v>
      </c>
    </row>
    <row r="289" spans="1:8" ht="15.75" customHeight="1">
      <c r="A289" t="s">
        <v>974</v>
      </c>
      <c r="B289" t="s">
        <v>975</v>
      </c>
      <c r="C289" t="s">
        <v>971</v>
      </c>
      <c r="D289" t="s">
        <v>425</v>
      </c>
      <c r="E289">
        <v>2020</v>
      </c>
      <c r="F289" t="s">
        <v>768</v>
      </c>
      <c r="G289" t="str">
        <f t="shared" si="8"/>
        <v>Lifetime</v>
      </c>
      <c r="H289" t="str">
        <f t="shared" ca="1" si="9"/>
        <v>Valid</v>
      </c>
    </row>
    <row r="290" spans="1:8" ht="15.75" customHeight="1">
      <c r="A290" t="s">
        <v>976</v>
      </c>
      <c r="B290" t="s">
        <v>977</v>
      </c>
      <c r="C290" t="s">
        <v>971</v>
      </c>
      <c r="D290" t="s">
        <v>425</v>
      </c>
      <c r="E290">
        <v>2020</v>
      </c>
      <c r="F290" t="s">
        <v>768</v>
      </c>
      <c r="G290" t="str">
        <f t="shared" si="8"/>
        <v>Lifetime</v>
      </c>
      <c r="H290" t="str">
        <f t="shared" ca="1" si="9"/>
        <v>Valid</v>
      </c>
    </row>
    <row r="291" spans="1:8" ht="15.75" customHeight="1">
      <c r="A291" t="s">
        <v>978</v>
      </c>
      <c r="B291" t="s">
        <v>979</v>
      </c>
      <c r="C291" t="s">
        <v>971</v>
      </c>
      <c r="D291" t="s">
        <v>425</v>
      </c>
      <c r="E291">
        <v>2020</v>
      </c>
      <c r="F291" t="s">
        <v>768</v>
      </c>
      <c r="G291" t="str">
        <f t="shared" si="8"/>
        <v>Lifetime</v>
      </c>
      <c r="H291" t="str">
        <f t="shared" ca="1" si="9"/>
        <v>Valid</v>
      </c>
    </row>
    <row r="292" spans="1:8" ht="15.75" customHeight="1">
      <c r="A292" t="s">
        <v>980</v>
      </c>
      <c r="B292" t="s">
        <v>981</v>
      </c>
      <c r="C292" t="s">
        <v>982</v>
      </c>
      <c r="D292" t="s">
        <v>425</v>
      </c>
      <c r="E292">
        <v>2020</v>
      </c>
      <c r="F292" t="s">
        <v>768</v>
      </c>
      <c r="G292" t="str">
        <f t="shared" si="8"/>
        <v>Lifetime</v>
      </c>
      <c r="H292" t="str">
        <f t="shared" ca="1" si="9"/>
        <v>Valid</v>
      </c>
    </row>
    <row r="293" spans="1:8" ht="15.75" customHeight="1">
      <c r="A293" t="s">
        <v>983</v>
      </c>
      <c r="B293" t="s">
        <v>984</v>
      </c>
      <c r="C293" t="s">
        <v>982</v>
      </c>
      <c r="D293" t="s">
        <v>425</v>
      </c>
      <c r="E293">
        <v>2020</v>
      </c>
      <c r="F293" t="s">
        <v>768</v>
      </c>
      <c r="G293" t="str">
        <f t="shared" si="8"/>
        <v>Lifetime</v>
      </c>
      <c r="H293" t="str">
        <f t="shared" ca="1" si="9"/>
        <v>Valid</v>
      </c>
    </row>
    <row r="294" spans="1:8" ht="15.75" customHeight="1">
      <c r="A294" t="s">
        <v>985</v>
      </c>
      <c r="B294" t="s">
        <v>986</v>
      </c>
      <c r="C294" t="s">
        <v>982</v>
      </c>
      <c r="D294" t="s">
        <v>425</v>
      </c>
      <c r="E294">
        <v>2020</v>
      </c>
      <c r="F294" t="s">
        <v>768</v>
      </c>
      <c r="G294" t="str">
        <f t="shared" si="8"/>
        <v>Lifetime</v>
      </c>
      <c r="H294" t="str">
        <f t="shared" ca="1" si="9"/>
        <v>Valid</v>
      </c>
    </row>
    <row r="295" spans="1:8" ht="15.75" customHeight="1">
      <c r="A295" t="s">
        <v>987</v>
      </c>
      <c r="B295" t="s">
        <v>988</v>
      </c>
      <c r="C295" t="s">
        <v>982</v>
      </c>
      <c r="D295" t="s">
        <v>425</v>
      </c>
      <c r="E295">
        <v>2020</v>
      </c>
      <c r="F295" t="s">
        <v>768</v>
      </c>
      <c r="G295" t="str">
        <f t="shared" si="8"/>
        <v>Lifetime</v>
      </c>
      <c r="H295" t="str">
        <f t="shared" ca="1" si="9"/>
        <v>Valid</v>
      </c>
    </row>
    <row r="296" spans="1:8" ht="15.75" customHeight="1">
      <c r="A296" t="s">
        <v>989</v>
      </c>
      <c r="B296" t="s">
        <v>990</v>
      </c>
      <c r="C296" t="s">
        <v>991</v>
      </c>
      <c r="D296" t="s">
        <v>425</v>
      </c>
      <c r="E296">
        <v>2024</v>
      </c>
      <c r="F296" t="s">
        <v>960</v>
      </c>
      <c r="G296" t="str">
        <f t="shared" si="8"/>
        <v>Lifetime</v>
      </c>
      <c r="H296" t="str">
        <f t="shared" ca="1" si="9"/>
        <v>Valid</v>
      </c>
    </row>
    <row r="297" spans="1:8" ht="15.75" customHeight="1">
      <c r="A297" t="s">
        <v>992</v>
      </c>
      <c r="B297" t="s">
        <v>993</v>
      </c>
      <c r="C297" t="s">
        <v>991</v>
      </c>
      <c r="D297" t="s">
        <v>425</v>
      </c>
      <c r="E297">
        <v>2022</v>
      </c>
      <c r="F297" t="s">
        <v>689</v>
      </c>
      <c r="G297">
        <f t="shared" si="8"/>
        <v>2025</v>
      </c>
      <c r="H297" t="str">
        <f t="shared" ca="1" si="9"/>
        <v>Due</v>
      </c>
    </row>
    <row r="298" spans="1:8" ht="15.75" customHeight="1">
      <c r="A298" t="s">
        <v>994</v>
      </c>
      <c r="B298" t="s">
        <v>995</v>
      </c>
      <c r="C298" t="s">
        <v>991</v>
      </c>
      <c r="D298" t="s">
        <v>425</v>
      </c>
      <c r="E298">
        <v>2024</v>
      </c>
      <c r="F298" t="s">
        <v>768</v>
      </c>
      <c r="G298" t="str">
        <f t="shared" si="8"/>
        <v>Lifetime</v>
      </c>
      <c r="H298" t="str">
        <f t="shared" ca="1" si="9"/>
        <v>Valid</v>
      </c>
    </row>
    <row r="299" spans="1:8" ht="15.75" customHeight="1">
      <c r="A299" t="s">
        <v>996</v>
      </c>
      <c r="B299" t="s">
        <v>997</v>
      </c>
      <c r="C299" t="s">
        <v>998</v>
      </c>
      <c r="D299" t="s">
        <v>425</v>
      </c>
      <c r="E299">
        <v>2021</v>
      </c>
      <c r="F299" t="s">
        <v>768</v>
      </c>
      <c r="G299" t="str">
        <f t="shared" si="8"/>
        <v>Lifetime</v>
      </c>
      <c r="H299" t="str">
        <f t="shared" ca="1" si="9"/>
        <v>Valid</v>
      </c>
    </row>
    <row r="300" spans="1:8" ht="15.75" customHeight="1">
      <c r="A300" t="s">
        <v>999</v>
      </c>
      <c r="B300" s="17" t="s">
        <v>1000</v>
      </c>
      <c r="C300" t="s">
        <v>1001</v>
      </c>
      <c r="D300" t="s">
        <v>425</v>
      </c>
      <c r="E300">
        <v>2022</v>
      </c>
      <c r="F300" t="s">
        <v>693</v>
      </c>
      <c r="G300">
        <f t="shared" si="8"/>
        <v>2027</v>
      </c>
      <c r="H300" t="str">
        <f t="shared" ca="1" si="9"/>
        <v>Valid</v>
      </c>
    </row>
    <row r="301" spans="1:8" ht="15.75" customHeight="1">
      <c r="A301" t="s">
        <v>1002</v>
      </c>
      <c r="B301" t="s">
        <v>1003</v>
      </c>
      <c r="C301" t="s">
        <v>1004</v>
      </c>
      <c r="D301" t="s">
        <v>425</v>
      </c>
      <c r="E301">
        <v>2022</v>
      </c>
      <c r="F301" t="s">
        <v>960</v>
      </c>
      <c r="G301" t="str">
        <f t="shared" si="8"/>
        <v>Lifetime</v>
      </c>
      <c r="H301" t="str">
        <f t="shared" ca="1" si="9"/>
        <v>Valid</v>
      </c>
    </row>
    <row r="302" spans="1:8" ht="15.75" customHeight="1">
      <c r="A302" t="s">
        <v>1005</v>
      </c>
      <c r="B302" t="s">
        <v>1006</v>
      </c>
      <c r="C302" t="s">
        <v>1007</v>
      </c>
      <c r="D302" t="s">
        <v>425</v>
      </c>
      <c r="E302">
        <v>2008</v>
      </c>
      <c r="F302" t="s">
        <v>768</v>
      </c>
      <c r="G302" t="str">
        <f t="shared" si="8"/>
        <v>Lifetime</v>
      </c>
      <c r="H302" t="str">
        <f t="shared" ca="1" si="9"/>
        <v>Valid</v>
      </c>
    </row>
    <row r="303" spans="1:8" ht="15.75" customHeight="1">
      <c r="A303" t="s">
        <v>1008</v>
      </c>
      <c r="B303" t="s">
        <v>1009</v>
      </c>
      <c r="C303" t="s">
        <v>1010</v>
      </c>
      <c r="D303" t="s">
        <v>425</v>
      </c>
      <c r="G303" t="str">
        <f t="shared" si="8"/>
        <v/>
      </c>
      <c r="H303" t="str">
        <f t="shared" ca="1" si="9"/>
        <v>Valid</v>
      </c>
    </row>
    <row r="304" spans="1:8" ht="15.75" customHeight="1">
      <c r="A304" t="s">
        <v>1011</v>
      </c>
      <c r="B304" t="s">
        <v>1012</v>
      </c>
      <c r="C304" t="s">
        <v>1013</v>
      </c>
      <c r="D304" t="s">
        <v>1014</v>
      </c>
      <c r="G304" t="str">
        <f t="shared" si="8"/>
        <v/>
      </c>
      <c r="H304" t="str">
        <f t="shared" ca="1" si="9"/>
        <v>Valid</v>
      </c>
    </row>
    <row r="305" spans="1:8" ht="15.75" customHeight="1">
      <c r="A305" t="s">
        <v>422</v>
      </c>
      <c r="B305" t="s">
        <v>423</v>
      </c>
      <c r="C305" t="s">
        <v>424</v>
      </c>
      <c r="D305" t="s">
        <v>425</v>
      </c>
      <c r="G305" t="str">
        <f t="shared" si="8"/>
        <v/>
      </c>
      <c r="H305" t="str">
        <f t="shared" ca="1" si="9"/>
        <v>Valid</v>
      </c>
    </row>
    <row r="306" spans="1:8" ht="15.75" customHeight="1">
      <c r="A306" t="s">
        <v>426</v>
      </c>
      <c r="B306" t="s">
        <v>427</v>
      </c>
      <c r="C306" t="s">
        <v>428</v>
      </c>
      <c r="D306" t="s">
        <v>425</v>
      </c>
      <c r="G306" t="str">
        <f t="shared" si="8"/>
        <v/>
      </c>
      <c r="H306" t="str">
        <f t="shared" ca="1" si="9"/>
        <v>Valid</v>
      </c>
    </row>
    <row r="307" spans="1:8" ht="15.75" customHeight="1">
      <c r="A307" t="s">
        <v>429</v>
      </c>
      <c r="B307" t="s">
        <v>430</v>
      </c>
      <c r="C307" t="s">
        <v>428</v>
      </c>
      <c r="D307" t="s">
        <v>425</v>
      </c>
      <c r="G307" t="str">
        <f t="shared" si="8"/>
        <v/>
      </c>
      <c r="H307" t="str">
        <f t="shared" ca="1" si="9"/>
        <v>Valid</v>
      </c>
    </row>
    <row r="308" spans="1:8" ht="15.75" customHeight="1">
      <c r="A308" t="s">
        <v>431</v>
      </c>
      <c r="B308" t="s">
        <v>432</v>
      </c>
      <c r="C308" t="s">
        <v>139</v>
      </c>
      <c r="D308" t="s">
        <v>425</v>
      </c>
      <c r="E308">
        <v>2018</v>
      </c>
      <c r="F308" t="s">
        <v>768</v>
      </c>
      <c r="G308" t="str">
        <f t="shared" si="8"/>
        <v>Lifetime</v>
      </c>
      <c r="H308" t="str">
        <f t="shared" ca="1" si="9"/>
        <v>Valid</v>
      </c>
    </row>
    <row r="309" spans="1:8" ht="15.75" customHeight="1">
      <c r="A309" t="s">
        <v>433</v>
      </c>
      <c r="B309" t="s">
        <v>434</v>
      </c>
      <c r="C309" t="s">
        <v>139</v>
      </c>
      <c r="D309" t="s">
        <v>425</v>
      </c>
      <c r="E309">
        <v>2017</v>
      </c>
      <c r="F309" t="s">
        <v>689</v>
      </c>
      <c r="G309">
        <f t="shared" si="8"/>
        <v>2020</v>
      </c>
      <c r="H309" t="str">
        <f t="shared" ca="1" si="9"/>
        <v>Due</v>
      </c>
    </row>
    <row r="310" spans="1:8" ht="15.75" customHeight="1">
      <c r="A310" t="s">
        <v>435</v>
      </c>
      <c r="B310" t="s">
        <v>163</v>
      </c>
      <c r="C310" t="s">
        <v>64</v>
      </c>
      <c r="D310" t="s">
        <v>425</v>
      </c>
      <c r="E310">
        <v>2024</v>
      </c>
      <c r="F310" t="s">
        <v>689</v>
      </c>
      <c r="G310">
        <f t="shared" si="8"/>
        <v>2027</v>
      </c>
      <c r="H310" t="str">
        <f t="shared" ca="1" si="9"/>
        <v>Valid</v>
      </c>
    </row>
    <row r="311" spans="1:8" ht="15.75" customHeight="1">
      <c r="A311" t="s">
        <v>436</v>
      </c>
      <c r="B311" t="s">
        <v>437</v>
      </c>
      <c r="C311" t="s">
        <v>438</v>
      </c>
      <c r="D311" t="s">
        <v>425</v>
      </c>
      <c r="G311" t="str">
        <f t="shared" si="8"/>
        <v/>
      </c>
      <c r="H311" t="str">
        <f t="shared" ca="1" si="9"/>
        <v>Valid</v>
      </c>
    </row>
    <row r="312" spans="1:8" ht="15.75" customHeight="1">
      <c r="A312" t="s">
        <v>1015</v>
      </c>
      <c r="B312" t="s">
        <v>1016</v>
      </c>
      <c r="C312" t="s">
        <v>1017</v>
      </c>
      <c r="D312" t="s">
        <v>425</v>
      </c>
      <c r="E312">
        <v>2023</v>
      </c>
      <c r="F312" t="s">
        <v>960</v>
      </c>
      <c r="G312" t="str">
        <f t="shared" si="8"/>
        <v>Lifetime</v>
      </c>
      <c r="H312" t="str">
        <f t="shared" ca="1" si="9"/>
        <v>Valid</v>
      </c>
    </row>
    <row r="313" spans="1:8" ht="15.75" customHeight="1">
      <c r="A313" t="s">
        <v>1018</v>
      </c>
      <c r="B313" t="s">
        <v>1019</v>
      </c>
      <c r="C313" t="s">
        <v>1017</v>
      </c>
      <c r="D313" t="s">
        <v>425</v>
      </c>
      <c r="E313">
        <v>2023</v>
      </c>
      <c r="F313" t="s">
        <v>960</v>
      </c>
      <c r="G313" t="str">
        <f t="shared" si="8"/>
        <v>Lifetime</v>
      </c>
      <c r="H313" t="str">
        <f t="shared" ca="1" si="9"/>
        <v>Valid</v>
      </c>
    </row>
    <row r="314" spans="1:8" ht="15.75" customHeight="1">
      <c r="A314" t="s">
        <v>1020</v>
      </c>
      <c r="B314" t="s">
        <v>1021</v>
      </c>
      <c r="C314" t="s">
        <v>1022</v>
      </c>
      <c r="D314" t="s">
        <v>425</v>
      </c>
      <c r="G314" t="str">
        <f t="shared" si="8"/>
        <v/>
      </c>
      <c r="H314" t="str">
        <f t="shared" ca="1" si="9"/>
        <v>Valid</v>
      </c>
    </row>
    <row r="315" spans="1:8" ht="15.75" customHeight="1">
      <c r="A315" t="s">
        <v>1023</v>
      </c>
      <c r="B315" t="s">
        <v>1024</v>
      </c>
      <c r="C315" t="s">
        <v>1022</v>
      </c>
      <c r="D315" t="s">
        <v>425</v>
      </c>
      <c r="G315" t="str">
        <f t="shared" si="8"/>
        <v/>
      </c>
      <c r="H315" t="str">
        <f t="shared" ca="1" si="9"/>
        <v>Valid</v>
      </c>
    </row>
    <row r="316" spans="1:8" ht="15.75" customHeight="1">
      <c r="A316" t="s">
        <v>1025</v>
      </c>
      <c r="B316" t="s">
        <v>1026</v>
      </c>
      <c r="C316" t="s">
        <v>913</v>
      </c>
      <c r="D316" t="s">
        <v>425</v>
      </c>
      <c r="E316">
        <v>2018</v>
      </c>
      <c r="F316" t="s">
        <v>689</v>
      </c>
      <c r="G316">
        <f t="shared" si="8"/>
        <v>2021</v>
      </c>
      <c r="H316" t="str">
        <f t="shared" ca="1" si="9"/>
        <v>Due</v>
      </c>
    </row>
    <row r="317" spans="1:8" ht="15.75" customHeight="1">
      <c r="A317" t="s">
        <v>1027</v>
      </c>
      <c r="B317" t="s">
        <v>1028</v>
      </c>
      <c r="C317" t="s">
        <v>1029</v>
      </c>
      <c r="D317" t="s">
        <v>425</v>
      </c>
      <c r="G317" t="str">
        <f t="shared" si="8"/>
        <v/>
      </c>
      <c r="H317" t="str">
        <f t="shared" ca="1" si="9"/>
        <v>Valid</v>
      </c>
    </row>
    <row r="318" spans="1:8" ht="15.75" customHeight="1">
      <c r="A318" t="s">
        <v>439</v>
      </c>
      <c r="B318" t="s">
        <v>440</v>
      </c>
      <c r="C318" t="s">
        <v>441</v>
      </c>
      <c r="D318" t="s">
        <v>425</v>
      </c>
      <c r="G318" t="str">
        <f t="shared" si="8"/>
        <v/>
      </c>
      <c r="H318" t="str">
        <f t="shared" ca="1" si="9"/>
        <v>Valid</v>
      </c>
    </row>
    <row r="319" spans="1:8" ht="15.75" customHeight="1">
      <c r="A319" t="s">
        <v>442</v>
      </c>
      <c r="B319" t="s">
        <v>443</v>
      </c>
      <c r="C319" t="s">
        <v>444</v>
      </c>
      <c r="D319" t="s">
        <v>425</v>
      </c>
      <c r="E319">
        <v>2025</v>
      </c>
      <c r="F319" t="s">
        <v>689</v>
      </c>
      <c r="G319">
        <f t="shared" si="8"/>
        <v>2028</v>
      </c>
      <c r="H319" t="str">
        <f t="shared" ca="1" si="9"/>
        <v>Valid</v>
      </c>
    </row>
    <row r="320" spans="1:8" ht="15.75" customHeight="1">
      <c r="A320" t="s">
        <v>445</v>
      </c>
      <c r="B320" t="s">
        <v>446</v>
      </c>
      <c r="C320" t="s">
        <v>444</v>
      </c>
      <c r="D320" t="s">
        <v>425</v>
      </c>
      <c r="G320" t="str">
        <f t="shared" si="8"/>
        <v/>
      </c>
      <c r="H320" t="str">
        <f t="shared" ca="1" si="9"/>
        <v>Valid</v>
      </c>
    </row>
    <row r="321" spans="1:8" ht="15.75" customHeight="1">
      <c r="A321" t="s">
        <v>447</v>
      </c>
      <c r="B321" t="s">
        <v>448</v>
      </c>
      <c r="C321" t="s">
        <v>444</v>
      </c>
      <c r="D321" t="s">
        <v>425</v>
      </c>
      <c r="G321" t="str">
        <f t="shared" si="8"/>
        <v/>
      </c>
      <c r="H321" t="str">
        <f t="shared" ca="1" si="9"/>
        <v>Valid</v>
      </c>
    </row>
    <row r="322" spans="1:8" ht="15.75" customHeight="1">
      <c r="A322" t="s">
        <v>449</v>
      </c>
      <c r="B322" t="s">
        <v>450</v>
      </c>
      <c r="C322" t="s">
        <v>444</v>
      </c>
      <c r="D322" t="s">
        <v>425</v>
      </c>
      <c r="G322" t="str">
        <f t="shared" si="8"/>
        <v/>
      </c>
      <c r="H322" t="str">
        <f t="shared" ca="1" si="9"/>
        <v>Valid</v>
      </c>
    </row>
    <row r="323" spans="1:8" ht="15.75" customHeight="1">
      <c r="A323" t="s">
        <v>451</v>
      </c>
      <c r="B323" t="s">
        <v>452</v>
      </c>
      <c r="C323" t="s">
        <v>444</v>
      </c>
      <c r="D323" t="s">
        <v>425</v>
      </c>
      <c r="G323" t="str">
        <f t="shared" si="8"/>
        <v/>
      </c>
      <c r="H323" t="str">
        <f t="shared" ca="1" si="9"/>
        <v>Valid</v>
      </c>
    </row>
    <row r="324" spans="1:8" ht="15.75" customHeight="1">
      <c r="A324" t="s">
        <v>453</v>
      </c>
      <c r="B324" t="s">
        <v>454</v>
      </c>
      <c r="C324" t="s">
        <v>93</v>
      </c>
      <c r="D324" t="s">
        <v>425</v>
      </c>
      <c r="E324">
        <v>2025</v>
      </c>
      <c r="F324" t="s">
        <v>689</v>
      </c>
      <c r="G324">
        <f t="shared" ref="G324:G387" si="10">IF(ISBLANK(E324), "", IF(OR(F324="First aid (M)", F324="First aid (L)"), "Lifetime", IF(F324="First aid (V)", E324+5, E324+3)))</f>
        <v>2028</v>
      </c>
      <c r="H324" t="str">
        <f t="shared" ref="H324:H387" ca="1" si="11">IF(ISBLANK(G324), "", IF(G324="Lifetime", "Valid", IF(YEAR(TODAY())&gt;=G324, "Due", "Valid")))</f>
        <v>Valid</v>
      </c>
    </row>
    <row r="325" spans="1:8" ht="15.75" customHeight="1">
      <c r="A325" t="s">
        <v>455</v>
      </c>
      <c r="B325" t="s">
        <v>456</v>
      </c>
      <c r="C325" t="s">
        <v>93</v>
      </c>
      <c r="D325" t="s">
        <v>425</v>
      </c>
      <c r="E325">
        <v>2025</v>
      </c>
      <c r="F325" t="s">
        <v>689</v>
      </c>
      <c r="G325">
        <f t="shared" si="10"/>
        <v>2028</v>
      </c>
      <c r="H325" t="str">
        <f t="shared" ca="1" si="11"/>
        <v>Valid</v>
      </c>
    </row>
    <row r="326" spans="1:8" ht="15.75" customHeight="1">
      <c r="A326" t="s">
        <v>1030</v>
      </c>
      <c r="B326" t="s">
        <v>1031</v>
      </c>
      <c r="C326" t="s">
        <v>1032</v>
      </c>
      <c r="D326" t="s">
        <v>425</v>
      </c>
      <c r="G326" t="str">
        <f t="shared" si="10"/>
        <v/>
      </c>
      <c r="H326" t="str">
        <f t="shared" ca="1" si="11"/>
        <v>Valid</v>
      </c>
    </row>
    <row r="327" spans="1:8" ht="15.75" customHeight="1">
      <c r="A327" t="s">
        <v>457</v>
      </c>
      <c r="B327" t="s">
        <v>458</v>
      </c>
      <c r="C327" t="s">
        <v>93</v>
      </c>
      <c r="D327" t="s">
        <v>425</v>
      </c>
      <c r="E327">
        <v>2022</v>
      </c>
      <c r="F327" t="s">
        <v>689</v>
      </c>
      <c r="G327">
        <f t="shared" si="10"/>
        <v>2025</v>
      </c>
      <c r="H327" t="str">
        <f t="shared" ca="1" si="11"/>
        <v>Due</v>
      </c>
    </row>
    <row r="328" spans="1:8" ht="15.75" customHeight="1">
      <c r="A328" t="s">
        <v>459</v>
      </c>
      <c r="B328" t="s">
        <v>460</v>
      </c>
      <c r="C328" t="s">
        <v>461</v>
      </c>
      <c r="D328" t="s">
        <v>425</v>
      </c>
      <c r="E328">
        <v>2021</v>
      </c>
      <c r="F328" t="s">
        <v>689</v>
      </c>
      <c r="G328">
        <f t="shared" si="10"/>
        <v>2024</v>
      </c>
      <c r="H328" t="str">
        <f t="shared" ca="1" si="11"/>
        <v>Due</v>
      </c>
    </row>
    <row r="329" spans="1:8" ht="15.75" customHeight="1">
      <c r="A329" t="s">
        <v>462</v>
      </c>
      <c r="B329" t="s">
        <v>463</v>
      </c>
      <c r="C329" t="s">
        <v>461</v>
      </c>
      <c r="D329" t="s">
        <v>425</v>
      </c>
      <c r="E329">
        <v>2021</v>
      </c>
      <c r="F329" t="s">
        <v>689</v>
      </c>
      <c r="G329">
        <f t="shared" si="10"/>
        <v>2024</v>
      </c>
      <c r="H329" t="str">
        <f t="shared" ca="1" si="11"/>
        <v>Due</v>
      </c>
    </row>
    <row r="330" spans="1:8" ht="15.75" customHeight="1">
      <c r="A330" t="s">
        <v>464</v>
      </c>
      <c r="B330" t="s">
        <v>465</v>
      </c>
      <c r="C330" t="s">
        <v>461</v>
      </c>
      <c r="D330" t="s">
        <v>425</v>
      </c>
      <c r="E330">
        <v>2021</v>
      </c>
      <c r="F330" t="s">
        <v>689</v>
      </c>
      <c r="G330">
        <f t="shared" si="10"/>
        <v>2024</v>
      </c>
      <c r="H330" t="str">
        <f t="shared" ca="1" si="11"/>
        <v>Due</v>
      </c>
    </row>
    <row r="331" spans="1:8" ht="15.75" customHeight="1">
      <c r="A331" t="s">
        <v>466</v>
      </c>
      <c r="B331" t="s">
        <v>467</v>
      </c>
      <c r="C331" t="s">
        <v>461</v>
      </c>
      <c r="D331" t="s">
        <v>425</v>
      </c>
      <c r="E331">
        <v>2021</v>
      </c>
      <c r="F331" t="s">
        <v>689</v>
      </c>
      <c r="G331">
        <f t="shared" si="10"/>
        <v>2024</v>
      </c>
      <c r="H331" t="str">
        <f t="shared" ca="1" si="11"/>
        <v>Due</v>
      </c>
    </row>
    <row r="332" spans="1:8" ht="15.75" customHeight="1">
      <c r="A332" t="s">
        <v>468</v>
      </c>
      <c r="B332" t="s">
        <v>469</v>
      </c>
      <c r="C332" t="s">
        <v>461</v>
      </c>
      <c r="D332" t="s">
        <v>425</v>
      </c>
      <c r="E332">
        <v>2019</v>
      </c>
      <c r="F332" t="s">
        <v>689</v>
      </c>
      <c r="G332">
        <f t="shared" si="10"/>
        <v>2022</v>
      </c>
      <c r="H332" t="str">
        <f t="shared" ca="1" si="11"/>
        <v>Due</v>
      </c>
    </row>
    <row r="333" spans="1:8" ht="15.75" customHeight="1">
      <c r="A333" t="s">
        <v>470</v>
      </c>
      <c r="B333" t="s">
        <v>471</v>
      </c>
      <c r="C333" t="s">
        <v>461</v>
      </c>
      <c r="D333" t="s">
        <v>425</v>
      </c>
      <c r="E333">
        <v>2023</v>
      </c>
      <c r="F333" t="s">
        <v>689</v>
      </c>
      <c r="G333">
        <f t="shared" si="10"/>
        <v>2026</v>
      </c>
      <c r="H333" t="str">
        <f t="shared" ca="1" si="11"/>
        <v>Due</v>
      </c>
    </row>
    <row r="334" spans="1:8" ht="15.75" customHeight="1">
      <c r="A334" t="s">
        <v>472</v>
      </c>
      <c r="B334" t="s">
        <v>473</v>
      </c>
      <c r="C334" t="s">
        <v>461</v>
      </c>
      <c r="D334" t="s">
        <v>425</v>
      </c>
      <c r="E334">
        <v>2019</v>
      </c>
      <c r="F334" t="s">
        <v>689</v>
      </c>
      <c r="G334">
        <f t="shared" si="10"/>
        <v>2022</v>
      </c>
      <c r="H334" t="str">
        <f t="shared" ca="1" si="11"/>
        <v>Due</v>
      </c>
    </row>
    <row r="335" spans="1:8" ht="15.75" customHeight="1">
      <c r="A335" t="s">
        <v>474</v>
      </c>
      <c r="B335" t="s">
        <v>475</v>
      </c>
      <c r="C335" t="s">
        <v>461</v>
      </c>
      <c r="D335" t="s">
        <v>425</v>
      </c>
      <c r="E335">
        <v>2021</v>
      </c>
      <c r="F335" t="s">
        <v>689</v>
      </c>
      <c r="G335">
        <f t="shared" si="10"/>
        <v>2024</v>
      </c>
      <c r="H335" t="str">
        <f t="shared" ca="1" si="11"/>
        <v>Due</v>
      </c>
    </row>
    <row r="336" spans="1:8" ht="15.75" customHeight="1">
      <c r="A336" t="s">
        <v>476</v>
      </c>
      <c r="B336" t="s">
        <v>477</v>
      </c>
      <c r="C336" t="s">
        <v>461</v>
      </c>
      <c r="D336" t="s">
        <v>425</v>
      </c>
      <c r="E336">
        <v>2021</v>
      </c>
      <c r="F336" t="s">
        <v>689</v>
      </c>
      <c r="G336">
        <f t="shared" si="10"/>
        <v>2024</v>
      </c>
      <c r="H336" t="str">
        <f t="shared" ca="1" si="11"/>
        <v>Due</v>
      </c>
    </row>
    <row r="337" spans="1:8" ht="15.75" customHeight="1">
      <c r="A337" t="s">
        <v>478</v>
      </c>
      <c r="B337" t="s">
        <v>479</v>
      </c>
      <c r="C337" t="s">
        <v>461</v>
      </c>
      <c r="D337" t="s">
        <v>425</v>
      </c>
      <c r="E337">
        <v>2023</v>
      </c>
      <c r="F337" t="s">
        <v>689</v>
      </c>
      <c r="G337">
        <f t="shared" si="10"/>
        <v>2026</v>
      </c>
      <c r="H337" t="str">
        <f t="shared" ca="1" si="11"/>
        <v>Due</v>
      </c>
    </row>
    <row r="338" spans="1:8" ht="15.75" customHeight="1">
      <c r="A338" t="s">
        <v>480</v>
      </c>
      <c r="B338" t="s">
        <v>481</v>
      </c>
      <c r="C338" t="s">
        <v>461</v>
      </c>
      <c r="D338" t="s">
        <v>425</v>
      </c>
      <c r="G338" t="str">
        <f t="shared" si="10"/>
        <v/>
      </c>
      <c r="H338" t="str">
        <f t="shared" ca="1" si="11"/>
        <v>Valid</v>
      </c>
    </row>
    <row r="339" spans="1:8" ht="15.75" customHeight="1">
      <c r="A339" t="s">
        <v>482</v>
      </c>
      <c r="B339" t="s">
        <v>483</v>
      </c>
      <c r="C339" t="s">
        <v>461</v>
      </c>
      <c r="D339" t="s">
        <v>425</v>
      </c>
      <c r="E339">
        <v>2021</v>
      </c>
      <c r="F339" t="s">
        <v>689</v>
      </c>
      <c r="G339">
        <f t="shared" si="10"/>
        <v>2024</v>
      </c>
      <c r="H339" t="str">
        <f t="shared" ca="1" si="11"/>
        <v>Due</v>
      </c>
    </row>
    <row r="340" spans="1:8" ht="15.75" customHeight="1">
      <c r="A340" t="s">
        <v>484</v>
      </c>
      <c r="B340" t="s">
        <v>485</v>
      </c>
      <c r="C340" t="s">
        <v>461</v>
      </c>
      <c r="D340" t="s">
        <v>425</v>
      </c>
      <c r="E340">
        <v>2019</v>
      </c>
      <c r="F340" t="s">
        <v>689</v>
      </c>
      <c r="G340">
        <f t="shared" si="10"/>
        <v>2022</v>
      </c>
      <c r="H340" t="str">
        <f t="shared" ca="1" si="11"/>
        <v>Due</v>
      </c>
    </row>
    <row r="341" spans="1:8" ht="15.75" customHeight="1">
      <c r="A341" t="s">
        <v>486</v>
      </c>
      <c r="B341" t="s">
        <v>487</v>
      </c>
      <c r="C341" t="s">
        <v>461</v>
      </c>
      <c r="D341" t="s">
        <v>425</v>
      </c>
      <c r="E341">
        <v>2023</v>
      </c>
      <c r="F341" t="s">
        <v>689</v>
      </c>
      <c r="G341">
        <f t="shared" si="10"/>
        <v>2026</v>
      </c>
      <c r="H341" t="str">
        <f t="shared" ca="1" si="11"/>
        <v>Due</v>
      </c>
    </row>
    <row r="342" spans="1:8" ht="15.75" customHeight="1">
      <c r="A342" t="s">
        <v>488</v>
      </c>
      <c r="B342" t="s">
        <v>489</v>
      </c>
      <c r="C342" t="s">
        <v>461</v>
      </c>
      <c r="D342" t="s">
        <v>425</v>
      </c>
      <c r="E342">
        <v>2023</v>
      </c>
      <c r="F342" t="s">
        <v>689</v>
      </c>
      <c r="G342">
        <f t="shared" si="10"/>
        <v>2026</v>
      </c>
      <c r="H342" t="str">
        <f t="shared" ca="1" si="11"/>
        <v>Due</v>
      </c>
    </row>
    <row r="343" spans="1:8" ht="15.75" customHeight="1">
      <c r="A343" t="s">
        <v>490</v>
      </c>
      <c r="B343" s="17" t="s">
        <v>491</v>
      </c>
      <c r="C343" t="s">
        <v>461</v>
      </c>
      <c r="D343" t="s">
        <v>425</v>
      </c>
      <c r="E343">
        <v>2026</v>
      </c>
      <c r="F343" t="s">
        <v>693</v>
      </c>
      <c r="G343">
        <f t="shared" si="10"/>
        <v>2031</v>
      </c>
      <c r="H343" t="str">
        <f t="shared" ca="1" si="11"/>
        <v>Valid</v>
      </c>
    </row>
    <row r="344" spans="1:8" ht="15.75" customHeight="1">
      <c r="A344" t="s">
        <v>492</v>
      </c>
      <c r="B344" t="s">
        <v>493</v>
      </c>
      <c r="C344" t="s">
        <v>461</v>
      </c>
      <c r="D344" t="s">
        <v>425</v>
      </c>
      <c r="G344" t="str">
        <f t="shared" si="10"/>
        <v/>
      </c>
      <c r="H344" t="str">
        <f t="shared" ca="1" si="11"/>
        <v>Valid</v>
      </c>
    </row>
    <row r="345" spans="1:8" ht="15.75" customHeight="1">
      <c r="A345" t="s">
        <v>494</v>
      </c>
      <c r="B345" t="s">
        <v>495</v>
      </c>
      <c r="C345" t="s">
        <v>461</v>
      </c>
      <c r="D345" t="s">
        <v>425</v>
      </c>
      <c r="E345">
        <v>2023</v>
      </c>
      <c r="F345" t="s">
        <v>689</v>
      </c>
      <c r="G345">
        <f t="shared" si="10"/>
        <v>2026</v>
      </c>
      <c r="H345" t="str">
        <f t="shared" ca="1" si="11"/>
        <v>Due</v>
      </c>
    </row>
    <row r="346" spans="1:8" ht="15.75" customHeight="1">
      <c r="A346" t="s">
        <v>496</v>
      </c>
      <c r="B346" t="s">
        <v>497</v>
      </c>
      <c r="C346" t="s">
        <v>461</v>
      </c>
      <c r="D346" t="s">
        <v>425</v>
      </c>
      <c r="G346" t="str">
        <f t="shared" si="10"/>
        <v/>
      </c>
      <c r="H346" t="str">
        <f t="shared" ca="1" si="11"/>
        <v>Valid</v>
      </c>
    </row>
    <row r="347" spans="1:8" ht="15.75" customHeight="1">
      <c r="A347" t="s">
        <v>498</v>
      </c>
      <c r="B347" t="s">
        <v>499</v>
      </c>
      <c r="C347" t="s">
        <v>461</v>
      </c>
      <c r="D347" t="s">
        <v>425</v>
      </c>
      <c r="E347">
        <v>2025</v>
      </c>
      <c r="F347" t="s">
        <v>689</v>
      </c>
      <c r="G347">
        <f t="shared" si="10"/>
        <v>2028</v>
      </c>
      <c r="H347" t="str">
        <f t="shared" ca="1" si="11"/>
        <v>Valid</v>
      </c>
    </row>
    <row r="348" spans="1:8" ht="15.75" customHeight="1">
      <c r="A348" t="s">
        <v>500</v>
      </c>
      <c r="B348" t="s">
        <v>501</v>
      </c>
      <c r="C348" t="s">
        <v>461</v>
      </c>
      <c r="D348" t="s">
        <v>425</v>
      </c>
      <c r="G348" t="str">
        <f t="shared" si="10"/>
        <v/>
      </c>
      <c r="H348" t="str">
        <f t="shared" ca="1" si="11"/>
        <v>Valid</v>
      </c>
    </row>
    <row r="349" spans="1:8" ht="15.75" customHeight="1">
      <c r="A349" t="s">
        <v>502</v>
      </c>
      <c r="B349" t="s">
        <v>503</v>
      </c>
      <c r="C349" t="s">
        <v>461</v>
      </c>
      <c r="D349" t="s">
        <v>425</v>
      </c>
      <c r="E349">
        <v>2024</v>
      </c>
      <c r="F349" t="s">
        <v>689</v>
      </c>
      <c r="G349">
        <f t="shared" si="10"/>
        <v>2027</v>
      </c>
      <c r="H349" t="str">
        <f t="shared" ca="1" si="11"/>
        <v>Valid</v>
      </c>
    </row>
    <row r="350" spans="1:8" ht="15.75" customHeight="1">
      <c r="A350" t="s">
        <v>504</v>
      </c>
      <c r="B350" t="s">
        <v>505</v>
      </c>
      <c r="C350" t="s">
        <v>461</v>
      </c>
      <c r="D350" t="s">
        <v>425</v>
      </c>
      <c r="E350">
        <v>2025</v>
      </c>
      <c r="F350" t="s">
        <v>689</v>
      </c>
      <c r="G350">
        <f t="shared" si="10"/>
        <v>2028</v>
      </c>
      <c r="H350" t="str">
        <f t="shared" ca="1" si="11"/>
        <v>Valid</v>
      </c>
    </row>
    <row r="351" spans="1:8" ht="15.75" customHeight="1">
      <c r="A351" t="s">
        <v>506</v>
      </c>
      <c r="B351" t="s">
        <v>507</v>
      </c>
      <c r="C351" t="s">
        <v>461</v>
      </c>
      <c r="D351" t="s">
        <v>425</v>
      </c>
      <c r="E351">
        <v>2022</v>
      </c>
      <c r="F351" t="s">
        <v>689</v>
      </c>
      <c r="G351">
        <f t="shared" si="10"/>
        <v>2025</v>
      </c>
      <c r="H351" t="str">
        <f t="shared" ca="1" si="11"/>
        <v>Due</v>
      </c>
    </row>
    <row r="352" spans="1:8" ht="15.75" customHeight="1">
      <c r="A352" t="s">
        <v>508</v>
      </c>
      <c r="B352" t="s">
        <v>509</v>
      </c>
      <c r="C352" t="s">
        <v>461</v>
      </c>
      <c r="D352" t="s">
        <v>425</v>
      </c>
      <c r="E352">
        <v>2023</v>
      </c>
      <c r="F352" t="s">
        <v>689</v>
      </c>
      <c r="G352">
        <f t="shared" si="10"/>
        <v>2026</v>
      </c>
      <c r="H352" t="str">
        <f t="shared" ca="1" si="11"/>
        <v>Due</v>
      </c>
    </row>
    <row r="353" spans="1:8" ht="15.75" customHeight="1">
      <c r="A353" t="s">
        <v>510</v>
      </c>
      <c r="B353" t="s">
        <v>511</v>
      </c>
      <c r="C353" t="s">
        <v>461</v>
      </c>
      <c r="D353" t="s">
        <v>425</v>
      </c>
      <c r="E353">
        <v>2023</v>
      </c>
      <c r="F353" t="s">
        <v>689</v>
      </c>
      <c r="G353">
        <f t="shared" si="10"/>
        <v>2026</v>
      </c>
      <c r="H353" t="str">
        <f t="shared" ca="1" si="11"/>
        <v>Due</v>
      </c>
    </row>
    <row r="354" spans="1:8" ht="15.75" customHeight="1">
      <c r="A354" t="s">
        <v>512</v>
      </c>
      <c r="B354" t="s">
        <v>513</v>
      </c>
      <c r="C354" t="s">
        <v>461</v>
      </c>
      <c r="D354" t="s">
        <v>425</v>
      </c>
      <c r="E354">
        <v>2023</v>
      </c>
      <c r="F354" t="s">
        <v>689</v>
      </c>
      <c r="G354">
        <f t="shared" si="10"/>
        <v>2026</v>
      </c>
      <c r="H354" t="str">
        <f t="shared" ca="1" si="11"/>
        <v>Due</v>
      </c>
    </row>
    <row r="355" spans="1:8" ht="15.75" customHeight="1">
      <c r="A355" t="s">
        <v>514</v>
      </c>
      <c r="B355" t="s">
        <v>515</v>
      </c>
      <c r="C355" t="s">
        <v>93</v>
      </c>
      <c r="D355" t="s">
        <v>425</v>
      </c>
      <c r="E355">
        <v>2025</v>
      </c>
      <c r="F355" t="s">
        <v>689</v>
      </c>
      <c r="G355">
        <f t="shared" si="10"/>
        <v>2028</v>
      </c>
      <c r="H355" t="str">
        <f t="shared" ca="1" si="11"/>
        <v>Valid</v>
      </c>
    </row>
    <row r="356" spans="1:8" ht="15.75" customHeight="1">
      <c r="A356" t="s">
        <v>516</v>
      </c>
      <c r="B356" t="s">
        <v>517</v>
      </c>
      <c r="C356" t="s">
        <v>461</v>
      </c>
      <c r="D356" t="s">
        <v>425</v>
      </c>
      <c r="G356" t="str">
        <f t="shared" si="10"/>
        <v/>
      </c>
      <c r="H356" t="str">
        <f t="shared" ca="1" si="11"/>
        <v>Valid</v>
      </c>
    </row>
    <row r="357" spans="1:8" ht="15.75" customHeight="1">
      <c r="A357" t="s">
        <v>518</v>
      </c>
      <c r="B357" t="s">
        <v>519</v>
      </c>
      <c r="C357" t="s">
        <v>461</v>
      </c>
      <c r="D357" t="s">
        <v>425</v>
      </c>
      <c r="E357">
        <v>2022</v>
      </c>
      <c r="F357" t="s">
        <v>689</v>
      </c>
      <c r="G357">
        <f t="shared" si="10"/>
        <v>2025</v>
      </c>
      <c r="H357" t="str">
        <f t="shared" ca="1" si="11"/>
        <v>Due</v>
      </c>
    </row>
    <row r="358" spans="1:8" ht="15.75" customHeight="1">
      <c r="A358" t="s">
        <v>520</v>
      </c>
      <c r="B358" t="s">
        <v>521</v>
      </c>
      <c r="C358" t="s">
        <v>461</v>
      </c>
      <c r="D358" t="s">
        <v>425</v>
      </c>
      <c r="G358" t="str">
        <f t="shared" si="10"/>
        <v/>
      </c>
      <c r="H358" t="str">
        <f t="shared" ca="1" si="11"/>
        <v>Valid</v>
      </c>
    </row>
    <row r="359" spans="1:8" ht="15.75" customHeight="1">
      <c r="A359" t="s">
        <v>522</v>
      </c>
      <c r="B359" s="17" t="s">
        <v>523</v>
      </c>
      <c r="C359" t="s">
        <v>461</v>
      </c>
      <c r="D359" t="s">
        <v>425</v>
      </c>
      <c r="E359">
        <v>2026</v>
      </c>
      <c r="F359" t="s">
        <v>693</v>
      </c>
      <c r="G359">
        <f t="shared" si="10"/>
        <v>2031</v>
      </c>
      <c r="H359" t="str">
        <f t="shared" ca="1" si="11"/>
        <v>Valid</v>
      </c>
    </row>
    <row r="360" spans="1:8" ht="15.75" customHeight="1">
      <c r="A360" t="s">
        <v>524</v>
      </c>
      <c r="B360" t="s">
        <v>525</v>
      </c>
      <c r="C360" t="s">
        <v>461</v>
      </c>
      <c r="D360" t="s">
        <v>425</v>
      </c>
      <c r="G360" t="str">
        <f t="shared" si="10"/>
        <v/>
      </c>
      <c r="H360" t="str">
        <f t="shared" ca="1" si="11"/>
        <v>Valid</v>
      </c>
    </row>
    <row r="361" spans="1:8" ht="15.75" customHeight="1">
      <c r="A361" t="s">
        <v>526</v>
      </c>
      <c r="B361" t="s">
        <v>527</v>
      </c>
      <c r="C361" t="s">
        <v>461</v>
      </c>
      <c r="D361" t="s">
        <v>425</v>
      </c>
      <c r="E361">
        <v>2025</v>
      </c>
      <c r="F361" t="s">
        <v>689</v>
      </c>
      <c r="G361">
        <f t="shared" si="10"/>
        <v>2028</v>
      </c>
      <c r="H361" t="str">
        <f t="shared" ca="1" si="11"/>
        <v>Valid</v>
      </c>
    </row>
    <row r="362" spans="1:8" ht="15.75" customHeight="1">
      <c r="A362" t="s">
        <v>528</v>
      </c>
      <c r="B362" t="s">
        <v>529</v>
      </c>
      <c r="C362" t="s">
        <v>461</v>
      </c>
      <c r="D362" t="s">
        <v>425</v>
      </c>
      <c r="G362" t="str">
        <f t="shared" si="10"/>
        <v/>
      </c>
      <c r="H362" t="str">
        <f t="shared" ca="1" si="11"/>
        <v>Valid</v>
      </c>
    </row>
    <row r="363" spans="1:8" ht="15.75" customHeight="1">
      <c r="A363" t="s">
        <v>530</v>
      </c>
      <c r="B363" t="s">
        <v>531</v>
      </c>
      <c r="C363" t="s">
        <v>461</v>
      </c>
      <c r="D363" t="s">
        <v>425</v>
      </c>
      <c r="E363">
        <v>2025</v>
      </c>
      <c r="F363" t="s">
        <v>689</v>
      </c>
      <c r="G363">
        <f t="shared" si="10"/>
        <v>2028</v>
      </c>
      <c r="H363" t="str">
        <f t="shared" ca="1" si="11"/>
        <v>Valid</v>
      </c>
    </row>
    <row r="364" spans="1:8" ht="15.75" customHeight="1">
      <c r="A364" t="s">
        <v>532</v>
      </c>
      <c r="B364" t="s">
        <v>533</v>
      </c>
      <c r="C364" t="s">
        <v>461</v>
      </c>
      <c r="D364" t="s">
        <v>425</v>
      </c>
      <c r="E364">
        <v>2025</v>
      </c>
      <c r="F364" t="s">
        <v>689</v>
      </c>
      <c r="G364">
        <f t="shared" si="10"/>
        <v>2028</v>
      </c>
      <c r="H364" t="str">
        <f t="shared" ca="1" si="11"/>
        <v>Valid</v>
      </c>
    </row>
    <row r="365" spans="1:8" ht="15.75" customHeight="1">
      <c r="A365" t="s">
        <v>534</v>
      </c>
      <c r="B365" t="s">
        <v>535</v>
      </c>
      <c r="C365" t="s">
        <v>461</v>
      </c>
      <c r="D365" t="s">
        <v>425</v>
      </c>
      <c r="E365">
        <v>2025</v>
      </c>
      <c r="F365" t="s">
        <v>689</v>
      </c>
      <c r="G365">
        <f t="shared" si="10"/>
        <v>2028</v>
      </c>
      <c r="H365" t="str">
        <f t="shared" ca="1" si="11"/>
        <v>Valid</v>
      </c>
    </row>
    <row r="366" spans="1:8" ht="15.75" customHeight="1">
      <c r="A366" t="s">
        <v>536</v>
      </c>
      <c r="B366" t="s">
        <v>537</v>
      </c>
      <c r="C366" t="s">
        <v>461</v>
      </c>
      <c r="D366" t="s">
        <v>425</v>
      </c>
      <c r="E366">
        <v>2025</v>
      </c>
      <c r="F366" t="s">
        <v>689</v>
      </c>
      <c r="G366">
        <f t="shared" si="10"/>
        <v>2028</v>
      </c>
      <c r="H366" t="str">
        <f t="shared" ca="1" si="11"/>
        <v>Valid</v>
      </c>
    </row>
    <row r="367" spans="1:8" ht="15.75" customHeight="1">
      <c r="A367" t="s">
        <v>1033</v>
      </c>
      <c r="B367" t="s">
        <v>1034</v>
      </c>
      <c r="C367" t="s">
        <v>1035</v>
      </c>
      <c r="D367" t="s">
        <v>425</v>
      </c>
      <c r="E367">
        <v>2025</v>
      </c>
      <c r="F367" t="s">
        <v>768</v>
      </c>
      <c r="G367" t="str">
        <f t="shared" si="10"/>
        <v>Lifetime</v>
      </c>
      <c r="H367" t="str">
        <f t="shared" ca="1" si="11"/>
        <v>Valid</v>
      </c>
    </row>
    <row r="368" spans="1:8" ht="15.75" customHeight="1">
      <c r="A368" t="s">
        <v>1036</v>
      </c>
      <c r="B368" t="s">
        <v>1037</v>
      </c>
      <c r="C368" t="s">
        <v>1035</v>
      </c>
      <c r="D368" t="s">
        <v>425</v>
      </c>
      <c r="G368" t="str">
        <f t="shared" si="10"/>
        <v/>
      </c>
      <c r="H368" t="str">
        <f t="shared" ca="1" si="11"/>
        <v>Valid</v>
      </c>
    </row>
    <row r="369" spans="1:8" ht="15.75" customHeight="1">
      <c r="A369" t="s">
        <v>1038</v>
      </c>
      <c r="B369" t="s">
        <v>1039</v>
      </c>
      <c r="C369" t="s">
        <v>1040</v>
      </c>
      <c r="D369" t="s">
        <v>425</v>
      </c>
      <c r="G369" t="str">
        <f t="shared" si="10"/>
        <v/>
      </c>
      <c r="H369" t="str">
        <f t="shared" ca="1" si="11"/>
        <v>Valid</v>
      </c>
    </row>
    <row r="370" spans="1:8" ht="15.75" customHeight="1">
      <c r="A370" t="s">
        <v>1041</v>
      </c>
      <c r="B370" t="s">
        <v>1042</v>
      </c>
      <c r="C370" t="s">
        <v>1040</v>
      </c>
      <c r="D370" t="s">
        <v>425</v>
      </c>
      <c r="G370" t="str">
        <f t="shared" si="10"/>
        <v/>
      </c>
      <c r="H370" t="str">
        <f t="shared" ca="1" si="11"/>
        <v>Valid</v>
      </c>
    </row>
    <row r="371" spans="1:8" ht="15.75" customHeight="1">
      <c r="A371" t="s">
        <v>1043</v>
      </c>
      <c r="B371" t="s">
        <v>1044</v>
      </c>
      <c r="C371" t="s">
        <v>1040</v>
      </c>
      <c r="D371" t="s">
        <v>425</v>
      </c>
      <c r="G371" t="str">
        <f t="shared" si="10"/>
        <v/>
      </c>
      <c r="H371" t="str">
        <f t="shared" ca="1" si="11"/>
        <v>Valid</v>
      </c>
    </row>
    <row r="372" spans="1:8" ht="15.75" customHeight="1">
      <c r="A372" t="s">
        <v>1045</v>
      </c>
      <c r="B372" t="s">
        <v>1046</v>
      </c>
      <c r="C372" t="s">
        <v>1040</v>
      </c>
      <c r="D372" t="s">
        <v>425</v>
      </c>
      <c r="G372" t="str">
        <f t="shared" si="10"/>
        <v/>
      </c>
      <c r="H372" t="str">
        <f t="shared" ca="1" si="11"/>
        <v>Valid</v>
      </c>
    </row>
    <row r="373" spans="1:8" ht="15.75" customHeight="1">
      <c r="A373" t="s">
        <v>1047</v>
      </c>
      <c r="B373" t="s">
        <v>1048</v>
      </c>
      <c r="C373" t="s">
        <v>1049</v>
      </c>
      <c r="D373" t="s">
        <v>425</v>
      </c>
      <c r="E373">
        <v>2018</v>
      </c>
      <c r="F373" t="s">
        <v>768</v>
      </c>
      <c r="G373" t="str">
        <f t="shared" si="10"/>
        <v>Lifetime</v>
      </c>
      <c r="H373" t="str">
        <f t="shared" ca="1" si="11"/>
        <v>Valid</v>
      </c>
    </row>
    <row r="374" spans="1:8" ht="15.75" customHeight="1">
      <c r="A374" t="s">
        <v>1050</v>
      </c>
      <c r="B374" t="s">
        <v>1051</v>
      </c>
      <c r="C374" t="s">
        <v>1049</v>
      </c>
      <c r="D374" t="s">
        <v>425</v>
      </c>
      <c r="E374">
        <v>2018</v>
      </c>
      <c r="F374" t="s">
        <v>768</v>
      </c>
      <c r="G374" t="str">
        <f t="shared" si="10"/>
        <v>Lifetime</v>
      </c>
      <c r="H374" t="str">
        <f t="shared" ca="1" si="11"/>
        <v>Valid</v>
      </c>
    </row>
    <row r="375" spans="1:8" ht="15.75" customHeight="1">
      <c r="A375" t="s">
        <v>1052</v>
      </c>
      <c r="B375" t="s">
        <v>1053</v>
      </c>
      <c r="C375" t="s">
        <v>1049</v>
      </c>
      <c r="D375" t="s">
        <v>425</v>
      </c>
      <c r="E375">
        <v>2022</v>
      </c>
      <c r="F375" t="s">
        <v>960</v>
      </c>
      <c r="G375" t="str">
        <f t="shared" si="10"/>
        <v>Lifetime</v>
      </c>
      <c r="H375" t="str">
        <f t="shared" ca="1" si="11"/>
        <v>Valid</v>
      </c>
    </row>
    <row r="376" spans="1:8" ht="15.75" customHeight="1">
      <c r="A376" t="s">
        <v>1054</v>
      </c>
      <c r="B376" t="s">
        <v>1055</v>
      </c>
      <c r="C376" t="s">
        <v>1049</v>
      </c>
      <c r="D376" t="s">
        <v>425</v>
      </c>
      <c r="E376">
        <v>2023</v>
      </c>
      <c r="F376" t="s">
        <v>960</v>
      </c>
      <c r="G376" t="str">
        <f t="shared" si="10"/>
        <v>Lifetime</v>
      </c>
      <c r="H376" t="str">
        <f t="shared" ca="1" si="11"/>
        <v>Valid</v>
      </c>
    </row>
    <row r="377" spans="1:8" ht="15.75" customHeight="1">
      <c r="A377" t="s">
        <v>1056</v>
      </c>
      <c r="B377" t="s">
        <v>1057</v>
      </c>
      <c r="C377" t="s">
        <v>1049</v>
      </c>
      <c r="D377" t="s">
        <v>425</v>
      </c>
      <c r="E377">
        <v>2023</v>
      </c>
      <c r="F377" t="s">
        <v>960</v>
      </c>
      <c r="G377" t="str">
        <f t="shared" si="10"/>
        <v>Lifetime</v>
      </c>
      <c r="H377" t="str">
        <f t="shared" ca="1" si="11"/>
        <v>Valid</v>
      </c>
    </row>
    <row r="378" spans="1:8" ht="15.75" customHeight="1">
      <c r="A378" t="s">
        <v>538</v>
      </c>
      <c r="B378" t="s">
        <v>539</v>
      </c>
      <c r="C378" t="s">
        <v>39</v>
      </c>
      <c r="D378" t="s">
        <v>425</v>
      </c>
      <c r="G378" t="str">
        <f t="shared" si="10"/>
        <v/>
      </c>
      <c r="H378" t="str">
        <f t="shared" ca="1" si="11"/>
        <v>Valid</v>
      </c>
    </row>
    <row r="379" spans="1:8" ht="15.75" customHeight="1">
      <c r="A379" t="s">
        <v>540</v>
      </c>
      <c r="B379" t="s">
        <v>541</v>
      </c>
      <c r="C379" t="s">
        <v>39</v>
      </c>
      <c r="D379" t="s">
        <v>425</v>
      </c>
      <c r="E379">
        <v>2019</v>
      </c>
      <c r="F379" t="s">
        <v>689</v>
      </c>
      <c r="G379">
        <f t="shared" si="10"/>
        <v>2022</v>
      </c>
      <c r="H379" t="str">
        <f t="shared" ca="1" si="11"/>
        <v>Due</v>
      </c>
    </row>
    <row r="380" spans="1:8" ht="15.75" customHeight="1">
      <c r="A380" t="s">
        <v>542</v>
      </c>
      <c r="B380" t="s">
        <v>543</v>
      </c>
      <c r="C380" t="s">
        <v>39</v>
      </c>
      <c r="D380" t="s">
        <v>425</v>
      </c>
      <c r="E380">
        <v>2022</v>
      </c>
      <c r="F380" t="s">
        <v>689</v>
      </c>
      <c r="G380">
        <f t="shared" si="10"/>
        <v>2025</v>
      </c>
      <c r="H380" t="str">
        <f t="shared" ca="1" si="11"/>
        <v>Due</v>
      </c>
    </row>
    <row r="381" spans="1:8" ht="15.75" customHeight="1">
      <c r="A381" t="s">
        <v>544</v>
      </c>
      <c r="B381" t="s">
        <v>545</v>
      </c>
      <c r="C381" t="s">
        <v>39</v>
      </c>
      <c r="D381" t="s">
        <v>425</v>
      </c>
      <c r="E381">
        <v>2022</v>
      </c>
      <c r="F381" t="s">
        <v>689</v>
      </c>
      <c r="G381">
        <f t="shared" si="10"/>
        <v>2025</v>
      </c>
      <c r="H381" t="str">
        <f t="shared" ca="1" si="11"/>
        <v>Due</v>
      </c>
    </row>
    <row r="382" spans="1:8" ht="15.75" customHeight="1">
      <c r="A382" t="s">
        <v>1058</v>
      </c>
      <c r="B382" t="s">
        <v>1059</v>
      </c>
      <c r="C382" t="s">
        <v>1060</v>
      </c>
      <c r="D382" t="s">
        <v>425</v>
      </c>
      <c r="G382" t="str">
        <f t="shared" si="10"/>
        <v/>
      </c>
      <c r="H382" t="str">
        <f t="shared" ca="1" si="11"/>
        <v>Valid</v>
      </c>
    </row>
    <row r="383" spans="1:8" ht="15.75" customHeight="1">
      <c r="A383" t="s">
        <v>546</v>
      </c>
      <c r="B383" t="s">
        <v>547</v>
      </c>
      <c r="C383" t="s">
        <v>39</v>
      </c>
      <c r="D383" t="s">
        <v>425</v>
      </c>
      <c r="E383">
        <v>2025</v>
      </c>
      <c r="F383" t="s">
        <v>689</v>
      </c>
      <c r="G383">
        <f t="shared" si="10"/>
        <v>2028</v>
      </c>
      <c r="H383" t="str">
        <f t="shared" ca="1" si="11"/>
        <v>Valid</v>
      </c>
    </row>
    <row r="384" spans="1:8" ht="15.75" customHeight="1">
      <c r="A384" t="s">
        <v>548</v>
      </c>
      <c r="B384" t="s">
        <v>549</v>
      </c>
      <c r="C384" t="s">
        <v>39</v>
      </c>
      <c r="D384" t="s">
        <v>425</v>
      </c>
      <c r="E384">
        <v>2019</v>
      </c>
      <c r="F384" t="s">
        <v>689</v>
      </c>
      <c r="G384">
        <f t="shared" si="10"/>
        <v>2022</v>
      </c>
      <c r="H384" t="str">
        <f t="shared" ca="1" si="11"/>
        <v>Due</v>
      </c>
    </row>
    <row r="385" spans="1:8" ht="15.75" customHeight="1">
      <c r="A385" t="s">
        <v>550</v>
      </c>
      <c r="B385" t="s">
        <v>551</v>
      </c>
      <c r="C385" t="s">
        <v>39</v>
      </c>
      <c r="D385" t="s">
        <v>425</v>
      </c>
      <c r="E385">
        <v>2019</v>
      </c>
      <c r="F385" t="s">
        <v>689</v>
      </c>
      <c r="G385">
        <f t="shared" si="10"/>
        <v>2022</v>
      </c>
      <c r="H385" t="str">
        <f t="shared" ca="1" si="11"/>
        <v>Due</v>
      </c>
    </row>
    <row r="386" spans="1:8" ht="15.75" customHeight="1">
      <c r="A386" t="s">
        <v>552</v>
      </c>
      <c r="B386" t="s">
        <v>553</v>
      </c>
      <c r="C386" t="s">
        <v>39</v>
      </c>
      <c r="D386" t="s">
        <v>425</v>
      </c>
      <c r="E386">
        <v>2018</v>
      </c>
      <c r="F386" t="s">
        <v>689</v>
      </c>
      <c r="G386">
        <f t="shared" si="10"/>
        <v>2021</v>
      </c>
      <c r="H386" t="str">
        <f t="shared" ca="1" si="11"/>
        <v>Due</v>
      </c>
    </row>
    <row r="387" spans="1:8" ht="15.75" customHeight="1">
      <c r="A387" t="s">
        <v>554</v>
      </c>
      <c r="B387" t="s">
        <v>555</v>
      </c>
      <c r="C387" t="s">
        <v>39</v>
      </c>
      <c r="D387" t="s">
        <v>425</v>
      </c>
      <c r="E387">
        <v>2018</v>
      </c>
      <c r="F387" t="s">
        <v>768</v>
      </c>
      <c r="G387" t="str">
        <f t="shared" si="10"/>
        <v>Lifetime</v>
      </c>
      <c r="H387" t="str">
        <f t="shared" ca="1" si="11"/>
        <v>Valid</v>
      </c>
    </row>
    <row r="388" spans="1:8" ht="15.75" customHeight="1">
      <c r="A388" t="s">
        <v>556</v>
      </c>
      <c r="B388" t="s">
        <v>557</v>
      </c>
      <c r="C388" t="s">
        <v>39</v>
      </c>
      <c r="D388" t="s">
        <v>425</v>
      </c>
      <c r="E388">
        <v>2018</v>
      </c>
      <c r="F388" t="s">
        <v>689</v>
      </c>
      <c r="G388">
        <f t="shared" ref="G388:G451" si="12">IF(ISBLANK(E388), "", IF(OR(F388="First aid (M)", F388="First aid (L)"), "Lifetime", IF(F388="First aid (V)", E388+5, E388+3)))</f>
        <v>2021</v>
      </c>
      <c r="H388" t="str">
        <f t="shared" ref="H388:H451" ca="1" si="13">IF(ISBLANK(G388), "", IF(G388="Lifetime", "Valid", IF(YEAR(TODAY())&gt;=G388, "Due", "Valid")))</f>
        <v>Due</v>
      </c>
    </row>
    <row r="389" spans="1:8" ht="15.75" customHeight="1">
      <c r="A389" t="s">
        <v>1061</v>
      </c>
      <c r="B389" t="s">
        <v>1062</v>
      </c>
      <c r="C389" t="s">
        <v>1060</v>
      </c>
      <c r="D389" t="s">
        <v>425</v>
      </c>
      <c r="E389">
        <v>2025</v>
      </c>
      <c r="F389" t="s">
        <v>960</v>
      </c>
      <c r="G389" t="str">
        <f t="shared" si="12"/>
        <v>Lifetime</v>
      </c>
      <c r="H389" t="str">
        <f t="shared" ca="1" si="13"/>
        <v>Valid</v>
      </c>
    </row>
    <row r="390" spans="1:8" ht="15.75" customHeight="1">
      <c r="A390" t="s">
        <v>558</v>
      </c>
      <c r="B390" t="s">
        <v>559</v>
      </c>
      <c r="C390" t="s">
        <v>139</v>
      </c>
      <c r="D390" t="s">
        <v>425</v>
      </c>
      <c r="E390">
        <v>2025</v>
      </c>
      <c r="F390" t="s">
        <v>689</v>
      </c>
      <c r="G390">
        <f t="shared" si="12"/>
        <v>2028</v>
      </c>
      <c r="H390" t="str">
        <f t="shared" ca="1" si="13"/>
        <v>Valid</v>
      </c>
    </row>
    <row r="391" spans="1:8" ht="15.75" customHeight="1">
      <c r="A391" t="s">
        <v>560</v>
      </c>
      <c r="B391" t="s">
        <v>561</v>
      </c>
      <c r="C391" t="s">
        <v>139</v>
      </c>
      <c r="D391" t="s">
        <v>425</v>
      </c>
      <c r="E391">
        <v>2018</v>
      </c>
      <c r="F391" t="s">
        <v>768</v>
      </c>
      <c r="G391" t="str">
        <f t="shared" si="12"/>
        <v>Lifetime</v>
      </c>
      <c r="H391" t="str">
        <f t="shared" ca="1" si="13"/>
        <v>Valid</v>
      </c>
    </row>
    <row r="392" spans="1:8" ht="15.75" customHeight="1">
      <c r="A392" t="s">
        <v>562</v>
      </c>
      <c r="B392" t="s">
        <v>563</v>
      </c>
      <c r="C392" t="s">
        <v>139</v>
      </c>
      <c r="D392" t="s">
        <v>425</v>
      </c>
      <c r="G392" t="str">
        <f t="shared" si="12"/>
        <v/>
      </c>
      <c r="H392" t="str">
        <f t="shared" ca="1" si="13"/>
        <v>Valid</v>
      </c>
    </row>
    <row r="393" spans="1:8" ht="15.75" customHeight="1">
      <c r="A393" t="s">
        <v>564</v>
      </c>
      <c r="B393" t="s">
        <v>565</v>
      </c>
      <c r="C393" t="s">
        <v>139</v>
      </c>
      <c r="D393" t="s">
        <v>425</v>
      </c>
      <c r="E393">
        <v>2016</v>
      </c>
      <c r="F393" t="s">
        <v>693</v>
      </c>
      <c r="G393">
        <f t="shared" si="12"/>
        <v>2021</v>
      </c>
      <c r="H393" t="str">
        <f t="shared" ca="1" si="13"/>
        <v>Due</v>
      </c>
    </row>
    <row r="394" spans="1:8" ht="15.75" customHeight="1">
      <c r="A394" t="s">
        <v>566</v>
      </c>
      <c r="B394" t="s">
        <v>567</v>
      </c>
      <c r="C394" t="s">
        <v>139</v>
      </c>
      <c r="D394" t="s">
        <v>425</v>
      </c>
      <c r="G394" t="str">
        <f t="shared" si="12"/>
        <v/>
      </c>
      <c r="H394" t="str">
        <f t="shared" ca="1" si="13"/>
        <v>Valid</v>
      </c>
    </row>
    <row r="395" spans="1:8" ht="15.75" customHeight="1">
      <c r="A395" t="s">
        <v>568</v>
      </c>
      <c r="B395" t="s">
        <v>569</v>
      </c>
      <c r="C395" t="s">
        <v>139</v>
      </c>
      <c r="D395" t="s">
        <v>425</v>
      </c>
      <c r="E395">
        <v>2019</v>
      </c>
      <c r="F395" t="s">
        <v>689</v>
      </c>
      <c r="G395">
        <f t="shared" si="12"/>
        <v>2022</v>
      </c>
      <c r="H395" t="str">
        <f t="shared" ca="1" si="13"/>
        <v>Due</v>
      </c>
    </row>
    <row r="396" spans="1:8" ht="15.75" customHeight="1">
      <c r="A396" t="s">
        <v>570</v>
      </c>
      <c r="B396" t="s">
        <v>571</v>
      </c>
      <c r="C396" t="s">
        <v>139</v>
      </c>
      <c r="D396" t="s">
        <v>425</v>
      </c>
      <c r="G396" t="str">
        <f t="shared" si="12"/>
        <v/>
      </c>
      <c r="H396" t="str">
        <f t="shared" ca="1" si="13"/>
        <v>Valid</v>
      </c>
    </row>
    <row r="397" spans="1:8" ht="15.75" customHeight="1">
      <c r="A397" t="s">
        <v>572</v>
      </c>
      <c r="B397" t="s">
        <v>573</v>
      </c>
      <c r="C397" t="s">
        <v>139</v>
      </c>
      <c r="D397" t="s">
        <v>425</v>
      </c>
      <c r="E397">
        <v>2017</v>
      </c>
      <c r="F397" t="s">
        <v>689</v>
      </c>
      <c r="G397">
        <f t="shared" si="12"/>
        <v>2020</v>
      </c>
      <c r="H397" t="str">
        <f t="shared" ca="1" si="13"/>
        <v>Due</v>
      </c>
    </row>
    <row r="398" spans="1:8" ht="15.75" customHeight="1">
      <c r="A398" t="s">
        <v>574</v>
      </c>
      <c r="B398" t="s">
        <v>575</v>
      </c>
      <c r="C398" t="s">
        <v>139</v>
      </c>
      <c r="D398" t="s">
        <v>425</v>
      </c>
      <c r="E398">
        <v>2018</v>
      </c>
      <c r="F398" t="s">
        <v>689</v>
      </c>
      <c r="G398">
        <f t="shared" si="12"/>
        <v>2021</v>
      </c>
      <c r="H398" t="str">
        <f t="shared" ca="1" si="13"/>
        <v>Due</v>
      </c>
    </row>
    <row r="399" spans="1:8" ht="15.75" customHeight="1">
      <c r="A399" t="s">
        <v>576</v>
      </c>
      <c r="B399" t="s">
        <v>577</v>
      </c>
      <c r="C399" t="s">
        <v>139</v>
      </c>
      <c r="D399" t="s">
        <v>425</v>
      </c>
      <c r="E399">
        <v>2019</v>
      </c>
      <c r="F399" t="s">
        <v>689</v>
      </c>
      <c r="G399">
        <f t="shared" si="12"/>
        <v>2022</v>
      </c>
      <c r="H399" t="str">
        <f t="shared" ca="1" si="13"/>
        <v>Due</v>
      </c>
    </row>
    <row r="400" spans="1:8" ht="15.75" customHeight="1">
      <c r="A400" t="s">
        <v>578</v>
      </c>
      <c r="B400" t="s">
        <v>579</v>
      </c>
      <c r="C400" t="s">
        <v>139</v>
      </c>
      <c r="D400" t="s">
        <v>425</v>
      </c>
      <c r="E400">
        <v>2019</v>
      </c>
      <c r="F400" t="s">
        <v>689</v>
      </c>
      <c r="G400">
        <f t="shared" si="12"/>
        <v>2022</v>
      </c>
      <c r="H400" t="str">
        <f t="shared" ca="1" si="13"/>
        <v>Due</v>
      </c>
    </row>
    <row r="401" spans="1:8" ht="15.75" customHeight="1">
      <c r="A401" t="s">
        <v>580</v>
      </c>
      <c r="B401" t="s">
        <v>581</v>
      </c>
      <c r="C401" t="s">
        <v>139</v>
      </c>
      <c r="D401" t="s">
        <v>425</v>
      </c>
      <c r="E401">
        <v>2017</v>
      </c>
      <c r="F401" t="s">
        <v>689</v>
      </c>
      <c r="G401">
        <f t="shared" si="12"/>
        <v>2020</v>
      </c>
      <c r="H401" t="str">
        <f t="shared" ca="1" si="13"/>
        <v>Due</v>
      </c>
    </row>
    <row r="402" spans="1:8" ht="15.75" customHeight="1">
      <c r="A402" t="s">
        <v>582</v>
      </c>
      <c r="B402" t="s">
        <v>583</v>
      </c>
      <c r="C402" t="s">
        <v>64</v>
      </c>
      <c r="D402" t="s">
        <v>425</v>
      </c>
      <c r="G402" t="str">
        <f t="shared" si="12"/>
        <v/>
      </c>
      <c r="H402" t="str">
        <f t="shared" ca="1" si="13"/>
        <v>Valid</v>
      </c>
    </row>
    <row r="403" spans="1:8" ht="15.75" customHeight="1">
      <c r="A403" t="s">
        <v>1063</v>
      </c>
      <c r="B403" t="s">
        <v>1064</v>
      </c>
      <c r="C403" t="s">
        <v>1060</v>
      </c>
      <c r="D403" t="s">
        <v>425</v>
      </c>
      <c r="E403">
        <v>2025</v>
      </c>
      <c r="F403" t="s">
        <v>960</v>
      </c>
      <c r="G403" t="str">
        <f t="shared" si="12"/>
        <v>Lifetime</v>
      </c>
      <c r="H403" t="str">
        <f t="shared" ca="1" si="13"/>
        <v>Valid</v>
      </c>
    </row>
    <row r="404" spans="1:8" ht="15.75" customHeight="1">
      <c r="A404" t="s">
        <v>584</v>
      </c>
      <c r="B404" t="s">
        <v>585</v>
      </c>
      <c r="C404" t="s">
        <v>64</v>
      </c>
      <c r="D404" t="s">
        <v>425</v>
      </c>
      <c r="G404" t="str">
        <f t="shared" si="12"/>
        <v/>
      </c>
      <c r="H404" t="str">
        <f t="shared" ca="1" si="13"/>
        <v>Valid</v>
      </c>
    </row>
    <row r="405" spans="1:8" ht="15.75" customHeight="1">
      <c r="A405" t="s">
        <v>586</v>
      </c>
      <c r="B405" t="s">
        <v>587</v>
      </c>
      <c r="C405" t="s">
        <v>64</v>
      </c>
      <c r="D405" t="s">
        <v>425</v>
      </c>
      <c r="E405">
        <v>2016</v>
      </c>
      <c r="F405" t="s">
        <v>693</v>
      </c>
      <c r="G405">
        <f t="shared" si="12"/>
        <v>2021</v>
      </c>
      <c r="H405" t="str">
        <f t="shared" ca="1" si="13"/>
        <v>Due</v>
      </c>
    </row>
    <row r="406" spans="1:8" ht="15.75" customHeight="1">
      <c r="A406" t="s">
        <v>1065</v>
      </c>
      <c r="B406" t="s">
        <v>1066</v>
      </c>
      <c r="C406" t="s">
        <v>1060</v>
      </c>
      <c r="D406" t="s">
        <v>425</v>
      </c>
      <c r="E406">
        <v>2016</v>
      </c>
      <c r="F406" t="s">
        <v>768</v>
      </c>
      <c r="G406" t="str">
        <f t="shared" si="12"/>
        <v>Lifetime</v>
      </c>
      <c r="H406" t="str">
        <f t="shared" ca="1" si="13"/>
        <v>Valid</v>
      </c>
    </row>
    <row r="407" spans="1:8" ht="15.75" customHeight="1">
      <c r="A407" t="s">
        <v>588</v>
      </c>
      <c r="B407" t="s">
        <v>589</v>
      </c>
      <c r="C407" t="s">
        <v>438</v>
      </c>
      <c r="D407" t="s">
        <v>425</v>
      </c>
      <c r="E407">
        <v>2022</v>
      </c>
      <c r="F407" t="s">
        <v>689</v>
      </c>
      <c r="G407">
        <f t="shared" si="12"/>
        <v>2025</v>
      </c>
      <c r="H407" t="str">
        <f t="shared" ca="1" si="13"/>
        <v>Due</v>
      </c>
    </row>
    <row r="408" spans="1:8" ht="15.75" customHeight="1">
      <c r="A408" t="s">
        <v>590</v>
      </c>
      <c r="B408" t="s">
        <v>591</v>
      </c>
      <c r="C408" t="s">
        <v>592</v>
      </c>
      <c r="D408" t="s">
        <v>425</v>
      </c>
      <c r="G408" t="str">
        <f t="shared" si="12"/>
        <v/>
      </c>
      <c r="H408" t="str">
        <f t="shared" ca="1" si="13"/>
        <v>Valid</v>
      </c>
    </row>
    <row r="409" spans="1:8" ht="15.75" customHeight="1">
      <c r="A409" t="s">
        <v>593</v>
      </c>
      <c r="B409" t="s">
        <v>594</v>
      </c>
      <c r="C409" t="s">
        <v>168</v>
      </c>
      <c r="D409" t="s">
        <v>425</v>
      </c>
      <c r="E409">
        <v>2023</v>
      </c>
      <c r="F409" t="s">
        <v>689</v>
      </c>
      <c r="G409">
        <f t="shared" si="12"/>
        <v>2026</v>
      </c>
      <c r="H409" t="str">
        <f t="shared" ca="1" si="13"/>
        <v>Due</v>
      </c>
    </row>
    <row r="410" spans="1:8" ht="15.75" customHeight="1">
      <c r="A410" t="s">
        <v>595</v>
      </c>
      <c r="B410" t="s">
        <v>596</v>
      </c>
      <c r="C410" t="s">
        <v>592</v>
      </c>
      <c r="D410" t="s">
        <v>425</v>
      </c>
      <c r="G410" t="str">
        <f t="shared" si="12"/>
        <v/>
      </c>
      <c r="H410" t="str">
        <f t="shared" ca="1" si="13"/>
        <v>Valid</v>
      </c>
    </row>
    <row r="411" spans="1:8" ht="15.75" customHeight="1">
      <c r="A411" t="s">
        <v>597</v>
      </c>
      <c r="B411" t="s">
        <v>598</v>
      </c>
      <c r="C411" t="s">
        <v>168</v>
      </c>
      <c r="D411" t="s">
        <v>425</v>
      </c>
      <c r="G411" t="str">
        <f t="shared" si="12"/>
        <v/>
      </c>
      <c r="H411" t="str">
        <f t="shared" ca="1" si="13"/>
        <v>Valid</v>
      </c>
    </row>
    <row r="412" spans="1:8" ht="15.75" customHeight="1">
      <c r="A412" t="s">
        <v>599</v>
      </c>
      <c r="B412" t="s">
        <v>600</v>
      </c>
      <c r="C412" t="s">
        <v>64</v>
      </c>
      <c r="D412" t="s">
        <v>425</v>
      </c>
      <c r="G412" t="str">
        <f t="shared" si="12"/>
        <v/>
      </c>
      <c r="H412" t="str">
        <f t="shared" ca="1" si="13"/>
        <v>Valid</v>
      </c>
    </row>
    <row r="413" spans="1:8" ht="15.75" customHeight="1">
      <c r="A413" t="s">
        <v>601</v>
      </c>
      <c r="B413" t="s">
        <v>602</v>
      </c>
      <c r="C413" t="s">
        <v>82</v>
      </c>
      <c r="D413" t="s">
        <v>425</v>
      </c>
      <c r="G413" t="str">
        <f t="shared" si="12"/>
        <v/>
      </c>
      <c r="H413" t="str">
        <f t="shared" ca="1" si="13"/>
        <v>Valid</v>
      </c>
    </row>
    <row r="414" spans="1:8" ht="15.75" customHeight="1">
      <c r="A414" t="s">
        <v>603</v>
      </c>
      <c r="B414" t="s">
        <v>604</v>
      </c>
      <c r="C414" t="s">
        <v>15</v>
      </c>
      <c r="D414" t="s">
        <v>425</v>
      </c>
      <c r="E414">
        <v>2019</v>
      </c>
      <c r="F414" t="s">
        <v>689</v>
      </c>
      <c r="G414">
        <f t="shared" si="12"/>
        <v>2022</v>
      </c>
      <c r="H414" t="str">
        <f t="shared" ca="1" si="13"/>
        <v>Due</v>
      </c>
    </row>
    <row r="415" spans="1:8" ht="15.75" customHeight="1">
      <c r="A415" t="s">
        <v>605</v>
      </c>
      <c r="B415" t="s">
        <v>606</v>
      </c>
      <c r="C415" t="s">
        <v>607</v>
      </c>
      <c r="D415" t="s">
        <v>425</v>
      </c>
      <c r="G415" t="str">
        <f t="shared" si="12"/>
        <v/>
      </c>
      <c r="H415" t="str">
        <f t="shared" ca="1" si="13"/>
        <v>Valid</v>
      </c>
    </row>
    <row r="416" spans="1:8" ht="15.75" customHeight="1">
      <c r="A416" t="s">
        <v>1067</v>
      </c>
      <c r="B416" t="s">
        <v>1068</v>
      </c>
      <c r="C416" t="s">
        <v>1069</v>
      </c>
      <c r="D416" t="s">
        <v>425</v>
      </c>
      <c r="G416" t="str">
        <f t="shared" si="12"/>
        <v/>
      </c>
      <c r="H416" t="str">
        <f t="shared" ca="1" si="13"/>
        <v>Valid</v>
      </c>
    </row>
    <row r="417" spans="1:8" ht="15.75" customHeight="1">
      <c r="A417" t="s">
        <v>1070</v>
      </c>
      <c r="B417" t="s">
        <v>1071</v>
      </c>
      <c r="C417" t="s">
        <v>1069</v>
      </c>
      <c r="D417" t="s">
        <v>425</v>
      </c>
      <c r="G417" t="str">
        <f t="shared" si="12"/>
        <v/>
      </c>
      <c r="H417" t="str">
        <f t="shared" ca="1" si="13"/>
        <v>Valid</v>
      </c>
    </row>
    <row r="418" spans="1:8" ht="15.75" customHeight="1">
      <c r="A418" t="s">
        <v>1072</v>
      </c>
      <c r="B418" t="s">
        <v>1073</v>
      </c>
      <c r="C418" t="s">
        <v>959</v>
      </c>
      <c r="D418" t="s">
        <v>425</v>
      </c>
      <c r="G418" t="str">
        <f t="shared" si="12"/>
        <v/>
      </c>
      <c r="H418" t="str">
        <f t="shared" ca="1" si="13"/>
        <v>Valid</v>
      </c>
    </row>
    <row r="419" spans="1:8" ht="15.75" customHeight="1">
      <c r="A419" t="s">
        <v>1074</v>
      </c>
      <c r="B419" t="s">
        <v>1075</v>
      </c>
      <c r="C419" t="s">
        <v>966</v>
      </c>
      <c r="D419" t="s">
        <v>425</v>
      </c>
      <c r="G419" t="str">
        <f t="shared" si="12"/>
        <v/>
      </c>
      <c r="H419" t="str">
        <f t="shared" ca="1" si="13"/>
        <v>Valid</v>
      </c>
    </row>
    <row r="420" spans="1:8" ht="15.75" customHeight="1">
      <c r="A420" t="s">
        <v>1076</v>
      </c>
      <c r="B420" t="s">
        <v>1077</v>
      </c>
      <c r="C420" t="s">
        <v>971</v>
      </c>
      <c r="D420" t="s">
        <v>425</v>
      </c>
      <c r="G420" t="str">
        <f t="shared" si="12"/>
        <v/>
      </c>
      <c r="H420" t="str">
        <f t="shared" ca="1" si="13"/>
        <v>Valid</v>
      </c>
    </row>
    <row r="421" spans="1:8" ht="15.75" customHeight="1">
      <c r="A421" t="s">
        <v>1078</v>
      </c>
      <c r="B421" t="s">
        <v>1079</v>
      </c>
      <c r="C421" t="s">
        <v>982</v>
      </c>
      <c r="D421" t="s">
        <v>425</v>
      </c>
      <c r="G421" t="str">
        <f t="shared" si="12"/>
        <v/>
      </c>
      <c r="H421" t="str">
        <f t="shared" ca="1" si="13"/>
        <v>Valid</v>
      </c>
    </row>
    <row r="422" spans="1:8" ht="15.75" customHeight="1">
      <c r="A422" t="s">
        <v>1080</v>
      </c>
      <c r="B422" t="s">
        <v>1081</v>
      </c>
      <c r="C422" t="s">
        <v>982</v>
      </c>
      <c r="D422" t="s">
        <v>425</v>
      </c>
      <c r="G422" t="str">
        <f t="shared" si="12"/>
        <v/>
      </c>
      <c r="H422" t="str">
        <f t="shared" ca="1" si="13"/>
        <v>Valid</v>
      </c>
    </row>
    <row r="423" spans="1:8" ht="15.75" customHeight="1">
      <c r="A423" t="s">
        <v>1082</v>
      </c>
      <c r="B423" t="s">
        <v>1083</v>
      </c>
      <c r="C423" t="s">
        <v>991</v>
      </c>
      <c r="D423" t="s">
        <v>425</v>
      </c>
      <c r="G423" t="str">
        <f t="shared" si="12"/>
        <v/>
      </c>
      <c r="H423" t="str">
        <f t="shared" ca="1" si="13"/>
        <v>Valid</v>
      </c>
    </row>
    <row r="424" spans="1:8" ht="15.75" customHeight="1">
      <c r="A424" t="s">
        <v>1084</v>
      </c>
      <c r="B424" t="s">
        <v>1085</v>
      </c>
      <c r="C424" t="s">
        <v>1001</v>
      </c>
      <c r="D424" t="s">
        <v>425</v>
      </c>
      <c r="E424">
        <v>2021</v>
      </c>
      <c r="F424" t="s">
        <v>768</v>
      </c>
      <c r="G424" t="str">
        <f t="shared" si="12"/>
        <v>Lifetime</v>
      </c>
      <c r="H424" t="str">
        <f t="shared" ca="1" si="13"/>
        <v>Valid</v>
      </c>
    </row>
    <row r="425" spans="1:8" ht="15.75" customHeight="1">
      <c r="A425" t="s">
        <v>1086</v>
      </c>
      <c r="B425" t="s">
        <v>1087</v>
      </c>
      <c r="C425" t="s">
        <v>1007</v>
      </c>
      <c r="D425" t="s">
        <v>425</v>
      </c>
      <c r="E425">
        <v>2026</v>
      </c>
      <c r="F425" t="s">
        <v>960</v>
      </c>
      <c r="G425" t="str">
        <f t="shared" si="12"/>
        <v>Lifetime</v>
      </c>
      <c r="H425" t="str">
        <f t="shared" ca="1" si="13"/>
        <v>Valid</v>
      </c>
    </row>
    <row r="426" spans="1:8" ht="15.75" customHeight="1">
      <c r="A426" t="s">
        <v>1088</v>
      </c>
      <c r="B426" t="s">
        <v>1089</v>
      </c>
      <c r="C426" t="s">
        <v>1090</v>
      </c>
      <c r="D426" t="s">
        <v>425</v>
      </c>
      <c r="G426" t="str">
        <f t="shared" si="12"/>
        <v/>
      </c>
      <c r="H426" t="str">
        <f t="shared" ca="1" si="13"/>
        <v>Valid</v>
      </c>
    </row>
    <row r="427" spans="1:8" ht="15.75" customHeight="1">
      <c r="A427" t="s">
        <v>1091</v>
      </c>
      <c r="B427" t="s">
        <v>1092</v>
      </c>
      <c r="C427" t="s">
        <v>1017</v>
      </c>
      <c r="D427" t="s">
        <v>425</v>
      </c>
      <c r="G427" t="str">
        <f t="shared" si="12"/>
        <v/>
      </c>
      <c r="H427" t="str">
        <f t="shared" ca="1" si="13"/>
        <v>Valid</v>
      </c>
    </row>
    <row r="428" spans="1:8" ht="15.75" customHeight="1">
      <c r="A428" t="s">
        <v>1093</v>
      </c>
      <c r="B428" t="s">
        <v>1094</v>
      </c>
      <c r="C428" t="s">
        <v>1017</v>
      </c>
      <c r="D428" t="s">
        <v>425</v>
      </c>
      <c r="G428" t="str">
        <f t="shared" si="12"/>
        <v/>
      </c>
      <c r="H428" t="str">
        <f t="shared" ca="1" si="13"/>
        <v>Valid</v>
      </c>
    </row>
    <row r="429" spans="1:8" ht="15.75" customHeight="1">
      <c r="A429" t="s">
        <v>608</v>
      </c>
      <c r="B429" t="s">
        <v>609</v>
      </c>
      <c r="C429" t="s">
        <v>441</v>
      </c>
      <c r="D429" t="s">
        <v>425</v>
      </c>
      <c r="E429">
        <v>2025</v>
      </c>
      <c r="F429" t="s">
        <v>689</v>
      </c>
      <c r="G429">
        <f t="shared" si="12"/>
        <v>2028</v>
      </c>
      <c r="H429" t="str">
        <f t="shared" ca="1" si="13"/>
        <v>Valid</v>
      </c>
    </row>
    <row r="430" spans="1:8" ht="15.75" customHeight="1">
      <c r="A430" t="s">
        <v>1095</v>
      </c>
      <c r="B430" t="s">
        <v>1096</v>
      </c>
      <c r="C430" t="s">
        <v>1032</v>
      </c>
      <c r="D430" t="s">
        <v>425</v>
      </c>
      <c r="G430" t="str">
        <f t="shared" si="12"/>
        <v/>
      </c>
      <c r="H430" t="str">
        <f t="shared" ca="1" si="13"/>
        <v>Valid</v>
      </c>
    </row>
    <row r="431" spans="1:8" ht="15.75" customHeight="1">
      <c r="A431" t="s">
        <v>610</v>
      </c>
      <c r="B431" t="s">
        <v>611</v>
      </c>
      <c r="C431" t="s">
        <v>461</v>
      </c>
      <c r="D431" t="s">
        <v>425</v>
      </c>
      <c r="E431">
        <v>2023</v>
      </c>
      <c r="F431" t="s">
        <v>689</v>
      </c>
      <c r="G431">
        <f t="shared" si="12"/>
        <v>2026</v>
      </c>
      <c r="H431" t="str">
        <f t="shared" ca="1" si="13"/>
        <v>Due</v>
      </c>
    </row>
    <row r="432" spans="1:8" ht="15.75" customHeight="1">
      <c r="A432" t="s">
        <v>612</v>
      </c>
      <c r="B432" t="s">
        <v>613</v>
      </c>
      <c r="C432" t="s">
        <v>461</v>
      </c>
      <c r="D432" t="s">
        <v>425</v>
      </c>
      <c r="G432" t="str">
        <f t="shared" si="12"/>
        <v/>
      </c>
      <c r="H432" t="str">
        <f t="shared" ca="1" si="13"/>
        <v>Valid</v>
      </c>
    </row>
    <row r="433" spans="1:8" ht="15.75" customHeight="1">
      <c r="A433" t="s">
        <v>614</v>
      </c>
      <c r="B433" t="s">
        <v>615</v>
      </c>
      <c r="C433" t="s">
        <v>461</v>
      </c>
      <c r="D433" t="s">
        <v>425</v>
      </c>
      <c r="E433">
        <v>2021</v>
      </c>
      <c r="F433" t="s">
        <v>689</v>
      </c>
      <c r="G433">
        <f t="shared" si="12"/>
        <v>2024</v>
      </c>
      <c r="H433" t="str">
        <f t="shared" ca="1" si="13"/>
        <v>Due</v>
      </c>
    </row>
    <row r="434" spans="1:8" ht="15.75" customHeight="1">
      <c r="A434" t="s">
        <v>616</v>
      </c>
      <c r="B434" t="s">
        <v>617</v>
      </c>
      <c r="C434" t="s">
        <v>461</v>
      </c>
      <c r="D434" t="s">
        <v>425</v>
      </c>
      <c r="E434">
        <v>2019</v>
      </c>
      <c r="F434" t="s">
        <v>693</v>
      </c>
      <c r="G434">
        <f t="shared" si="12"/>
        <v>2024</v>
      </c>
      <c r="H434" t="str">
        <f t="shared" ca="1" si="13"/>
        <v>Due</v>
      </c>
    </row>
    <row r="435" spans="1:8" ht="15.75" customHeight="1">
      <c r="A435" t="s">
        <v>618</v>
      </c>
      <c r="B435" t="s">
        <v>289</v>
      </c>
      <c r="C435" t="s">
        <v>461</v>
      </c>
      <c r="D435" t="s">
        <v>425</v>
      </c>
      <c r="G435" t="str">
        <f t="shared" si="12"/>
        <v/>
      </c>
      <c r="H435" t="str">
        <f t="shared" ca="1" si="13"/>
        <v>Valid</v>
      </c>
    </row>
    <row r="436" spans="1:8" ht="15.75" customHeight="1">
      <c r="A436" t="s">
        <v>619</v>
      </c>
      <c r="B436" t="s">
        <v>620</v>
      </c>
      <c r="C436" t="s">
        <v>461</v>
      </c>
      <c r="D436" t="s">
        <v>425</v>
      </c>
      <c r="E436">
        <v>2019</v>
      </c>
      <c r="F436" t="s">
        <v>689</v>
      </c>
      <c r="G436">
        <f t="shared" si="12"/>
        <v>2022</v>
      </c>
      <c r="H436" t="str">
        <f t="shared" ca="1" si="13"/>
        <v>Due</v>
      </c>
    </row>
    <row r="437" spans="1:8" ht="15.75" customHeight="1">
      <c r="A437" t="s">
        <v>621</v>
      </c>
      <c r="B437" t="s">
        <v>622</v>
      </c>
      <c r="C437" t="s">
        <v>461</v>
      </c>
      <c r="D437" t="s">
        <v>425</v>
      </c>
      <c r="G437" t="str">
        <f t="shared" si="12"/>
        <v/>
      </c>
      <c r="H437" t="str">
        <f t="shared" ca="1" si="13"/>
        <v>Valid</v>
      </c>
    </row>
    <row r="438" spans="1:8" ht="15.75" customHeight="1">
      <c r="A438" t="s">
        <v>1097</v>
      </c>
      <c r="B438" t="s">
        <v>1098</v>
      </c>
      <c r="C438" t="s">
        <v>1035</v>
      </c>
      <c r="D438" t="s">
        <v>425</v>
      </c>
      <c r="E438">
        <v>2020</v>
      </c>
      <c r="F438" t="s">
        <v>2166</v>
      </c>
      <c r="G438" t="str">
        <f t="shared" si="12"/>
        <v>Lifetime</v>
      </c>
      <c r="H438" t="str">
        <f t="shared" ca="1" si="13"/>
        <v>Valid</v>
      </c>
    </row>
    <row r="439" spans="1:8" ht="15.75" customHeight="1">
      <c r="A439" t="s">
        <v>1099</v>
      </c>
      <c r="B439" t="s">
        <v>1100</v>
      </c>
      <c r="C439" t="s">
        <v>1040</v>
      </c>
      <c r="D439" t="s">
        <v>425</v>
      </c>
      <c r="G439" t="str">
        <f t="shared" si="12"/>
        <v/>
      </c>
      <c r="H439" t="str">
        <f t="shared" ca="1" si="13"/>
        <v>Valid</v>
      </c>
    </row>
    <row r="440" spans="1:8" ht="15.75" customHeight="1">
      <c r="A440" t="s">
        <v>1101</v>
      </c>
      <c r="B440" t="s">
        <v>1102</v>
      </c>
      <c r="C440" t="s">
        <v>1040</v>
      </c>
      <c r="D440" t="s">
        <v>425</v>
      </c>
      <c r="G440" t="str">
        <f t="shared" si="12"/>
        <v/>
      </c>
      <c r="H440" t="str">
        <f t="shared" ca="1" si="13"/>
        <v>Valid</v>
      </c>
    </row>
    <row r="441" spans="1:8" ht="15.75" customHeight="1">
      <c r="A441" t="s">
        <v>623</v>
      </c>
      <c r="B441" t="s">
        <v>624</v>
      </c>
      <c r="C441" t="s">
        <v>39</v>
      </c>
      <c r="D441" t="s">
        <v>425</v>
      </c>
      <c r="G441" t="str">
        <f t="shared" si="12"/>
        <v/>
      </c>
      <c r="H441" t="str">
        <f t="shared" ca="1" si="13"/>
        <v>Valid</v>
      </c>
    </row>
    <row r="442" spans="1:8" ht="15.75" customHeight="1">
      <c r="A442" t="s">
        <v>625</v>
      </c>
      <c r="B442" t="s">
        <v>626</v>
      </c>
      <c r="C442" t="s">
        <v>39</v>
      </c>
      <c r="D442" t="s">
        <v>425</v>
      </c>
      <c r="E442">
        <v>2025</v>
      </c>
      <c r="F442" t="s">
        <v>689</v>
      </c>
      <c r="G442">
        <f t="shared" si="12"/>
        <v>2028</v>
      </c>
      <c r="H442" t="str">
        <f t="shared" ca="1" si="13"/>
        <v>Valid</v>
      </c>
    </row>
    <row r="443" spans="1:8" ht="15.75" customHeight="1">
      <c r="A443" t="s">
        <v>627</v>
      </c>
      <c r="B443" t="s">
        <v>628</v>
      </c>
      <c r="C443" t="s">
        <v>139</v>
      </c>
      <c r="D443" t="s">
        <v>425</v>
      </c>
      <c r="E443">
        <v>2018</v>
      </c>
      <c r="F443" t="s">
        <v>768</v>
      </c>
      <c r="G443" t="str">
        <f t="shared" si="12"/>
        <v>Lifetime</v>
      </c>
      <c r="H443" t="str">
        <f t="shared" ca="1" si="13"/>
        <v>Valid</v>
      </c>
    </row>
    <row r="444" spans="1:8" ht="15.75" customHeight="1">
      <c r="A444" t="s">
        <v>629</v>
      </c>
      <c r="B444" t="s">
        <v>630</v>
      </c>
      <c r="C444" t="s">
        <v>139</v>
      </c>
      <c r="D444" t="s">
        <v>425</v>
      </c>
      <c r="E444">
        <v>2018</v>
      </c>
      <c r="F444" t="s">
        <v>768</v>
      </c>
      <c r="G444" t="str">
        <f t="shared" si="12"/>
        <v>Lifetime</v>
      </c>
      <c r="H444" t="str">
        <f t="shared" ca="1" si="13"/>
        <v>Valid</v>
      </c>
    </row>
    <row r="445" spans="1:8" ht="15.75" customHeight="1">
      <c r="A445" t="s">
        <v>631</v>
      </c>
      <c r="B445" t="s">
        <v>632</v>
      </c>
      <c r="C445" t="s">
        <v>139</v>
      </c>
      <c r="D445" t="s">
        <v>425</v>
      </c>
      <c r="E445">
        <v>2017</v>
      </c>
      <c r="F445" t="s">
        <v>689</v>
      </c>
      <c r="G445">
        <f t="shared" si="12"/>
        <v>2020</v>
      </c>
      <c r="H445" t="str">
        <f t="shared" ca="1" si="13"/>
        <v>Due</v>
      </c>
    </row>
    <row r="446" spans="1:8" ht="15.75" customHeight="1">
      <c r="A446" t="s">
        <v>633</v>
      </c>
      <c r="B446" t="s">
        <v>634</v>
      </c>
      <c r="C446" t="s">
        <v>168</v>
      </c>
      <c r="D446" t="s">
        <v>425</v>
      </c>
      <c r="E446">
        <v>2022</v>
      </c>
      <c r="F446" t="s">
        <v>689</v>
      </c>
      <c r="G446">
        <f t="shared" si="12"/>
        <v>2025</v>
      </c>
      <c r="H446" t="str">
        <f t="shared" ca="1" si="13"/>
        <v>Due</v>
      </c>
    </row>
    <row r="447" spans="1:8" ht="15.75" customHeight="1">
      <c r="A447" t="s">
        <v>635</v>
      </c>
      <c r="B447" t="s">
        <v>636</v>
      </c>
      <c r="C447" t="s">
        <v>607</v>
      </c>
      <c r="D447" t="s">
        <v>425</v>
      </c>
      <c r="G447" t="str">
        <f t="shared" si="12"/>
        <v/>
      </c>
      <c r="H447" t="str">
        <f t="shared" ca="1" si="13"/>
        <v>Valid</v>
      </c>
    </row>
    <row r="448" spans="1:8" ht="15.75" customHeight="1">
      <c r="A448" t="s">
        <v>637</v>
      </c>
      <c r="B448" t="s">
        <v>638</v>
      </c>
      <c r="C448" t="s">
        <v>607</v>
      </c>
      <c r="D448" t="s">
        <v>425</v>
      </c>
      <c r="G448" t="str">
        <f t="shared" si="12"/>
        <v/>
      </c>
      <c r="H448" t="str">
        <f t="shared" ca="1" si="13"/>
        <v>Valid</v>
      </c>
    </row>
    <row r="449" spans="1:8" ht="15.75" customHeight="1">
      <c r="A449" t="s">
        <v>639</v>
      </c>
      <c r="B449" t="s">
        <v>640</v>
      </c>
      <c r="C449" t="s">
        <v>641</v>
      </c>
      <c r="D449" t="s">
        <v>425</v>
      </c>
      <c r="G449" t="str">
        <f t="shared" si="12"/>
        <v/>
      </c>
      <c r="H449" t="str">
        <f t="shared" ca="1" si="13"/>
        <v>Valid</v>
      </c>
    </row>
    <row r="450" spans="1:8" ht="15.75" customHeight="1">
      <c r="A450" t="s">
        <v>1103</v>
      </c>
      <c r="B450" t="s">
        <v>1104</v>
      </c>
      <c r="C450" t="s">
        <v>998</v>
      </c>
      <c r="D450" t="s">
        <v>425</v>
      </c>
      <c r="E450">
        <v>2024</v>
      </c>
      <c r="F450" t="s">
        <v>689</v>
      </c>
      <c r="G450">
        <f t="shared" si="12"/>
        <v>2027</v>
      </c>
      <c r="H450" t="str">
        <f t="shared" ca="1" si="13"/>
        <v>Valid</v>
      </c>
    </row>
    <row r="451" spans="1:8" ht="15.75" customHeight="1">
      <c r="A451" t="s">
        <v>1105</v>
      </c>
      <c r="B451" t="s">
        <v>1106</v>
      </c>
      <c r="C451" t="s">
        <v>1107</v>
      </c>
      <c r="D451" t="s">
        <v>425</v>
      </c>
      <c r="E451">
        <v>2026</v>
      </c>
      <c r="F451" t="s">
        <v>768</v>
      </c>
      <c r="G451" t="str">
        <f t="shared" si="12"/>
        <v>Lifetime</v>
      </c>
      <c r="H451" t="str">
        <f t="shared" ca="1" si="13"/>
        <v>Valid</v>
      </c>
    </row>
    <row r="452" spans="1:8" ht="15.75" customHeight="1">
      <c r="A452" t="s">
        <v>1108</v>
      </c>
      <c r="B452" t="s">
        <v>1109</v>
      </c>
      <c r="C452" t="s">
        <v>1029</v>
      </c>
      <c r="D452" t="s">
        <v>425</v>
      </c>
      <c r="G452" t="str">
        <f t="shared" ref="G452:G479" si="14">IF(ISBLANK(E452), "", IF(OR(F452="First aid (M)", F452="First aid (L)"), "Lifetime", IF(F452="First aid (V)", E452+5, E452+3)))</f>
        <v/>
      </c>
      <c r="H452" t="str">
        <f t="shared" ref="H452:H479" ca="1" si="15">IF(ISBLANK(G452), "", IF(G452="Lifetime", "Valid", IF(YEAR(TODAY())&gt;=G452, "Due", "Valid")))</f>
        <v>Valid</v>
      </c>
    </row>
    <row r="453" spans="1:8" ht="15.75" customHeight="1">
      <c r="A453" t="s">
        <v>642</v>
      </c>
      <c r="B453" t="s">
        <v>643</v>
      </c>
      <c r="C453" t="s">
        <v>139</v>
      </c>
      <c r="D453" t="s">
        <v>425</v>
      </c>
      <c r="E453">
        <v>2025</v>
      </c>
      <c r="F453" t="s">
        <v>960</v>
      </c>
      <c r="G453" t="str">
        <f t="shared" si="14"/>
        <v>Lifetime</v>
      </c>
      <c r="H453" t="str">
        <f t="shared" ca="1" si="15"/>
        <v>Valid</v>
      </c>
    </row>
    <row r="454" spans="1:8" ht="15.75" customHeight="1">
      <c r="A454" t="s">
        <v>1110</v>
      </c>
      <c r="B454" t="s">
        <v>1111</v>
      </c>
      <c r="C454" t="s">
        <v>1112</v>
      </c>
      <c r="D454" t="s">
        <v>425</v>
      </c>
      <c r="E454">
        <v>2026</v>
      </c>
      <c r="F454" t="s">
        <v>960</v>
      </c>
      <c r="G454" t="str">
        <f t="shared" si="14"/>
        <v>Lifetime</v>
      </c>
      <c r="H454" t="str">
        <f t="shared" ca="1" si="15"/>
        <v>Valid</v>
      </c>
    </row>
    <row r="455" spans="1:8" ht="15.75" customHeight="1">
      <c r="A455" t="s">
        <v>1113</v>
      </c>
      <c r="B455" t="s">
        <v>1114</v>
      </c>
      <c r="C455" t="s">
        <v>1115</v>
      </c>
      <c r="D455" t="s">
        <v>425</v>
      </c>
      <c r="E455">
        <v>2022</v>
      </c>
      <c r="F455" t="s">
        <v>960</v>
      </c>
      <c r="G455" t="str">
        <f t="shared" si="14"/>
        <v>Lifetime</v>
      </c>
      <c r="H455" t="str">
        <f t="shared" ca="1" si="15"/>
        <v>Valid</v>
      </c>
    </row>
    <row r="456" spans="1:8" ht="15.75" customHeight="1">
      <c r="A456" t="s">
        <v>644</v>
      </c>
      <c r="B456" t="s">
        <v>645</v>
      </c>
      <c r="C456" t="s">
        <v>646</v>
      </c>
      <c r="D456" t="s">
        <v>425</v>
      </c>
      <c r="E456">
        <v>2023</v>
      </c>
      <c r="F456" t="s">
        <v>768</v>
      </c>
      <c r="G456" t="str">
        <f t="shared" si="14"/>
        <v>Lifetime</v>
      </c>
      <c r="H456" t="str">
        <f t="shared" ca="1" si="15"/>
        <v>Valid</v>
      </c>
    </row>
    <row r="457" spans="1:8" ht="15.75" customHeight="1">
      <c r="A457" t="s">
        <v>647</v>
      </c>
      <c r="B457" t="s">
        <v>648</v>
      </c>
      <c r="C457" t="s">
        <v>649</v>
      </c>
      <c r="D457" t="s">
        <v>425</v>
      </c>
      <c r="G457" t="str">
        <f t="shared" si="14"/>
        <v/>
      </c>
      <c r="H457" t="str">
        <f t="shared" ca="1" si="15"/>
        <v>Valid</v>
      </c>
    </row>
    <row r="458" spans="1:8" ht="15.75" customHeight="1">
      <c r="A458" t="s">
        <v>650</v>
      </c>
      <c r="B458" t="s">
        <v>651</v>
      </c>
      <c r="C458" t="s">
        <v>652</v>
      </c>
      <c r="D458" t="s">
        <v>425</v>
      </c>
      <c r="E458">
        <v>2025</v>
      </c>
      <c r="F458" t="s">
        <v>689</v>
      </c>
      <c r="G458">
        <f t="shared" si="14"/>
        <v>2028</v>
      </c>
      <c r="H458" t="str">
        <f t="shared" ca="1" si="15"/>
        <v>Valid</v>
      </c>
    </row>
    <row r="459" spans="1:8" ht="15.75" customHeight="1">
      <c r="A459" t="s">
        <v>653</v>
      </c>
      <c r="B459" t="s">
        <v>654</v>
      </c>
      <c r="C459" t="s">
        <v>82</v>
      </c>
      <c r="D459" t="s">
        <v>425</v>
      </c>
      <c r="E459">
        <v>2024</v>
      </c>
      <c r="F459" t="s">
        <v>689</v>
      </c>
      <c r="G459">
        <f t="shared" si="14"/>
        <v>2027</v>
      </c>
      <c r="H459" t="str">
        <f t="shared" ca="1" si="15"/>
        <v>Valid</v>
      </c>
    </row>
    <row r="460" spans="1:8" ht="15.75" customHeight="1">
      <c r="A460" t="s">
        <v>1116</v>
      </c>
      <c r="B460" t="s">
        <v>1117</v>
      </c>
      <c r="C460" t="s">
        <v>1118</v>
      </c>
      <c r="D460" t="s">
        <v>1119</v>
      </c>
      <c r="E460">
        <v>2024</v>
      </c>
      <c r="F460" t="s">
        <v>689</v>
      </c>
      <c r="G460">
        <f t="shared" si="14"/>
        <v>2027</v>
      </c>
      <c r="H460" t="str">
        <f t="shared" ca="1" si="15"/>
        <v>Valid</v>
      </c>
    </row>
    <row r="461" spans="1:8" ht="15.75" customHeight="1">
      <c r="A461" t="s">
        <v>1120</v>
      </c>
      <c r="B461" t="s">
        <v>1121</v>
      </c>
      <c r="C461" t="s">
        <v>1122</v>
      </c>
      <c r="D461" t="s">
        <v>1119</v>
      </c>
      <c r="G461" t="str">
        <f t="shared" si="14"/>
        <v/>
      </c>
      <c r="H461" t="str">
        <f t="shared" ca="1" si="15"/>
        <v>Valid</v>
      </c>
    </row>
    <row r="462" spans="1:8" ht="15.75" customHeight="1">
      <c r="A462" t="s">
        <v>1123</v>
      </c>
      <c r="B462" t="s">
        <v>1124</v>
      </c>
      <c r="C462" t="s">
        <v>740</v>
      </c>
      <c r="D462" t="s">
        <v>772</v>
      </c>
      <c r="E462">
        <v>2022</v>
      </c>
      <c r="F462" t="s">
        <v>689</v>
      </c>
      <c r="G462">
        <f t="shared" si="14"/>
        <v>2025</v>
      </c>
      <c r="H462" t="str">
        <f t="shared" ca="1" si="15"/>
        <v>Due</v>
      </c>
    </row>
    <row r="463" spans="1:8" ht="15.75" customHeight="1">
      <c r="A463" t="s">
        <v>1125</v>
      </c>
      <c r="B463" t="s">
        <v>1126</v>
      </c>
      <c r="C463" t="s">
        <v>1115</v>
      </c>
      <c r="D463" t="s">
        <v>772</v>
      </c>
      <c r="E463">
        <v>2022</v>
      </c>
      <c r="F463" t="s">
        <v>960</v>
      </c>
      <c r="G463" t="str">
        <f t="shared" si="14"/>
        <v>Lifetime</v>
      </c>
      <c r="H463" t="str">
        <f t="shared" ca="1" si="15"/>
        <v>Valid</v>
      </c>
    </row>
    <row r="464" spans="1:8" ht="15.75" customHeight="1">
      <c r="A464" t="s">
        <v>1127</v>
      </c>
      <c r="B464" t="s">
        <v>1128</v>
      </c>
      <c r="C464" t="s">
        <v>1129</v>
      </c>
      <c r="D464" t="s">
        <v>772</v>
      </c>
      <c r="G464" t="str">
        <f t="shared" si="14"/>
        <v/>
      </c>
      <c r="H464" t="str">
        <f t="shared" ca="1" si="15"/>
        <v>Valid</v>
      </c>
    </row>
    <row r="465" spans="1:8" ht="15.75" customHeight="1">
      <c r="A465" t="s">
        <v>1130</v>
      </c>
      <c r="B465" t="s">
        <v>1131</v>
      </c>
      <c r="C465" t="s">
        <v>940</v>
      </c>
      <c r="D465" t="s">
        <v>772</v>
      </c>
      <c r="G465" t="str">
        <f t="shared" si="14"/>
        <v/>
      </c>
      <c r="H465" t="str">
        <f t="shared" ca="1" si="15"/>
        <v>Valid</v>
      </c>
    </row>
    <row r="466" spans="1:8" ht="15.75" customHeight="1">
      <c r="A466" t="s">
        <v>1132</v>
      </c>
      <c r="B466" t="s">
        <v>1133</v>
      </c>
      <c r="C466" t="s">
        <v>1134</v>
      </c>
      <c r="D466" t="s">
        <v>772</v>
      </c>
      <c r="E466">
        <v>2021</v>
      </c>
      <c r="F466" t="s">
        <v>689</v>
      </c>
      <c r="G466">
        <f t="shared" si="14"/>
        <v>2024</v>
      </c>
      <c r="H466" t="str">
        <f t="shared" ca="1" si="15"/>
        <v>Due</v>
      </c>
    </row>
    <row r="467" spans="1:8" ht="15.75" customHeight="1">
      <c r="A467" t="s">
        <v>655</v>
      </c>
      <c r="B467" t="s">
        <v>656</v>
      </c>
      <c r="C467" t="s">
        <v>39</v>
      </c>
      <c r="D467" t="s">
        <v>12</v>
      </c>
      <c r="G467" t="str">
        <f t="shared" si="14"/>
        <v/>
      </c>
      <c r="H467" t="str">
        <f t="shared" ca="1" si="15"/>
        <v>Valid</v>
      </c>
    </row>
    <row r="468" spans="1:8" ht="15.75" customHeight="1">
      <c r="A468" t="s">
        <v>657</v>
      </c>
      <c r="B468" t="s">
        <v>658</v>
      </c>
      <c r="C468" t="s">
        <v>659</v>
      </c>
      <c r="D468" t="s">
        <v>12</v>
      </c>
      <c r="E468">
        <v>2025</v>
      </c>
      <c r="F468" t="s">
        <v>689</v>
      </c>
      <c r="G468">
        <f t="shared" si="14"/>
        <v>2028</v>
      </c>
      <c r="H468" t="str">
        <f t="shared" ca="1" si="15"/>
        <v>Valid</v>
      </c>
    </row>
    <row r="469" spans="1:8" ht="15.75" customHeight="1">
      <c r="A469" t="s">
        <v>660</v>
      </c>
      <c r="B469" t="s">
        <v>661</v>
      </c>
      <c r="C469" t="s">
        <v>39</v>
      </c>
      <c r="D469" t="s">
        <v>12</v>
      </c>
      <c r="G469" t="str">
        <f t="shared" si="14"/>
        <v/>
      </c>
      <c r="H469" t="str">
        <f t="shared" ca="1" si="15"/>
        <v>Valid</v>
      </c>
    </row>
    <row r="470" spans="1:8" ht="15.75" customHeight="1">
      <c r="A470" t="s">
        <v>662</v>
      </c>
      <c r="B470" t="s">
        <v>663</v>
      </c>
      <c r="C470" t="s">
        <v>39</v>
      </c>
      <c r="D470" t="s">
        <v>12</v>
      </c>
      <c r="G470" t="str">
        <f t="shared" si="14"/>
        <v/>
      </c>
      <c r="H470" t="str">
        <f t="shared" ca="1" si="15"/>
        <v>Valid</v>
      </c>
    </row>
    <row r="471" spans="1:8" ht="15.75" customHeight="1">
      <c r="A471" t="s">
        <v>664</v>
      </c>
      <c r="B471" t="s">
        <v>665</v>
      </c>
      <c r="C471" t="s">
        <v>39</v>
      </c>
      <c r="D471" t="s">
        <v>425</v>
      </c>
      <c r="E471">
        <v>2018</v>
      </c>
      <c r="F471" t="s">
        <v>768</v>
      </c>
      <c r="G471" t="str">
        <f t="shared" si="14"/>
        <v>Lifetime</v>
      </c>
      <c r="H471" t="str">
        <f t="shared" ca="1" si="15"/>
        <v>Valid</v>
      </c>
    </row>
    <row r="472" spans="1:8" ht="15.75" customHeight="1">
      <c r="A472" t="s">
        <v>666</v>
      </c>
      <c r="B472" t="s">
        <v>667</v>
      </c>
      <c r="C472" t="s">
        <v>39</v>
      </c>
      <c r="D472" t="s">
        <v>425</v>
      </c>
      <c r="E472">
        <v>2019</v>
      </c>
      <c r="F472" t="s">
        <v>689</v>
      </c>
      <c r="G472">
        <f t="shared" si="14"/>
        <v>2022</v>
      </c>
      <c r="H472" t="str">
        <f t="shared" ca="1" si="15"/>
        <v>Due</v>
      </c>
    </row>
    <row r="473" spans="1:8" ht="15.75" customHeight="1">
      <c r="A473" t="s">
        <v>668</v>
      </c>
      <c r="B473" t="s">
        <v>669</v>
      </c>
      <c r="C473" t="s">
        <v>139</v>
      </c>
      <c r="D473" t="s">
        <v>12</v>
      </c>
      <c r="G473" t="str">
        <f t="shared" si="14"/>
        <v/>
      </c>
      <c r="H473" t="str">
        <f t="shared" ca="1" si="15"/>
        <v>Valid</v>
      </c>
    </row>
    <row r="474" spans="1:8" ht="15.75" customHeight="1">
      <c r="A474" t="s">
        <v>670</v>
      </c>
      <c r="B474" t="s">
        <v>671</v>
      </c>
      <c r="C474" t="s">
        <v>139</v>
      </c>
      <c r="D474" t="s">
        <v>12</v>
      </c>
      <c r="E474">
        <v>2024</v>
      </c>
      <c r="F474" t="s">
        <v>689</v>
      </c>
      <c r="G474">
        <f t="shared" si="14"/>
        <v>2027</v>
      </c>
      <c r="H474" t="str">
        <f t="shared" ca="1" si="15"/>
        <v>Valid</v>
      </c>
    </row>
    <row r="475" spans="1:8" ht="15.75" customHeight="1">
      <c r="A475" t="s">
        <v>672</v>
      </c>
      <c r="B475" t="s">
        <v>673</v>
      </c>
      <c r="C475" t="s">
        <v>674</v>
      </c>
      <c r="D475" t="s">
        <v>12</v>
      </c>
      <c r="E475">
        <v>2025</v>
      </c>
      <c r="F475" t="s">
        <v>689</v>
      </c>
      <c r="G475">
        <f t="shared" si="14"/>
        <v>2028</v>
      </c>
      <c r="H475" t="str">
        <f t="shared" ca="1" si="15"/>
        <v>Valid</v>
      </c>
    </row>
    <row r="476" spans="1:8" ht="15.75" customHeight="1">
      <c r="A476" t="s">
        <v>675</v>
      </c>
      <c r="B476" t="s">
        <v>676</v>
      </c>
      <c r="C476" t="s">
        <v>64</v>
      </c>
      <c r="D476" t="s">
        <v>12</v>
      </c>
      <c r="G476" t="str">
        <f t="shared" si="14"/>
        <v/>
      </c>
      <c r="H476" t="str">
        <f t="shared" ca="1" si="15"/>
        <v>Valid</v>
      </c>
    </row>
    <row r="477" spans="1:8" ht="15.75" customHeight="1">
      <c r="A477" t="s">
        <v>677</v>
      </c>
      <c r="B477" t="s">
        <v>678</v>
      </c>
      <c r="C477" t="s">
        <v>64</v>
      </c>
      <c r="D477" t="s">
        <v>12</v>
      </c>
      <c r="G477" t="str">
        <f t="shared" si="14"/>
        <v/>
      </c>
      <c r="H477" t="str">
        <f t="shared" ca="1" si="15"/>
        <v>Valid</v>
      </c>
    </row>
    <row r="478" spans="1:8" ht="15.75" customHeight="1">
      <c r="A478" t="s">
        <v>679</v>
      </c>
      <c r="B478" t="s">
        <v>680</v>
      </c>
      <c r="C478" t="s">
        <v>681</v>
      </c>
      <c r="D478" t="s">
        <v>12</v>
      </c>
      <c r="E478">
        <v>2025</v>
      </c>
      <c r="F478" t="s">
        <v>689</v>
      </c>
      <c r="G478">
        <f t="shared" si="14"/>
        <v>2028</v>
      </c>
      <c r="H478" t="str">
        <f t="shared" ca="1" si="15"/>
        <v>Valid</v>
      </c>
    </row>
    <row r="479" spans="1:8" ht="15.75" customHeight="1">
      <c r="A479" t="s">
        <v>682</v>
      </c>
      <c r="B479" t="s">
        <v>683</v>
      </c>
      <c r="C479" t="s">
        <v>592</v>
      </c>
      <c r="D479" t="s">
        <v>12</v>
      </c>
      <c r="G479" t="str">
        <f t="shared" si="14"/>
        <v/>
      </c>
      <c r="H479" t="str">
        <f t="shared" ca="1" si="15"/>
        <v>Valid</v>
      </c>
    </row>
  </sheetData>
  <autoFilter ref="A3:H479" xr:uid="{00000000-0009-0000-0000-000002000000}"/>
  <conditionalFormatting sqref="H4:H479">
    <cfRule type="cellIs" dxfId="3" priority="1" operator="equal">
      <formula>"Due"</formula>
    </cfRule>
  </conditionalFormatting>
  <hyperlinks>
    <hyperlink ref="A1" location="Dashboard!A1" display="&lt;&lt; Back to Dashboard" xr:uid="{00000000-0004-0000-0200-000000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7"/>
  <sheetViews>
    <sheetView workbookViewId="0">
      <selection activeCell="J5" sqref="J5"/>
    </sheetView>
  </sheetViews>
  <sheetFormatPr defaultColWidth="14.44140625" defaultRowHeight="15" customHeight="1"/>
  <cols>
    <col min="1" max="7" width="24.6640625" customWidth="1"/>
    <col min="8" max="11" width="8.6640625" customWidth="1"/>
  </cols>
  <sheetData>
    <row r="1" spans="1:7" ht="30" customHeight="1">
      <c r="A1" s="1" t="s">
        <v>1</v>
      </c>
    </row>
    <row r="3" spans="1:7" ht="24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ht="14.4" customHeight="1">
      <c r="A4" t="s">
        <v>9</v>
      </c>
      <c r="B4" t="s">
        <v>10</v>
      </c>
      <c r="C4" t="s">
        <v>11</v>
      </c>
      <c r="D4" t="s">
        <v>12</v>
      </c>
      <c r="F4" s="3" t="str">
        <f t="shared" ref="F4:F67" si="0">IF(ISBLANK(E4), "", EDATE(E4, 60))</f>
        <v/>
      </c>
      <c r="G4" t="e">
        <f t="shared" ref="G4:G67" ca="1" si="1">IF(ISBLANK(F4), "", IF(TODAY()&gt;=EDATE(F4, -1), "Due", "Valid"))</f>
        <v>#VALUE!</v>
      </c>
    </row>
    <row r="5" spans="1:7" ht="14.4" customHeight="1">
      <c r="A5" t="s">
        <v>13</v>
      </c>
      <c r="B5" t="s">
        <v>14</v>
      </c>
      <c r="C5" t="s">
        <v>15</v>
      </c>
      <c r="D5" t="s">
        <v>12</v>
      </c>
      <c r="E5" s="3">
        <v>45292</v>
      </c>
      <c r="F5" s="3">
        <f t="shared" si="0"/>
        <v>47119</v>
      </c>
      <c r="G5" t="str">
        <f t="shared" ca="1" si="1"/>
        <v>Valid</v>
      </c>
    </row>
    <row r="6" spans="1:7" ht="14.4" customHeight="1">
      <c r="A6" t="s">
        <v>16</v>
      </c>
      <c r="B6" t="s">
        <v>17</v>
      </c>
      <c r="C6" t="s">
        <v>15</v>
      </c>
      <c r="D6" t="s">
        <v>12</v>
      </c>
      <c r="E6" s="3">
        <v>45292</v>
      </c>
      <c r="F6" s="3">
        <f t="shared" si="0"/>
        <v>47119</v>
      </c>
      <c r="G6" t="str">
        <f t="shared" ca="1" si="1"/>
        <v>Valid</v>
      </c>
    </row>
    <row r="7" spans="1:7" ht="14.4" customHeight="1">
      <c r="A7" t="s">
        <v>18</v>
      </c>
      <c r="B7" t="s">
        <v>19</v>
      </c>
      <c r="C7" t="s">
        <v>20</v>
      </c>
      <c r="D7" t="s">
        <v>12</v>
      </c>
      <c r="E7" s="3">
        <v>45292</v>
      </c>
      <c r="F7" s="3">
        <f t="shared" si="0"/>
        <v>47119</v>
      </c>
      <c r="G7" t="str">
        <f t="shared" ca="1" si="1"/>
        <v>Valid</v>
      </c>
    </row>
    <row r="8" spans="1:7" ht="14.4" customHeight="1">
      <c r="A8" t="s">
        <v>21</v>
      </c>
      <c r="B8" t="s">
        <v>22</v>
      </c>
      <c r="C8" t="s">
        <v>23</v>
      </c>
      <c r="D8" t="s">
        <v>24</v>
      </c>
      <c r="E8" s="3">
        <v>44562</v>
      </c>
      <c r="F8" s="3">
        <f t="shared" si="0"/>
        <v>46388</v>
      </c>
      <c r="G8" t="str">
        <f t="shared" ca="1" si="1"/>
        <v>Valid</v>
      </c>
    </row>
    <row r="9" spans="1:7" ht="14.4" customHeight="1">
      <c r="A9" t="s">
        <v>25</v>
      </c>
      <c r="B9" t="s">
        <v>26</v>
      </c>
      <c r="C9" t="s">
        <v>27</v>
      </c>
      <c r="D9" t="s">
        <v>28</v>
      </c>
      <c r="E9" s="3">
        <v>45658</v>
      </c>
      <c r="F9" s="3">
        <f t="shared" si="0"/>
        <v>47484</v>
      </c>
      <c r="G9" t="str">
        <f t="shared" ca="1" si="1"/>
        <v>Valid</v>
      </c>
    </row>
    <row r="10" spans="1:7" ht="14.4" customHeight="1">
      <c r="A10" t="s">
        <v>29</v>
      </c>
      <c r="B10" t="s">
        <v>30</v>
      </c>
      <c r="C10" t="s">
        <v>27</v>
      </c>
      <c r="D10" t="s">
        <v>28</v>
      </c>
      <c r="E10" s="3">
        <v>44927</v>
      </c>
      <c r="F10" s="3">
        <f t="shared" si="0"/>
        <v>46753</v>
      </c>
      <c r="G10" t="str">
        <f t="shared" ca="1" si="1"/>
        <v>Valid</v>
      </c>
    </row>
    <row r="11" spans="1:7" ht="14.4" customHeight="1">
      <c r="A11" t="s">
        <v>31</v>
      </c>
      <c r="B11" t="s">
        <v>32</v>
      </c>
      <c r="C11" t="s">
        <v>27</v>
      </c>
      <c r="D11" t="s">
        <v>28</v>
      </c>
      <c r="E11" s="3">
        <v>44562</v>
      </c>
      <c r="F11" s="3">
        <f t="shared" si="0"/>
        <v>46388</v>
      </c>
      <c r="G11" t="str">
        <f t="shared" ca="1" si="1"/>
        <v>Valid</v>
      </c>
    </row>
    <row r="12" spans="1:7" ht="14.4" customHeight="1">
      <c r="A12" t="s">
        <v>33</v>
      </c>
      <c r="B12" t="s">
        <v>34</v>
      </c>
      <c r="C12" t="s">
        <v>35</v>
      </c>
      <c r="D12" t="s">
        <v>36</v>
      </c>
      <c r="E12" s="3">
        <v>44927</v>
      </c>
      <c r="F12" s="3">
        <f t="shared" si="0"/>
        <v>46753</v>
      </c>
      <c r="G12" t="str">
        <f t="shared" ca="1" si="1"/>
        <v>Valid</v>
      </c>
    </row>
    <row r="13" spans="1:7" ht="14.4" customHeight="1">
      <c r="A13" t="s">
        <v>37</v>
      </c>
      <c r="B13" t="s">
        <v>38</v>
      </c>
      <c r="C13" t="s">
        <v>39</v>
      </c>
      <c r="D13" t="s">
        <v>28</v>
      </c>
      <c r="E13" s="3">
        <v>44501</v>
      </c>
      <c r="F13" s="3">
        <f t="shared" si="0"/>
        <v>46327</v>
      </c>
      <c r="G13" t="str">
        <f t="shared" ca="1" si="1"/>
        <v>Valid</v>
      </c>
    </row>
    <row r="14" spans="1:7" ht="14.4" customHeight="1">
      <c r="A14" t="s">
        <v>40</v>
      </c>
      <c r="B14" t="s">
        <v>41</v>
      </c>
      <c r="C14" t="s">
        <v>39</v>
      </c>
      <c r="D14" t="s">
        <v>28</v>
      </c>
      <c r="E14" s="3">
        <v>44531</v>
      </c>
      <c r="F14" s="3">
        <f t="shared" si="0"/>
        <v>46357</v>
      </c>
      <c r="G14" t="str">
        <f t="shared" ca="1" si="1"/>
        <v>Valid</v>
      </c>
    </row>
    <row r="15" spans="1:7" ht="14.4" customHeight="1">
      <c r="A15" t="s">
        <v>42</v>
      </c>
      <c r="B15" t="s">
        <v>43</v>
      </c>
      <c r="C15" t="s">
        <v>39</v>
      </c>
      <c r="D15" t="s">
        <v>28</v>
      </c>
      <c r="E15" s="3">
        <v>45658</v>
      </c>
      <c r="F15" s="3">
        <f t="shared" si="0"/>
        <v>47484</v>
      </c>
      <c r="G15" t="str">
        <f t="shared" ca="1" si="1"/>
        <v>Valid</v>
      </c>
    </row>
    <row r="16" spans="1:7" ht="14.4" customHeight="1">
      <c r="A16" t="s">
        <v>44</v>
      </c>
      <c r="B16" t="s">
        <v>45</v>
      </c>
      <c r="C16" t="s">
        <v>39</v>
      </c>
      <c r="D16" t="s">
        <v>28</v>
      </c>
      <c r="E16" s="3">
        <v>44470</v>
      </c>
      <c r="F16" s="3">
        <f t="shared" si="0"/>
        <v>46296</v>
      </c>
      <c r="G16" t="str">
        <f t="shared" ca="1" si="1"/>
        <v>Valid</v>
      </c>
    </row>
    <row r="17" spans="1:7" ht="14.4" customHeight="1">
      <c r="A17" t="s">
        <v>46</v>
      </c>
      <c r="B17" t="s">
        <v>47</v>
      </c>
      <c r="C17" t="s">
        <v>39</v>
      </c>
      <c r="D17" t="s">
        <v>28</v>
      </c>
      <c r="E17" s="3">
        <v>44531</v>
      </c>
      <c r="F17" s="3">
        <f t="shared" si="0"/>
        <v>46357</v>
      </c>
      <c r="G17" t="str">
        <f t="shared" ca="1" si="1"/>
        <v>Valid</v>
      </c>
    </row>
    <row r="18" spans="1:7" ht="14.4" customHeight="1">
      <c r="A18" t="s">
        <v>48</v>
      </c>
      <c r="B18" t="s">
        <v>49</v>
      </c>
      <c r="C18" t="s">
        <v>39</v>
      </c>
      <c r="D18" t="s">
        <v>28</v>
      </c>
      <c r="E18" s="3">
        <v>44501</v>
      </c>
      <c r="F18" s="3">
        <f t="shared" si="0"/>
        <v>46327</v>
      </c>
      <c r="G18" t="str">
        <f t="shared" ca="1" si="1"/>
        <v>Valid</v>
      </c>
    </row>
    <row r="19" spans="1:7" ht="14.4" customHeight="1">
      <c r="A19" t="s">
        <v>50</v>
      </c>
      <c r="B19" t="s">
        <v>51</v>
      </c>
      <c r="C19" t="s">
        <v>39</v>
      </c>
      <c r="D19" t="s">
        <v>28</v>
      </c>
      <c r="E19" s="3">
        <v>44531</v>
      </c>
      <c r="F19" s="3">
        <f t="shared" si="0"/>
        <v>46357</v>
      </c>
      <c r="G19" t="str">
        <f t="shared" ca="1" si="1"/>
        <v>Valid</v>
      </c>
    </row>
    <row r="20" spans="1:7" ht="14.4" customHeight="1">
      <c r="A20" t="s">
        <v>52</v>
      </c>
      <c r="B20" t="s">
        <v>53</v>
      </c>
      <c r="C20" t="s">
        <v>39</v>
      </c>
      <c r="D20" t="s">
        <v>28</v>
      </c>
      <c r="E20" s="3">
        <v>44927</v>
      </c>
      <c r="F20" s="3">
        <f t="shared" si="0"/>
        <v>46753</v>
      </c>
      <c r="G20" t="str">
        <f t="shared" ca="1" si="1"/>
        <v>Valid</v>
      </c>
    </row>
    <row r="21" spans="1:7" ht="15.75" customHeight="1">
      <c r="A21" t="s">
        <v>54</v>
      </c>
      <c r="B21" t="s">
        <v>55</v>
      </c>
      <c r="C21" t="s">
        <v>39</v>
      </c>
      <c r="D21" t="s">
        <v>28</v>
      </c>
      <c r="E21" s="3">
        <v>44501</v>
      </c>
      <c r="F21" s="3">
        <f t="shared" si="0"/>
        <v>46327</v>
      </c>
      <c r="G21" t="str">
        <f t="shared" ca="1" si="1"/>
        <v>Valid</v>
      </c>
    </row>
    <row r="22" spans="1:7" ht="15.75" customHeight="1">
      <c r="A22" t="s">
        <v>56</v>
      </c>
      <c r="B22" t="s">
        <v>57</v>
      </c>
      <c r="C22" t="s">
        <v>39</v>
      </c>
      <c r="D22" t="s">
        <v>36</v>
      </c>
      <c r="E22" s="3">
        <v>45658</v>
      </c>
      <c r="F22" s="3">
        <f t="shared" si="0"/>
        <v>47484</v>
      </c>
      <c r="G22" t="str">
        <f t="shared" ca="1" si="1"/>
        <v>Valid</v>
      </c>
    </row>
    <row r="23" spans="1:7" ht="15.75" customHeight="1">
      <c r="A23" t="s">
        <v>58</v>
      </c>
      <c r="B23" t="s">
        <v>59</v>
      </c>
      <c r="C23" t="s">
        <v>39</v>
      </c>
      <c r="D23" t="s">
        <v>28</v>
      </c>
      <c r="E23" s="3">
        <v>45658</v>
      </c>
      <c r="F23" s="3">
        <f t="shared" si="0"/>
        <v>47484</v>
      </c>
      <c r="G23" t="str">
        <f t="shared" ca="1" si="1"/>
        <v>Valid</v>
      </c>
    </row>
    <row r="24" spans="1:7" ht="15.75" customHeight="1">
      <c r="A24" t="s">
        <v>60</v>
      </c>
      <c r="B24" t="s">
        <v>61</v>
      </c>
      <c r="C24" t="s">
        <v>39</v>
      </c>
      <c r="D24" t="s">
        <v>28</v>
      </c>
      <c r="E24" s="3">
        <v>44927</v>
      </c>
      <c r="F24" s="3">
        <f t="shared" si="0"/>
        <v>46753</v>
      </c>
      <c r="G24" t="str">
        <f t="shared" ca="1" si="1"/>
        <v>Valid</v>
      </c>
    </row>
    <row r="25" spans="1:7" ht="15.75" customHeight="1">
      <c r="A25" t="s">
        <v>62</v>
      </c>
      <c r="B25" t="s">
        <v>63</v>
      </c>
      <c r="C25" t="s">
        <v>64</v>
      </c>
      <c r="D25" t="s">
        <v>36</v>
      </c>
      <c r="E25" s="3">
        <v>44562</v>
      </c>
      <c r="F25" s="3">
        <f t="shared" si="0"/>
        <v>46388</v>
      </c>
      <c r="G25" t="str">
        <f t="shared" ca="1" si="1"/>
        <v>Valid</v>
      </c>
    </row>
    <row r="26" spans="1:7" ht="15.75" customHeight="1">
      <c r="A26" t="s">
        <v>65</v>
      </c>
      <c r="B26" t="s">
        <v>66</v>
      </c>
      <c r="C26" t="s">
        <v>67</v>
      </c>
      <c r="D26" t="s">
        <v>28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68</v>
      </c>
      <c r="B27" t="s">
        <v>69</v>
      </c>
      <c r="C27" t="s">
        <v>70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71</v>
      </c>
      <c r="B28" t="s">
        <v>72</v>
      </c>
      <c r="C28" t="s">
        <v>70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73</v>
      </c>
      <c r="B29" t="s">
        <v>74</v>
      </c>
      <c r="C29" t="s">
        <v>70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75</v>
      </c>
      <c r="B30" t="s">
        <v>76</v>
      </c>
      <c r="C30" t="s">
        <v>70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77</v>
      </c>
      <c r="B31" t="s">
        <v>78</v>
      </c>
      <c r="C31" t="s">
        <v>79</v>
      </c>
      <c r="D31" t="s">
        <v>28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80</v>
      </c>
      <c r="B32" t="s">
        <v>81</v>
      </c>
      <c r="C32" t="s">
        <v>82</v>
      </c>
      <c r="D32" t="s">
        <v>83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84</v>
      </c>
      <c r="B33" t="s">
        <v>85</v>
      </c>
      <c r="C33" t="s">
        <v>86</v>
      </c>
      <c r="D33" t="s">
        <v>87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88</v>
      </c>
      <c r="B34" t="s">
        <v>89</v>
      </c>
      <c r="C34" t="s">
        <v>90</v>
      </c>
      <c r="D34" t="s">
        <v>87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91</v>
      </c>
      <c r="B35" t="s">
        <v>92</v>
      </c>
      <c r="C35" t="s">
        <v>93</v>
      </c>
      <c r="D35" t="s">
        <v>87</v>
      </c>
      <c r="E35" s="3">
        <v>44927</v>
      </c>
      <c r="F35" s="3">
        <f t="shared" si="0"/>
        <v>46753</v>
      </c>
      <c r="G35" t="str">
        <f t="shared" ca="1" si="1"/>
        <v>Valid</v>
      </c>
    </row>
    <row r="36" spans="1:7" ht="15.75" customHeight="1">
      <c r="A36" t="s">
        <v>94</v>
      </c>
      <c r="B36" t="s">
        <v>95</v>
      </c>
      <c r="C36" t="s">
        <v>96</v>
      </c>
      <c r="D36" t="s">
        <v>87</v>
      </c>
      <c r="E36" s="3">
        <v>44927</v>
      </c>
      <c r="F36" s="3">
        <f t="shared" si="0"/>
        <v>46753</v>
      </c>
      <c r="G36" t="str">
        <f t="shared" ca="1" si="1"/>
        <v>Valid</v>
      </c>
    </row>
    <row r="37" spans="1:7" ht="15.75" customHeight="1">
      <c r="A37" t="s">
        <v>97</v>
      </c>
      <c r="B37" t="s">
        <v>98</v>
      </c>
      <c r="C37" t="s">
        <v>99</v>
      </c>
      <c r="D37" t="s">
        <v>87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100</v>
      </c>
      <c r="B38" t="s">
        <v>101</v>
      </c>
      <c r="C38" t="s">
        <v>102</v>
      </c>
      <c r="D38" t="s">
        <v>87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103</v>
      </c>
      <c r="B39" t="s">
        <v>104</v>
      </c>
      <c r="C39" t="s">
        <v>105</v>
      </c>
      <c r="D39" t="s">
        <v>87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106</v>
      </c>
      <c r="B40" t="s">
        <v>107</v>
      </c>
      <c r="C40" t="s">
        <v>11</v>
      </c>
      <c r="D40" t="s">
        <v>87</v>
      </c>
      <c r="E40" s="3">
        <v>45292</v>
      </c>
      <c r="F40" s="3">
        <f t="shared" si="0"/>
        <v>47119</v>
      </c>
      <c r="G40" t="str">
        <f t="shared" ca="1" si="1"/>
        <v>Valid</v>
      </c>
    </row>
    <row r="41" spans="1:7" ht="15.75" customHeight="1">
      <c r="A41" t="s">
        <v>108</v>
      </c>
      <c r="B41" t="s">
        <v>109</v>
      </c>
      <c r="C41" t="s">
        <v>110</v>
      </c>
      <c r="D41" t="s">
        <v>87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111</v>
      </c>
      <c r="B42" t="s">
        <v>112</v>
      </c>
      <c r="C42" t="s">
        <v>110</v>
      </c>
      <c r="D42" t="s">
        <v>87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113</v>
      </c>
      <c r="B43" t="s">
        <v>114</v>
      </c>
      <c r="C43" t="s">
        <v>110</v>
      </c>
      <c r="D43" t="s">
        <v>87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115</v>
      </c>
      <c r="B44" t="s">
        <v>116</v>
      </c>
      <c r="C44" t="s">
        <v>110</v>
      </c>
      <c r="D44" t="s">
        <v>87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117</v>
      </c>
      <c r="B45" t="s">
        <v>118</v>
      </c>
      <c r="C45" t="s">
        <v>39</v>
      </c>
      <c r="D45" t="s">
        <v>12</v>
      </c>
      <c r="E45" s="3">
        <v>44409</v>
      </c>
      <c r="F45" s="3">
        <f t="shared" si="0"/>
        <v>46235</v>
      </c>
      <c r="G45" t="str">
        <f t="shared" ca="1" si="1"/>
        <v>Due</v>
      </c>
    </row>
    <row r="46" spans="1:7" ht="15.75" customHeight="1">
      <c r="A46" t="s">
        <v>119</v>
      </c>
      <c r="B46" t="s">
        <v>120</v>
      </c>
      <c r="C46" t="s">
        <v>64</v>
      </c>
      <c r="D46" t="s">
        <v>12</v>
      </c>
      <c r="E46" s="3">
        <v>44562</v>
      </c>
      <c r="F46" s="3">
        <f t="shared" si="0"/>
        <v>46388</v>
      </c>
      <c r="G46" t="str">
        <f t="shared" ca="1" si="1"/>
        <v>Valid</v>
      </c>
    </row>
    <row r="47" spans="1:7" ht="15.75" customHeight="1">
      <c r="A47" t="s">
        <v>121</v>
      </c>
      <c r="B47" t="s">
        <v>122</v>
      </c>
      <c r="C47" t="s">
        <v>123</v>
      </c>
      <c r="D47" t="s">
        <v>12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124</v>
      </c>
      <c r="B48" t="s">
        <v>125</v>
      </c>
      <c r="C48" t="s">
        <v>11</v>
      </c>
      <c r="D48" t="s">
        <v>126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127</v>
      </c>
      <c r="B49" t="s">
        <v>128</v>
      </c>
      <c r="C49" t="s">
        <v>11</v>
      </c>
      <c r="D49" t="s">
        <v>12</v>
      </c>
      <c r="F49" s="3" t="str">
        <f t="shared" si="0"/>
        <v/>
      </c>
      <c r="G49" t="e">
        <f t="shared" ca="1" si="1"/>
        <v>#VALUE!</v>
      </c>
    </row>
    <row r="50" spans="1:7" ht="15.75" customHeight="1">
      <c r="A50" t="s">
        <v>129</v>
      </c>
      <c r="B50" t="s">
        <v>130</v>
      </c>
      <c r="C50" t="s">
        <v>123</v>
      </c>
      <c r="D50" t="s">
        <v>131</v>
      </c>
      <c r="E50" s="3">
        <v>44562</v>
      </c>
      <c r="F50" s="3">
        <f t="shared" si="0"/>
        <v>46388</v>
      </c>
      <c r="G50" t="str">
        <f t="shared" ca="1" si="1"/>
        <v>Valid</v>
      </c>
    </row>
    <row r="51" spans="1:7" ht="15.75" customHeight="1">
      <c r="A51" t="s">
        <v>132</v>
      </c>
      <c r="B51" t="s">
        <v>133</v>
      </c>
      <c r="C51" t="s">
        <v>93</v>
      </c>
      <c r="D51" t="s">
        <v>131</v>
      </c>
      <c r="F51" s="3" t="str">
        <f t="shared" si="0"/>
        <v/>
      </c>
      <c r="G51" t="e">
        <f t="shared" ca="1" si="1"/>
        <v>#VALUE!</v>
      </c>
    </row>
    <row r="52" spans="1:7" ht="15.75" customHeight="1">
      <c r="A52" t="s">
        <v>134</v>
      </c>
      <c r="B52" t="s">
        <v>135</v>
      </c>
      <c r="C52" t="s">
        <v>136</v>
      </c>
      <c r="D52" t="s">
        <v>131</v>
      </c>
      <c r="E52" s="3">
        <v>44470</v>
      </c>
      <c r="F52" s="3">
        <f t="shared" si="0"/>
        <v>46296</v>
      </c>
      <c r="G52" t="str">
        <f t="shared" ca="1" si="1"/>
        <v>Valid</v>
      </c>
    </row>
    <row r="53" spans="1:7" ht="15.75" customHeight="1">
      <c r="A53" t="s">
        <v>137</v>
      </c>
      <c r="B53" t="s">
        <v>138</v>
      </c>
      <c r="C53" t="s">
        <v>139</v>
      </c>
      <c r="D53" t="s">
        <v>131</v>
      </c>
      <c r="E53" s="3">
        <v>44562</v>
      </c>
      <c r="F53" s="3">
        <f t="shared" si="0"/>
        <v>46388</v>
      </c>
      <c r="G53" t="str">
        <f t="shared" ca="1" si="1"/>
        <v>Valid</v>
      </c>
    </row>
    <row r="54" spans="1:7" ht="15.75" customHeight="1">
      <c r="A54" t="s">
        <v>140</v>
      </c>
      <c r="B54" t="s">
        <v>141</v>
      </c>
      <c r="C54" t="s">
        <v>82</v>
      </c>
      <c r="D54" t="s">
        <v>131</v>
      </c>
      <c r="E54" s="3">
        <v>45658</v>
      </c>
      <c r="F54" s="3">
        <f t="shared" si="0"/>
        <v>47484</v>
      </c>
      <c r="G54" t="str">
        <f t="shared" ca="1" si="1"/>
        <v>Valid</v>
      </c>
    </row>
    <row r="55" spans="1:7" ht="15.75" customHeight="1">
      <c r="A55" t="s">
        <v>142</v>
      </c>
      <c r="B55" t="s">
        <v>143</v>
      </c>
      <c r="C55" t="s">
        <v>144</v>
      </c>
      <c r="D55" t="s">
        <v>131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145</v>
      </c>
      <c r="B56" t="s">
        <v>146</v>
      </c>
      <c r="C56" t="s">
        <v>144</v>
      </c>
      <c r="D56" t="s">
        <v>131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147</v>
      </c>
      <c r="B57" t="s">
        <v>148</v>
      </c>
      <c r="C57" t="s">
        <v>79</v>
      </c>
      <c r="D57" t="s">
        <v>131</v>
      </c>
      <c r="F57" s="3" t="str">
        <f t="shared" si="0"/>
        <v/>
      </c>
      <c r="G57" t="e">
        <f t="shared" ca="1" si="1"/>
        <v>#VALUE!</v>
      </c>
    </row>
    <row r="58" spans="1:7" ht="15.75" customHeight="1">
      <c r="A58" t="s">
        <v>149</v>
      </c>
      <c r="B58" t="s">
        <v>150</v>
      </c>
      <c r="C58" t="s">
        <v>151</v>
      </c>
      <c r="D58" t="s">
        <v>152</v>
      </c>
      <c r="E58" s="3">
        <v>44562</v>
      </c>
      <c r="F58" s="3">
        <f t="shared" si="0"/>
        <v>46388</v>
      </c>
      <c r="G58" t="str">
        <f t="shared" ca="1" si="1"/>
        <v>Valid</v>
      </c>
    </row>
    <row r="59" spans="1:7" ht="15.75" customHeight="1">
      <c r="A59" t="s">
        <v>153</v>
      </c>
      <c r="B59" t="s">
        <v>154</v>
      </c>
      <c r="C59" t="s">
        <v>155</v>
      </c>
      <c r="D59" t="s">
        <v>152</v>
      </c>
      <c r="E59" s="3">
        <v>44470</v>
      </c>
      <c r="F59" s="3">
        <f t="shared" si="0"/>
        <v>46296</v>
      </c>
      <c r="G59" t="str">
        <f t="shared" ca="1" si="1"/>
        <v>Valid</v>
      </c>
    </row>
    <row r="60" spans="1:7" ht="15.75" customHeight="1">
      <c r="A60" t="s">
        <v>156</v>
      </c>
      <c r="B60" t="s">
        <v>157</v>
      </c>
      <c r="C60" t="s">
        <v>155</v>
      </c>
      <c r="D60" t="s">
        <v>152</v>
      </c>
      <c r="E60" s="3">
        <v>44562</v>
      </c>
      <c r="F60" s="3">
        <f t="shared" si="0"/>
        <v>46388</v>
      </c>
      <c r="G60" t="str">
        <f t="shared" ca="1" si="1"/>
        <v>Valid</v>
      </c>
    </row>
    <row r="61" spans="1:7" ht="15.75" customHeight="1">
      <c r="A61" t="s">
        <v>158</v>
      </c>
      <c r="B61" t="s">
        <v>159</v>
      </c>
      <c r="C61" t="s">
        <v>39</v>
      </c>
      <c r="D61" t="s">
        <v>152</v>
      </c>
      <c r="E61" s="3">
        <v>44531</v>
      </c>
      <c r="F61" s="3">
        <f t="shared" si="0"/>
        <v>46357</v>
      </c>
      <c r="G61" t="str">
        <f t="shared" ca="1" si="1"/>
        <v>Valid</v>
      </c>
    </row>
    <row r="62" spans="1:7" ht="15.75" customHeight="1">
      <c r="A62" t="s">
        <v>160</v>
      </c>
      <c r="B62" t="s">
        <v>161</v>
      </c>
      <c r="C62" t="s">
        <v>39</v>
      </c>
      <c r="D62" t="s">
        <v>152</v>
      </c>
      <c r="E62" s="3">
        <v>44409</v>
      </c>
      <c r="F62" s="3">
        <f t="shared" si="0"/>
        <v>46235</v>
      </c>
      <c r="G62" t="str">
        <f t="shared" ca="1" si="1"/>
        <v>Due</v>
      </c>
    </row>
    <row r="63" spans="1:7" ht="15.75" customHeight="1">
      <c r="A63" t="s">
        <v>162</v>
      </c>
      <c r="B63" t="s">
        <v>163</v>
      </c>
      <c r="C63" t="s">
        <v>139</v>
      </c>
      <c r="D63" t="s">
        <v>152</v>
      </c>
      <c r="E63" s="3">
        <v>44927</v>
      </c>
      <c r="F63" s="3">
        <f t="shared" si="0"/>
        <v>46753</v>
      </c>
      <c r="G63" t="str">
        <f t="shared" ca="1" si="1"/>
        <v>Valid</v>
      </c>
    </row>
    <row r="64" spans="1:7" ht="15.75" customHeight="1">
      <c r="A64" t="s">
        <v>164</v>
      </c>
      <c r="B64" t="s">
        <v>165</v>
      </c>
      <c r="C64" t="s">
        <v>139</v>
      </c>
      <c r="D64" t="s">
        <v>152</v>
      </c>
      <c r="E64" s="3">
        <v>45292</v>
      </c>
      <c r="F64" s="3">
        <f t="shared" si="0"/>
        <v>47119</v>
      </c>
      <c r="G64" t="str">
        <f t="shared" ca="1" si="1"/>
        <v>Valid</v>
      </c>
    </row>
    <row r="65" spans="1:7" ht="15.75" customHeight="1">
      <c r="A65" t="s">
        <v>166</v>
      </c>
      <c r="B65" t="s">
        <v>167</v>
      </c>
      <c r="C65" t="s">
        <v>168</v>
      </c>
      <c r="D65" t="s">
        <v>152</v>
      </c>
      <c r="E65" s="3">
        <v>45292</v>
      </c>
      <c r="F65" s="3">
        <f t="shared" si="0"/>
        <v>47119</v>
      </c>
      <c r="G65" t="str">
        <f t="shared" ca="1" si="1"/>
        <v>Valid</v>
      </c>
    </row>
    <row r="66" spans="1:7" ht="15.75" customHeight="1">
      <c r="A66" t="s">
        <v>169</v>
      </c>
      <c r="B66" t="s">
        <v>170</v>
      </c>
      <c r="C66" t="s">
        <v>171</v>
      </c>
      <c r="D66" t="s">
        <v>152</v>
      </c>
      <c r="E66" s="3">
        <v>44927</v>
      </c>
      <c r="F66" s="3">
        <f t="shared" si="0"/>
        <v>46753</v>
      </c>
      <c r="G66" t="str">
        <f t="shared" ca="1" si="1"/>
        <v>Valid</v>
      </c>
    </row>
    <row r="67" spans="1:7" ht="15.75" customHeight="1">
      <c r="A67" t="s">
        <v>172</v>
      </c>
      <c r="B67" t="s">
        <v>173</v>
      </c>
      <c r="C67" t="s">
        <v>174</v>
      </c>
      <c r="D67" t="s">
        <v>152</v>
      </c>
      <c r="F67" s="3" t="str">
        <f t="shared" si="0"/>
        <v/>
      </c>
      <c r="G67" t="e">
        <f t="shared" ca="1" si="1"/>
        <v>#VALUE!</v>
      </c>
    </row>
    <row r="68" spans="1:7" ht="15.75" customHeight="1">
      <c r="A68" t="s">
        <v>175</v>
      </c>
      <c r="B68" t="s">
        <v>176</v>
      </c>
      <c r="C68" t="s">
        <v>177</v>
      </c>
      <c r="D68" t="s">
        <v>152</v>
      </c>
      <c r="E68" s="3">
        <v>44470</v>
      </c>
      <c r="F68" s="3">
        <f t="shared" ref="F68:F131" si="2">IF(ISBLANK(E68), "", EDATE(E68, 60))</f>
        <v>46296</v>
      </c>
      <c r="G68" t="str">
        <f t="shared" ref="G68:G131" ca="1" si="3">IF(ISBLANK(F68), "", IF(TODAY()&gt;=EDATE(F68, -1), "Due", "Valid"))</f>
        <v>Valid</v>
      </c>
    </row>
    <row r="69" spans="1:7" ht="15.75" customHeight="1">
      <c r="A69" t="s">
        <v>178</v>
      </c>
      <c r="B69" t="s">
        <v>179</v>
      </c>
      <c r="C69" t="s">
        <v>177</v>
      </c>
      <c r="D69" t="s">
        <v>152</v>
      </c>
      <c r="E69" s="3">
        <v>44562</v>
      </c>
      <c r="F69" s="3">
        <f t="shared" si="2"/>
        <v>46388</v>
      </c>
      <c r="G69" t="str">
        <f t="shared" ca="1" si="3"/>
        <v>Valid</v>
      </c>
    </row>
    <row r="70" spans="1:7" ht="15.75" customHeight="1">
      <c r="A70" t="s">
        <v>180</v>
      </c>
      <c r="B70" t="s">
        <v>181</v>
      </c>
      <c r="C70" t="s">
        <v>39</v>
      </c>
      <c r="D70" t="s">
        <v>152</v>
      </c>
      <c r="E70" s="3">
        <v>44531</v>
      </c>
      <c r="F70" s="3">
        <f t="shared" si="2"/>
        <v>46357</v>
      </c>
      <c r="G70" t="str">
        <f t="shared" ca="1" si="3"/>
        <v>Valid</v>
      </c>
    </row>
    <row r="71" spans="1:7" ht="15.75" customHeight="1">
      <c r="A71" t="s">
        <v>182</v>
      </c>
      <c r="B71" t="s">
        <v>183</v>
      </c>
      <c r="C71" t="s">
        <v>39</v>
      </c>
      <c r="D71" t="s">
        <v>152</v>
      </c>
      <c r="E71" s="3">
        <v>45658</v>
      </c>
      <c r="F71" s="3">
        <f t="shared" si="2"/>
        <v>47484</v>
      </c>
      <c r="G71" t="str">
        <f t="shared" ca="1" si="3"/>
        <v>Valid</v>
      </c>
    </row>
    <row r="72" spans="1:7" ht="15.75" customHeight="1">
      <c r="A72" t="s">
        <v>184</v>
      </c>
      <c r="B72" t="s">
        <v>185</v>
      </c>
      <c r="C72" t="s">
        <v>39</v>
      </c>
      <c r="D72" t="s">
        <v>152</v>
      </c>
      <c r="E72" s="3">
        <v>44531</v>
      </c>
      <c r="F72" s="3">
        <f t="shared" si="2"/>
        <v>46357</v>
      </c>
      <c r="G72" t="str">
        <f t="shared" ca="1" si="3"/>
        <v>Valid</v>
      </c>
    </row>
    <row r="73" spans="1:7" ht="15.75" customHeight="1">
      <c r="A73" t="s">
        <v>186</v>
      </c>
      <c r="B73" t="s">
        <v>187</v>
      </c>
      <c r="C73" t="s">
        <v>39</v>
      </c>
      <c r="D73" t="s">
        <v>152</v>
      </c>
      <c r="E73" s="3">
        <v>44531</v>
      </c>
      <c r="F73" s="3">
        <f t="shared" si="2"/>
        <v>46357</v>
      </c>
      <c r="G73" t="str">
        <f t="shared" ca="1" si="3"/>
        <v>Valid</v>
      </c>
    </row>
    <row r="74" spans="1:7" ht="15.75" customHeight="1">
      <c r="A74" t="s">
        <v>188</v>
      </c>
      <c r="B74" t="s">
        <v>189</v>
      </c>
      <c r="C74" t="s">
        <v>39</v>
      </c>
      <c r="D74" t="s">
        <v>152</v>
      </c>
      <c r="E74" s="3">
        <v>44531</v>
      </c>
      <c r="F74" s="3">
        <f t="shared" si="2"/>
        <v>46357</v>
      </c>
      <c r="G74" t="str">
        <f t="shared" ca="1" si="3"/>
        <v>Valid</v>
      </c>
    </row>
    <row r="75" spans="1:7" ht="15.75" customHeight="1">
      <c r="A75" t="s">
        <v>190</v>
      </c>
      <c r="B75" t="s">
        <v>191</v>
      </c>
      <c r="C75" t="s">
        <v>39</v>
      </c>
      <c r="D75" t="s">
        <v>152</v>
      </c>
      <c r="E75" s="3">
        <v>44562</v>
      </c>
      <c r="F75" s="3">
        <f t="shared" si="2"/>
        <v>46388</v>
      </c>
      <c r="G75" t="str">
        <f t="shared" ca="1" si="3"/>
        <v>Valid</v>
      </c>
    </row>
    <row r="76" spans="1:7" ht="15.75" customHeight="1">
      <c r="A76" t="s">
        <v>192</v>
      </c>
      <c r="B76" t="s">
        <v>193</v>
      </c>
      <c r="C76" t="s">
        <v>39</v>
      </c>
      <c r="D76" t="s">
        <v>152</v>
      </c>
      <c r="E76" s="3">
        <v>44562</v>
      </c>
      <c r="F76" s="3">
        <f t="shared" si="2"/>
        <v>46388</v>
      </c>
      <c r="G76" t="str">
        <f t="shared" ca="1" si="3"/>
        <v>Valid</v>
      </c>
    </row>
    <row r="77" spans="1:7" ht="15.75" customHeight="1">
      <c r="A77" t="s">
        <v>194</v>
      </c>
      <c r="B77" t="s">
        <v>195</v>
      </c>
      <c r="C77" t="s">
        <v>39</v>
      </c>
      <c r="D77" t="s">
        <v>152</v>
      </c>
      <c r="E77" s="3">
        <v>44409</v>
      </c>
      <c r="F77" s="3">
        <f t="shared" si="2"/>
        <v>46235</v>
      </c>
      <c r="G77" t="str">
        <f t="shared" ca="1" si="3"/>
        <v>Due</v>
      </c>
    </row>
    <row r="78" spans="1:7" ht="15.75" customHeight="1">
      <c r="A78" t="s">
        <v>196</v>
      </c>
      <c r="B78" t="s">
        <v>197</v>
      </c>
      <c r="C78" t="s">
        <v>39</v>
      </c>
      <c r="D78" t="s">
        <v>152</v>
      </c>
      <c r="E78" s="3">
        <v>44501</v>
      </c>
      <c r="F78" s="3">
        <f t="shared" si="2"/>
        <v>46327</v>
      </c>
      <c r="G78" t="str">
        <f t="shared" ca="1" si="3"/>
        <v>Valid</v>
      </c>
    </row>
    <row r="79" spans="1:7" ht="15.75" customHeight="1">
      <c r="A79" t="s">
        <v>198</v>
      </c>
      <c r="B79" t="s">
        <v>199</v>
      </c>
      <c r="C79" t="s">
        <v>39</v>
      </c>
      <c r="D79" t="s">
        <v>152</v>
      </c>
      <c r="E79" s="3">
        <v>44409</v>
      </c>
      <c r="F79" s="3">
        <f t="shared" si="2"/>
        <v>46235</v>
      </c>
      <c r="G79" t="str">
        <f t="shared" ca="1" si="3"/>
        <v>Due</v>
      </c>
    </row>
    <row r="80" spans="1:7" ht="15.75" customHeight="1">
      <c r="A80" t="s">
        <v>200</v>
      </c>
      <c r="B80" t="s">
        <v>201</v>
      </c>
      <c r="C80" t="s">
        <v>39</v>
      </c>
      <c r="D80" t="s">
        <v>152</v>
      </c>
      <c r="E80" s="3">
        <v>44562</v>
      </c>
      <c r="F80" s="3">
        <f t="shared" si="2"/>
        <v>46388</v>
      </c>
      <c r="G80" t="str">
        <f t="shared" ca="1" si="3"/>
        <v>Valid</v>
      </c>
    </row>
    <row r="81" spans="1:7" ht="15.75" customHeight="1">
      <c r="A81" t="s">
        <v>202</v>
      </c>
      <c r="B81" t="s">
        <v>203</v>
      </c>
      <c r="C81" t="s">
        <v>39</v>
      </c>
      <c r="D81" t="s">
        <v>152</v>
      </c>
      <c r="E81" s="3">
        <v>44470</v>
      </c>
      <c r="F81" s="3">
        <f t="shared" si="2"/>
        <v>46296</v>
      </c>
      <c r="G81" t="str">
        <f t="shared" ca="1" si="3"/>
        <v>Valid</v>
      </c>
    </row>
    <row r="82" spans="1:7" ht="15.75" customHeight="1">
      <c r="A82" t="s">
        <v>204</v>
      </c>
      <c r="B82" t="s">
        <v>205</v>
      </c>
      <c r="C82" t="s">
        <v>39</v>
      </c>
      <c r="D82" t="s">
        <v>152</v>
      </c>
      <c r="E82" s="3">
        <v>44470</v>
      </c>
      <c r="F82" s="3">
        <f t="shared" si="2"/>
        <v>46296</v>
      </c>
      <c r="G82" t="str">
        <f t="shared" ca="1" si="3"/>
        <v>Valid</v>
      </c>
    </row>
    <row r="83" spans="1:7" ht="15.75" customHeight="1">
      <c r="A83" t="s">
        <v>206</v>
      </c>
      <c r="B83" t="s">
        <v>207</v>
      </c>
      <c r="C83" t="s">
        <v>39</v>
      </c>
      <c r="D83" t="s">
        <v>152</v>
      </c>
      <c r="E83" s="3">
        <v>45658</v>
      </c>
      <c r="F83" s="3">
        <f t="shared" si="2"/>
        <v>47484</v>
      </c>
      <c r="G83" t="str">
        <f t="shared" ca="1" si="3"/>
        <v>Valid</v>
      </c>
    </row>
    <row r="84" spans="1:7" ht="15.75" customHeight="1">
      <c r="A84" t="s">
        <v>208</v>
      </c>
      <c r="B84" t="s">
        <v>209</v>
      </c>
      <c r="C84" t="s">
        <v>39</v>
      </c>
      <c r="D84" t="s">
        <v>152</v>
      </c>
      <c r="E84" s="3">
        <v>44501</v>
      </c>
      <c r="F84" s="3">
        <f t="shared" si="2"/>
        <v>46327</v>
      </c>
      <c r="G84" t="str">
        <f t="shared" ca="1" si="3"/>
        <v>Valid</v>
      </c>
    </row>
    <row r="85" spans="1:7" ht="15.75" customHeight="1">
      <c r="A85" t="s">
        <v>210</v>
      </c>
      <c r="B85" t="s">
        <v>211</v>
      </c>
      <c r="C85" t="s">
        <v>39</v>
      </c>
      <c r="D85" t="s">
        <v>152</v>
      </c>
      <c r="E85" s="3">
        <v>44562</v>
      </c>
      <c r="F85" s="3">
        <f t="shared" si="2"/>
        <v>46388</v>
      </c>
      <c r="G85" t="str">
        <f t="shared" ca="1" si="3"/>
        <v>Valid</v>
      </c>
    </row>
    <row r="86" spans="1:7" ht="15.75" customHeight="1">
      <c r="A86" t="s">
        <v>212</v>
      </c>
      <c r="B86" t="s">
        <v>213</v>
      </c>
      <c r="C86" t="s">
        <v>39</v>
      </c>
      <c r="D86" t="s">
        <v>152</v>
      </c>
      <c r="E86" s="3">
        <v>44562</v>
      </c>
      <c r="F86" s="3">
        <f t="shared" si="2"/>
        <v>46388</v>
      </c>
      <c r="G86" t="str">
        <f t="shared" ca="1" si="3"/>
        <v>Valid</v>
      </c>
    </row>
    <row r="87" spans="1:7" ht="15.75" customHeight="1">
      <c r="A87" t="s">
        <v>214</v>
      </c>
      <c r="B87" t="s">
        <v>215</v>
      </c>
      <c r="C87" t="s">
        <v>39</v>
      </c>
      <c r="D87" t="s">
        <v>152</v>
      </c>
      <c r="E87" s="3">
        <v>45658</v>
      </c>
      <c r="F87" s="3">
        <f t="shared" si="2"/>
        <v>47484</v>
      </c>
      <c r="G87" t="str">
        <f t="shared" ca="1" si="3"/>
        <v>Valid</v>
      </c>
    </row>
    <row r="88" spans="1:7" ht="15.75" customHeight="1">
      <c r="A88" t="s">
        <v>216</v>
      </c>
      <c r="B88" t="s">
        <v>217</v>
      </c>
      <c r="C88" t="s">
        <v>39</v>
      </c>
      <c r="D88" t="s">
        <v>152</v>
      </c>
      <c r="E88" s="3">
        <v>44562</v>
      </c>
      <c r="F88" s="3">
        <f t="shared" si="2"/>
        <v>46388</v>
      </c>
      <c r="G88" t="str">
        <f t="shared" ca="1" si="3"/>
        <v>Valid</v>
      </c>
    </row>
    <row r="89" spans="1:7" ht="15.75" customHeight="1">
      <c r="A89" t="s">
        <v>218</v>
      </c>
      <c r="B89" t="s">
        <v>219</v>
      </c>
      <c r="C89" t="s">
        <v>39</v>
      </c>
      <c r="D89" t="s">
        <v>152</v>
      </c>
      <c r="E89" s="3">
        <v>44562</v>
      </c>
      <c r="F89" s="3">
        <f t="shared" si="2"/>
        <v>46388</v>
      </c>
      <c r="G89" t="str">
        <f t="shared" ca="1" si="3"/>
        <v>Valid</v>
      </c>
    </row>
    <row r="90" spans="1:7" ht="15.75" customHeight="1">
      <c r="A90" t="s">
        <v>220</v>
      </c>
      <c r="B90" t="s">
        <v>221</v>
      </c>
      <c r="C90" t="s">
        <v>39</v>
      </c>
      <c r="D90" t="s">
        <v>152</v>
      </c>
      <c r="E90" s="3">
        <v>44562</v>
      </c>
      <c r="F90" s="3">
        <f t="shared" si="2"/>
        <v>46388</v>
      </c>
      <c r="G90" t="str">
        <f t="shared" ca="1" si="3"/>
        <v>Valid</v>
      </c>
    </row>
    <row r="91" spans="1:7" ht="15.75" customHeight="1">
      <c r="A91" t="s">
        <v>222</v>
      </c>
      <c r="B91" t="s">
        <v>223</v>
      </c>
      <c r="C91" t="s">
        <v>39</v>
      </c>
      <c r="D91" t="s">
        <v>152</v>
      </c>
      <c r="E91" s="3">
        <v>44927</v>
      </c>
      <c r="F91" s="3">
        <f t="shared" si="2"/>
        <v>46753</v>
      </c>
      <c r="G91" t="str">
        <f t="shared" ca="1" si="3"/>
        <v>Valid</v>
      </c>
    </row>
    <row r="92" spans="1:7" ht="15.75" customHeight="1">
      <c r="A92" t="s">
        <v>224</v>
      </c>
      <c r="B92" t="s">
        <v>225</v>
      </c>
      <c r="C92" t="s">
        <v>39</v>
      </c>
      <c r="D92" t="s">
        <v>152</v>
      </c>
      <c r="E92" s="3">
        <v>45658</v>
      </c>
      <c r="F92" s="3">
        <f t="shared" si="2"/>
        <v>47484</v>
      </c>
      <c r="G92" t="str">
        <f t="shared" ca="1" si="3"/>
        <v>Valid</v>
      </c>
    </row>
    <row r="93" spans="1:7" ht="15.75" customHeight="1">
      <c r="A93" t="s">
        <v>226</v>
      </c>
      <c r="B93" t="s">
        <v>227</v>
      </c>
      <c r="C93" t="s">
        <v>139</v>
      </c>
      <c r="D93" t="s">
        <v>152</v>
      </c>
      <c r="E93" s="3">
        <v>45292</v>
      </c>
      <c r="F93" s="3">
        <f t="shared" si="2"/>
        <v>47119</v>
      </c>
      <c r="G93" t="str">
        <f t="shared" ca="1" si="3"/>
        <v>Valid</v>
      </c>
    </row>
    <row r="94" spans="1:7" ht="15.75" customHeight="1">
      <c r="A94" t="s">
        <v>228</v>
      </c>
      <c r="B94" t="s">
        <v>229</v>
      </c>
      <c r="C94" t="s">
        <v>139</v>
      </c>
      <c r="D94" t="s">
        <v>152</v>
      </c>
      <c r="E94" s="3">
        <v>45292</v>
      </c>
      <c r="F94" s="3">
        <f t="shared" si="2"/>
        <v>47119</v>
      </c>
      <c r="G94" t="str">
        <f t="shared" ca="1" si="3"/>
        <v>Valid</v>
      </c>
    </row>
    <row r="95" spans="1:7" ht="15.75" customHeight="1">
      <c r="A95" t="s">
        <v>230</v>
      </c>
      <c r="B95" t="s">
        <v>231</v>
      </c>
      <c r="C95" t="s">
        <v>139</v>
      </c>
      <c r="D95" t="s">
        <v>152</v>
      </c>
      <c r="E95" s="3">
        <v>44409</v>
      </c>
      <c r="F95" s="3">
        <f t="shared" si="2"/>
        <v>46235</v>
      </c>
      <c r="G95" t="str">
        <f t="shared" ca="1" si="3"/>
        <v>Due</v>
      </c>
    </row>
    <row r="96" spans="1:7" ht="15.75" customHeight="1">
      <c r="A96" t="s">
        <v>232</v>
      </c>
      <c r="B96" t="s">
        <v>233</v>
      </c>
      <c r="C96" t="s">
        <v>139</v>
      </c>
      <c r="D96" t="s">
        <v>152</v>
      </c>
      <c r="E96" s="3">
        <v>44927</v>
      </c>
      <c r="F96" s="3">
        <f t="shared" si="2"/>
        <v>46753</v>
      </c>
      <c r="G96" t="str">
        <f t="shared" ca="1" si="3"/>
        <v>Valid</v>
      </c>
    </row>
    <row r="97" spans="1:7" ht="15.75" customHeight="1">
      <c r="A97" t="s">
        <v>234</v>
      </c>
      <c r="B97" t="s">
        <v>235</v>
      </c>
      <c r="C97" t="s">
        <v>64</v>
      </c>
      <c r="D97" t="s">
        <v>152</v>
      </c>
      <c r="E97" s="3">
        <v>45658</v>
      </c>
      <c r="F97" s="3">
        <f t="shared" si="2"/>
        <v>47484</v>
      </c>
      <c r="G97" t="str">
        <f t="shared" ca="1" si="3"/>
        <v>Valid</v>
      </c>
    </row>
    <row r="98" spans="1:7" ht="15.75" customHeight="1">
      <c r="A98" t="s">
        <v>236</v>
      </c>
      <c r="B98" t="s">
        <v>237</v>
      </c>
      <c r="C98" t="s">
        <v>64</v>
      </c>
      <c r="D98" t="s">
        <v>152</v>
      </c>
      <c r="E98" s="3">
        <v>44562</v>
      </c>
      <c r="F98" s="3">
        <f t="shared" si="2"/>
        <v>46388</v>
      </c>
      <c r="G98" t="str">
        <f t="shared" ca="1" si="3"/>
        <v>Valid</v>
      </c>
    </row>
    <row r="99" spans="1:7" ht="15.75" customHeight="1">
      <c r="A99" t="s">
        <v>238</v>
      </c>
      <c r="B99" t="s">
        <v>239</v>
      </c>
      <c r="C99" t="s">
        <v>240</v>
      </c>
      <c r="D99" t="s">
        <v>152</v>
      </c>
      <c r="E99" s="3">
        <v>44927</v>
      </c>
      <c r="F99" s="3">
        <f t="shared" si="2"/>
        <v>46753</v>
      </c>
      <c r="G99" t="str">
        <f t="shared" ca="1" si="3"/>
        <v>Valid</v>
      </c>
    </row>
    <row r="100" spans="1:7" ht="15.75" customHeight="1">
      <c r="A100" t="s">
        <v>241</v>
      </c>
      <c r="B100" t="s">
        <v>242</v>
      </c>
      <c r="C100" t="s">
        <v>11</v>
      </c>
      <c r="D100" t="s">
        <v>152</v>
      </c>
      <c r="E100" s="3">
        <v>45658</v>
      </c>
      <c r="F100" s="3">
        <f t="shared" si="2"/>
        <v>47484</v>
      </c>
      <c r="G100" t="str">
        <f t="shared" ca="1" si="3"/>
        <v>Valid</v>
      </c>
    </row>
    <row r="101" spans="1:7" ht="15.75" customHeight="1">
      <c r="A101" t="s">
        <v>243</v>
      </c>
      <c r="B101" t="s">
        <v>244</v>
      </c>
      <c r="C101" t="s">
        <v>11</v>
      </c>
      <c r="D101" t="s">
        <v>152</v>
      </c>
      <c r="E101" s="3">
        <v>45658</v>
      </c>
      <c r="F101" s="3">
        <f t="shared" si="2"/>
        <v>47484</v>
      </c>
      <c r="G101" t="str">
        <f t="shared" ca="1" si="3"/>
        <v>Valid</v>
      </c>
    </row>
    <row r="102" spans="1:7" ht="15.75" customHeight="1">
      <c r="A102" t="s">
        <v>245</v>
      </c>
      <c r="B102" t="s">
        <v>246</v>
      </c>
      <c r="C102" t="s">
        <v>11</v>
      </c>
      <c r="D102" t="s">
        <v>152</v>
      </c>
      <c r="E102" s="3">
        <v>45658</v>
      </c>
      <c r="F102" s="3">
        <f t="shared" si="2"/>
        <v>47484</v>
      </c>
      <c r="G102" t="str">
        <f t="shared" ca="1" si="3"/>
        <v>Valid</v>
      </c>
    </row>
    <row r="103" spans="1:7" ht="15.75" customHeight="1">
      <c r="A103" t="s">
        <v>247</v>
      </c>
      <c r="B103" t="s">
        <v>248</v>
      </c>
      <c r="C103" t="s">
        <v>11</v>
      </c>
      <c r="D103" t="s">
        <v>152</v>
      </c>
      <c r="E103" s="3">
        <v>44317</v>
      </c>
      <c r="F103" s="3">
        <f t="shared" si="2"/>
        <v>46143</v>
      </c>
      <c r="G103" t="str">
        <f t="shared" ca="1" si="3"/>
        <v>Due</v>
      </c>
    </row>
    <row r="104" spans="1:7" ht="15.75" customHeight="1">
      <c r="A104" t="s">
        <v>249</v>
      </c>
      <c r="B104" t="s">
        <v>250</v>
      </c>
      <c r="C104" t="s">
        <v>11</v>
      </c>
      <c r="D104" t="s">
        <v>152</v>
      </c>
      <c r="E104" s="3">
        <v>44317</v>
      </c>
      <c r="F104" s="3">
        <f t="shared" si="2"/>
        <v>46143</v>
      </c>
      <c r="G104" t="str">
        <f t="shared" ca="1" si="3"/>
        <v>Due</v>
      </c>
    </row>
    <row r="105" spans="1:7" ht="15.75" customHeight="1">
      <c r="A105" t="s">
        <v>251</v>
      </c>
      <c r="B105" t="s">
        <v>252</v>
      </c>
      <c r="C105" t="s">
        <v>11</v>
      </c>
      <c r="D105" t="s">
        <v>152</v>
      </c>
      <c r="F105" s="3" t="str">
        <f t="shared" si="2"/>
        <v/>
      </c>
      <c r="G105" t="e">
        <f t="shared" ca="1" si="3"/>
        <v>#VALUE!</v>
      </c>
    </row>
    <row r="106" spans="1:7" ht="15.75" customHeight="1">
      <c r="A106" t="s">
        <v>253</v>
      </c>
      <c r="B106" t="s">
        <v>254</v>
      </c>
      <c r="C106" t="s">
        <v>82</v>
      </c>
      <c r="D106" t="s">
        <v>152</v>
      </c>
      <c r="E106" s="3">
        <v>44348</v>
      </c>
      <c r="F106" s="3">
        <f t="shared" si="2"/>
        <v>46174</v>
      </c>
      <c r="G106" t="str">
        <f t="shared" ca="1" si="3"/>
        <v>Due</v>
      </c>
    </row>
    <row r="107" spans="1:7" ht="15.75" customHeight="1">
      <c r="A107" t="s">
        <v>255</v>
      </c>
      <c r="B107" t="s">
        <v>256</v>
      </c>
      <c r="C107" t="s">
        <v>82</v>
      </c>
      <c r="D107" t="s">
        <v>152</v>
      </c>
      <c r="E107" s="3">
        <v>45658</v>
      </c>
      <c r="F107" s="3">
        <f t="shared" si="2"/>
        <v>47484</v>
      </c>
      <c r="G107" t="str">
        <f t="shared" ca="1" si="3"/>
        <v>Valid</v>
      </c>
    </row>
    <row r="108" spans="1:7" ht="15.75" customHeight="1">
      <c r="A108" t="s">
        <v>257</v>
      </c>
      <c r="B108" t="s">
        <v>258</v>
      </c>
      <c r="C108" t="s">
        <v>171</v>
      </c>
      <c r="D108" t="s">
        <v>152</v>
      </c>
      <c r="E108" s="3">
        <v>44470</v>
      </c>
      <c r="F108" s="3">
        <f t="shared" si="2"/>
        <v>46296</v>
      </c>
      <c r="G108" t="str">
        <f t="shared" ca="1" si="3"/>
        <v>Valid</v>
      </c>
    </row>
    <row r="109" spans="1:7" ht="15.75" customHeight="1">
      <c r="A109" t="s">
        <v>259</v>
      </c>
      <c r="B109" t="s">
        <v>260</v>
      </c>
      <c r="C109" t="s">
        <v>261</v>
      </c>
      <c r="D109" t="s">
        <v>152</v>
      </c>
      <c r="F109" s="3" t="str">
        <f t="shared" si="2"/>
        <v/>
      </c>
      <c r="G109" t="e">
        <f t="shared" ca="1" si="3"/>
        <v>#VALUE!</v>
      </c>
    </row>
    <row r="110" spans="1:7" ht="15.75" customHeight="1">
      <c r="A110" t="s">
        <v>262</v>
      </c>
      <c r="B110" t="s">
        <v>263</v>
      </c>
      <c r="C110" t="s">
        <v>67</v>
      </c>
      <c r="D110" t="s">
        <v>152</v>
      </c>
      <c r="F110" s="3" t="str">
        <f t="shared" si="2"/>
        <v/>
      </c>
      <c r="G110" t="e">
        <f t="shared" ca="1" si="3"/>
        <v>#VALUE!</v>
      </c>
    </row>
    <row r="111" spans="1:7" ht="15.75" customHeight="1">
      <c r="A111" t="s">
        <v>264</v>
      </c>
      <c r="B111" t="s">
        <v>265</v>
      </c>
      <c r="C111" t="s">
        <v>144</v>
      </c>
      <c r="D111" t="s">
        <v>152</v>
      </c>
      <c r="F111" s="3" t="str">
        <f t="shared" si="2"/>
        <v/>
      </c>
      <c r="G111" t="e">
        <f t="shared" ca="1" si="3"/>
        <v>#VALUE!</v>
      </c>
    </row>
    <row r="112" spans="1:7" ht="15.75" customHeight="1">
      <c r="A112" t="s">
        <v>266</v>
      </c>
      <c r="B112" t="s">
        <v>267</v>
      </c>
      <c r="C112" t="s">
        <v>268</v>
      </c>
      <c r="D112" t="s">
        <v>152</v>
      </c>
      <c r="F112" s="3" t="str">
        <f t="shared" si="2"/>
        <v/>
      </c>
      <c r="G112" t="e">
        <f t="shared" ca="1" si="3"/>
        <v>#VALUE!</v>
      </c>
    </row>
    <row r="113" spans="1:7" ht="15.75" customHeight="1">
      <c r="A113" t="s">
        <v>269</v>
      </c>
      <c r="B113" t="s">
        <v>270</v>
      </c>
      <c r="C113" t="s">
        <v>268</v>
      </c>
      <c r="D113" t="s">
        <v>152</v>
      </c>
      <c r="F113" s="3" t="str">
        <f t="shared" si="2"/>
        <v/>
      </c>
      <c r="G113" t="e">
        <f t="shared" ca="1" si="3"/>
        <v>#VALUE!</v>
      </c>
    </row>
    <row r="114" spans="1:7" ht="15.75" customHeight="1">
      <c r="A114" t="s">
        <v>271</v>
      </c>
      <c r="B114" t="s">
        <v>272</v>
      </c>
      <c r="C114" t="s">
        <v>268</v>
      </c>
      <c r="D114" t="s">
        <v>152</v>
      </c>
      <c r="F114" s="3" t="str">
        <f t="shared" si="2"/>
        <v/>
      </c>
      <c r="G114" t="e">
        <f t="shared" ca="1" si="3"/>
        <v>#VALUE!</v>
      </c>
    </row>
    <row r="115" spans="1:7" ht="15.75" customHeight="1">
      <c r="A115" t="s">
        <v>273</v>
      </c>
      <c r="B115" t="s">
        <v>274</v>
      </c>
      <c r="C115" t="s">
        <v>79</v>
      </c>
      <c r="D115" t="s">
        <v>152</v>
      </c>
      <c r="F115" s="3" t="str">
        <f t="shared" si="2"/>
        <v/>
      </c>
      <c r="G115" t="e">
        <f t="shared" ca="1" si="3"/>
        <v>#VALUE!</v>
      </c>
    </row>
    <row r="116" spans="1:7" ht="15.75" customHeight="1">
      <c r="A116" t="s">
        <v>275</v>
      </c>
      <c r="B116" t="s">
        <v>276</v>
      </c>
      <c r="C116" t="s">
        <v>79</v>
      </c>
      <c r="D116" t="s">
        <v>152</v>
      </c>
      <c r="F116" s="3" t="str">
        <f t="shared" si="2"/>
        <v/>
      </c>
      <c r="G116" t="e">
        <f t="shared" ca="1" si="3"/>
        <v>#VALUE!</v>
      </c>
    </row>
    <row r="117" spans="1:7" ht="15.75" customHeight="1">
      <c r="A117" t="s">
        <v>277</v>
      </c>
      <c r="B117" t="s">
        <v>278</v>
      </c>
      <c r="C117" t="s">
        <v>79</v>
      </c>
      <c r="D117" t="s">
        <v>152</v>
      </c>
      <c r="F117" s="3" t="str">
        <f t="shared" si="2"/>
        <v/>
      </c>
      <c r="G117" t="e">
        <f t="shared" ca="1" si="3"/>
        <v>#VALUE!</v>
      </c>
    </row>
    <row r="118" spans="1:7" ht="15.75" customHeight="1">
      <c r="A118" t="s">
        <v>279</v>
      </c>
      <c r="B118" t="s">
        <v>280</v>
      </c>
      <c r="C118" t="s">
        <v>79</v>
      </c>
      <c r="D118" t="s">
        <v>152</v>
      </c>
      <c r="F118" s="3" t="str">
        <f t="shared" si="2"/>
        <v/>
      </c>
      <c r="G118" t="e">
        <f t="shared" ca="1" si="3"/>
        <v>#VALUE!</v>
      </c>
    </row>
    <row r="119" spans="1:7" ht="15.75" customHeight="1">
      <c r="A119" t="s">
        <v>281</v>
      </c>
      <c r="B119" t="s">
        <v>282</v>
      </c>
      <c r="C119" t="s">
        <v>283</v>
      </c>
      <c r="D119" t="s">
        <v>152</v>
      </c>
      <c r="E119" s="3">
        <v>44287</v>
      </c>
      <c r="F119" s="3">
        <f t="shared" si="2"/>
        <v>46113</v>
      </c>
      <c r="G119" t="str">
        <f t="shared" ca="1" si="3"/>
        <v>Due</v>
      </c>
    </row>
    <row r="120" spans="1:7" ht="15.75" customHeight="1">
      <c r="A120" t="s">
        <v>284</v>
      </c>
      <c r="B120" t="s">
        <v>285</v>
      </c>
      <c r="C120" t="s">
        <v>39</v>
      </c>
      <c r="D120" t="s">
        <v>152</v>
      </c>
      <c r="E120" s="3">
        <v>44501</v>
      </c>
      <c r="F120" s="3">
        <f t="shared" si="2"/>
        <v>46327</v>
      </c>
      <c r="G120" t="str">
        <f t="shared" ca="1" si="3"/>
        <v>Valid</v>
      </c>
    </row>
    <row r="121" spans="1:7" ht="15.75" customHeight="1">
      <c r="A121" t="s">
        <v>286</v>
      </c>
      <c r="B121" t="s">
        <v>287</v>
      </c>
      <c r="C121" t="s">
        <v>39</v>
      </c>
      <c r="D121" t="s">
        <v>152</v>
      </c>
      <c r="E121" s="3">
        <v>44501</v>
      </c>
      <c r="F121" s="3">
        <f t="shared" si="2"/>
        <v>46327</v>
      </c>
      <c r="G121" t="str">
        <f t="shared" ca="1" si="3"/>
        <v>Valid</v>
      </c>
    </row>
    <row r="122" spans="1:7" ht="15.75" customHeight="1">
      <c r="A122" t="s">
        <v>288</v>
      </c>
      <c r="B122" t="s">
        <v>289</v>
      </c>
      <c r="C122" t="s">
        <v>39</v>
      </c>
      <c r="D122" t="s">
        <v>152</v>
      </c>
      <c r="E122" s="3">
        <v>44531</v>
      </c>
      <c r="F122" s="3">
        <f t="shared" si="2"/>
        <v>46357</v>
      </c>
      <c r="G122" t="str">
        <f t="shared" ca="1" si="3"/>
        <v>Valid</v>
      </c>
    </row>
    <row r="123" spans="1:7" ht="15.75" customHeight="1">
      <c r="A123" t="s">
        <v>290</v>
      </c>
      <c r="B123" t="s">
        <v>291</v>
      </c>
      <c r="C123" t="s">
        <v>39</v>
      </c>
      <c r="D123" t="s">
        <v>152</v>
      </c>
      <c r="E123" s="3">
        <v>44562</v>
      </c>
      <c r="F123" s="3">
        <f t="shared" si="2"/>
        <v>46388</v>
      </c>
      <c r="G123" t="str">
        <f t="shared" ca="1" si="3"/>
        <v>Valid</v>
      </c>
    </row>
    <row r="124" spans="1:7" ht="15.75" customHeight="1">
      <c r="A124" t="s">
        <v>292</v>
      </c>
      <c r="B124" t="s">
        <v>293</v>
      </c>
      <c r="C124" t="s">
        <v>139</v>
      </c>
      <c r="D124" t="s">
        <v>152</v>
      </c>
      <c r="E124" s="3">
        <v>44927</v>
      </c>
      <c r="F124" s="3">
        <f t="shared" si="2"/>
        <v>46753</v>
      </c>
      <c r="G124" t="str">
        <f t="shared" ca="1" si="3"/>
        <v>Valid</v>
      </c>
    </row>
    <row r="125" spans="1:7" ht="15.75" customHeight="1">
      <c r="A125" t="s">
        <v>294</v>
      </c>
      <c r="B125" t="s">
        <v>295</v>
      </c>
      <c r="C125" t="s">
        <v>139</v>
      </c>
      <c r="D125" t="s">
        <v>152</v>
      </c>
      <c r="E125" s="3">
        <v>44927</v>
      </c>
      <c r="F125" s="3">
        <f t="shared" si="2"/>
        <v>46753</v>
      </c>
      <c r="G125" t="str">
        <f t="shared" ca="1" si="3"/>
        <v>Valid</v>
      </c>
    </row>
    <row r="126" spans="1:7" ht="15.75" customHeight="1">
      <c r="A126" t="s">
        <v>296</v>
      </c>
      <c r="B126" t="s">
        <v>297</v>
      </c>
      <c r="C126" t="s">
        <v>64</v>
      </c>
      <c r="D126" t="s">
        <v>152</v>
      </c>
      <c r="E126" s="3">
        <v>45292</v>
      </c>
      <c r="F126" s="3">
        <f t="shared" si="2"/>
        <v>47119</v>
      </c>
      <c r="G126" t="str">
        <f t="shared" ca="1" si="3"/>
        <v>Valid</v>
      </c>
    </row>
    <row r="127" spans="1:7" ht="15.75" customHeight="1">
      <c r="A127" t="s">
        <v>298</v>
      </c>
      <c r="B127" t="s">
        <v>299</v>
      </c>
      <c r="C127" t="s">
        <v>300</v>
      </c>
      <c r="D127" t="s">
        <v>152</v>
      </c>
      <c r="E127" s="3">
        <v>45292</v>
      </c>
      <c r="F127" s="3">
        <f t="shared" si="2"/>
        <v>47119</v>
      </c>
      <c r="G127" t="str">
        <f t="shared" ca="1" si="3"/>
        <v>Valid</v>
      </c>
    </row>
    <row r="128" spans="1:7" ht="15.75" customHeight="1">
      <c r="A128" t="s">
        <v>301</v>
      </c>
      <c r="B128" t="s">
        <v>302</v>
      </c>
      <c r="C128" t="s">
        <v>174</v>
      </c>
      <c r="D128" t="s">
        <v>152</v>
      </c>
      <c r="F128" s="3" t="str">
        <f t="shared" si="2"/>
        <v/>
      </c>
      <c r="G128" t="e">
        <f t="shared" ca="1" si="3"/>
        <v>#VALUE!</v>
      </c>
    </row>
    <row r="129" spans="1:7" ht="15.75" customHeight="1">
      <c r="A129" t="s">
        <v>303</v>
      </c>
      <c r="B129" t="s">
        <v>304</v>
      </c>
      <c r="C129" t="s">
        <v>174</v>
      </c>
      <c r="D129" t="s">
        <v>152</v>
      </c>
      <c r="F129" s="3" t="str">
        <f t="shared" si="2"/>
        <v/>
      </c>
      <c r="G129" t="e">
        <f t="shared" ca="1" si="3"/>
        <v>#VALUE!</v>
      </c>
    </row>
    <row r="130" spans="1:7" ht="15.75" customHeight="1">
      <c r="A130" t="s">
        <v>305</v>
      </c>
      <c r="B130" t="s">
        <v>306</v>
      </c>
      <c r="C130" t="s">
        <v>174</v>
      </c>
      <c r="D130" t="s">
        <v>152</v>
      </c>
      <c r="F130" s="3" t="str">
        <f t="shared" si="2"/>
        <v/>
      </c>
      <c r="G130" t="e">
        <f t="shared" ca="1" si="3"/>
        <v>#VALUE!</v>
      </c>
    </row>
    <row r="131" spans="1:7" ht="15.75" customHeight="1">
      <c r="A131" t="s">
        <v>307</v>
      </c>
      <c r="B131" t="s">
        <v>308</v>
      </c>
      <c r="C131" t="s">
        <v>174</v>
      </c>
      <c r="D131" t="s">
        <v>152</v>
      </c>
      <c r="F131" s="3" t="str">
        <f t="shared" si="2"/>
        <v/>
      </c>
      <c r="G131" t="e">
        <f t="shared" ca="1" si="3"/>
        <v>#VALUE!</v>
      </c>
    </row>
    <row r="132" spans="1:7" ht="15.75" customHeight="1">
      <c r="A132" t="s">
        <v>309</v>
      </c>
      <c r="B132" t="s">
        <v>310</v>
      </c>
      <c r="C132" t="s">
        <v>79</v>
      </c>
      <c r="D132" t="s">
        <v>152</v>
      </c>
      <c r="F132" s="3" t="str">
        <f t="shared" ref="F132:F195" si="4">IF(ISBLANK(E132), "", EDATE(E132, 60))</f>
        <v/>
      </c>
      <c r="G132" t="e">
        <f t="shared" ref="G132:G195" ca="1" si="5">IF(ISBLANK(F132), "", IF(TODAY()&gt;=EDATE(F132, -1), "Due", "Valid"))</f>
        <v>#VALUE!</v>
      </c>
    </row>
    <row r="133" spans="1:7" ht="15.75" customHeight="1">
      <c r="A133" t="s">
        <v>311</v>
      </c>
      <c r="B133" t="s">
        <v>312</v>
      </c>
      <c r="C133" t="s">
        <v>123</v>
      </c>
      <c r="D133" t="s">
        <v>152</v>
      </c>
      <c r="E133" s="3">
        <v>45658</v>
      </c>
      <c r="F133" s="3">
        <f t="shared" si="4"/>
        <v>47484</v>
      </c>
      <c r="G133" t="str">
        <f t="shared" ca="1" si="5"/>
        <v>Valid</v>
      </c>
    </row>
    <row r="134" spans="1:7" ht="15.75" customHeight="1">
      <c r="A134" t="s">
        <v>313</v>
      </c>
      <c r="B134" t="s">
        <v>314</v>
      </c>
      <c r="C134" t="s">
        <v>315</v>
      </c>
      <c r="D134" t="s">
        <v>152</v>
      </c>
      <c r="E134" s="3">
        <v>44562</v>
      </c>
      <c r="F134" s="3">
        <f t="shared" si="4"/>
        <v>46388</v>
      </c>
      <c r="G134" t="str">
        <f t="shared" ca="1" si="5"/>
        <v>Valid</v>
      </c>
    </row>
    <row r="135" spans="1:7" ht="15.75" customHeight="1">
      <c r="A135" t="s">
        <v>316</v>
      </c>
      <c r="B135" t="s">
        <v>317</v>
      </c>
      <c r="C135" t="s">
        <v>139</v>
      </c>
      <c r="D135" t="s">
        <v>152</v>
      </c>
      <c r="E135" s="3">
        <v>44927</v>
      </c>
      <c r="F135" s="3">
        <f t="shared" si="4"/>
        <v>46753</v>
      </c>
      <c r="G135" t="str">
        <f t="shared" ca="1" si="5"/>
        <v>Valid</v>
      </c>
    </row>
    <row r="136" spans="1:7" ht="15.75" customHeight="1">
      <c r="A136" t="s">
        <v>318</v>
      </c>
      <c r="B136" t="s">
        <v>319</v>
      </c>
      <c r="C136" t="s">
        <v>139</v>
      </c>
      <c r="D136" t="s">
        <v>152</v>
      </c>
      <c r="E136" s="3">
        <v>44470</v>
      </c>
      <c r="F136" s="3">
        <f t="shared" si="4"/>
        <v>46296</v>
      </c>
      <c r="G136" t="str">
        <f t="shared" ca="1" si="5"/>
        <v>Valid</v>
      </c>
    </row>
    <row r="137" spans="1:7" ht="15.75" customHeight="1">
      <c r="A137" t="s">
        <v>320</v>
      </c>
      <c r="B137" t="s">
        <v>321</v>
      </c>
      <c r="C137" t="s">
        <v>139</v>
      </c>
      <c r="D137" t="s">
        <v>152</v>
      </c>
      <c r="E137" s="3">
        <v>45658</v>
      </c>
      <c r="F137" s="3">
        <f t="shared" si="4"/>
        <v>47484</v>
      </c>
      <c r="G137" t="str">
        <f t="shared" ca="1" si="5"/>
        <v>Valid</v>
      </c>
    </row>
    <row r="138" spans="1:7" ht="15.75" customHeight="1">
      <c r="A138" t="s">
        <v>322</v>
      </c>
      <c r="B138" t="s">
        <v>323</v>
      </c>
      <c r="C138" t="s">
        <v>139</v>
      </c>
      <c r="D138" t="s">
        <v>152</v>
      </c>
      <c r="E138" s="3">
        <v>45292</v>
      </c>
      <c r="F138" s="3">
        <f t="shared" si="4"/>
        <v>47119</v>
      </c>
      <c r="G138" t="str">
        <f t="shared" ca="1" si="5"/>
        <v>Valid</v>
      </c>
    </row>
    <row r="139" spans="1:7" ht="15.75" customHeight="1">
      <c r="A139" t="s">
        <v>324</v>
      </c>
      <c r="B139" t="s">
        <v>325</v>
      </c>
      <c r="C139" t="s">
        <v>64</v>
      </c>
      <c r="D139" t="s">
        <v>152</v>
      </c>
      <c r="E139" s="3">
        <v>44562</v>
      </c>
      <c r="F139" s="3">
        <f t="shared" si="4"/>
        <v>46388</v>
      </c>
      <c r="G139" t="str">
        <f t="shared" ca="1" si="5"/>
        <v>Valid</v>
      </c>
    </row>
    <row r="140" spans="1:7" ht="15.75" customHeight="1">
      <c r="A140" t="s">
        <v>326</v>
      </c>
      <c r="B140" t="s">
        <v>327</v>
      </c>
      <c r="C140" t="s">
        <v>174</v>
      </c>
      <c r="D140" t="s">
        <v>152</v>
      </c>
      <c r="F140" s="3" t="str">
        <f t="shared" si="4"/>
        <v/>
      </c>
      <c r="G140" t="e">
        <f t="shared" ca="1" si="5"/>
        <v>#VALUE!</v>
      </c>
    </row>
    <row r="141" spans="1:7" ht="15.75" customHeight="1">
      <c r="A141" t="s">
        <v>328</v>
      </c>
      <c r="B141" t="s">
        <v>329</v>
      </c>
      <c r="C141" t="s">
        <v>174</v>
      </c>
      <c r="D141" t="s">
        <v>152</v>
      </c>
      <c r="F141" s="3" t="str">
        <f t="shared" si="4"/>
        <v/>
      </c>
      <c r="G141" t="e">
        <f t="shared" ca="1" si="5"/>
        <v>#VALUE!</v>
      </c>
    </row>
    <row r="142" spans="1:7" ht="15.75" customHeight="1">
      <c r="A142" t="s">
        <v>330</v>
      </c>
      <c r="B142" t="s">
        <v>331</v>
      </c>
      <c r="C142" t="s">
        <v>79</v>
      </c>
      <c r="D142" t="s">
        <v>152</v>
      </c>
      <c r="F142" s="3" t="str">
        <f t="shared" si="4"/>
        <v/>
      </c>
      <c r="G142" t="e">
        <f t="shared" ca="1" si="5"/>
        <v>#VALUE!</v>
      </c>
    </row>
    <row r="143" spans="1:7" ht="15.75" customHeight="1">
      <c r="A143" t="s">
        <v>332</v>
      </c>
      <c r="B143" t="s">
        <v>333</v>
      </c>
      <c r="C143" t="s">
        <v>334</v>
      </c>
      <c r="D143" t="s">
        <v>152</v>
      </c>
      <c r="E143" s="3">
        <v>45658</v>
      </c>
      <c r="F143" s="3">
        <f t="shared" si="4"/>
        <v>47484</v>
      </c>
      <c r="G143" t="str">
        <f t="shared" ca="1" si="5"/>
        <v>Valid</v>
      </c>
    </row>
    <row r="144" spans="1:7" ht="15.75" customHeight="1">
      <c r="A144" t="s">
        <v>335</v>
      </c>
      <c r="B144" t="s">
        <v>336</v>
      </c>
      <c r="C144" t="s">
        <v>337</v>
      </c>
      <c r="D144" t="s">
        <v>152</v>
      </c>
      <c r="E144" s="3">
        <v>45658</v>
      </c>
      <c r="F144" s="3">
        <f t="shared" si="4"/>
        <v>47484</v>
      </c>
      <c r="G144" t="str">
        <f t="shared" ca="1" si="5"/>
        <v>Valid</v>
      </c>
    </row>
    <row r="145" spans="1:7" ht="15.75" customHeight="1">
      <c r="A145" t="s">
        <v>338</v>
      </c>
      <c r="B145" t="s">
        <v>339</v>
      </c>
      <c r="C145" t="s">
        <v>337</v>
      </c>
      <c r="D145" t="s">
        <v>152</v>
      </c>
      <c r="E145" s="3">
        <v>45658</v>
      </c>
      <c r="F145" s="3">
        <f t="shared" si="4"/>
        <v>47484</v>
      </c>
      <c r="G145" t="str">
        <f t="shared" ca="1" si="5"/>
        <v>Valid</v>
      </c>
    </row>
    <row r="146" spans="1:7" ht="15.75" customHeight="1">
      <c r="A146" t="s">
        <v>340</v>
      </c>
      <c r="B146" t="s">
        <v>341</v>
      </c>
      <c r="C146" t="s">
        <v>315</v>
      </c>
      <c r="D146" t="s">
        <v>152</v>
      </c>
      <c r="E146" s="3">
        <v>44562</v>
      </c>
      <c r="F146" s="3">
        <f t="shared" si="4"/>
        <v>46388</v>
      </c>
      <c r="G146" t="str">
        <f t="shared" ca="1" si="5"/>
        <v>Valid</v>
      </c>
    </row>
    <row r="147" spans="1:7" ht="15.75" customHeight="1">
      <c r="A147" t="s">
        <v>342</v>
      </c>
      <c r="B147" t="s">
        <v>343</v>
      </c>
      <c r="C147" t="s">
        <v>315</v>
      </c>
      <c r="D147" t="s">
        <v>152</v>
      </c>
      <c r="E147" s="3">
        <v>44562</v>
      </c>
      <c r="F147" s="3">
        <f t="shared" si="4"/>
        <v>46388</v>
      </c>
      <c r="G147" t="str">
        <f t="shared" ca="1" si="5"/>
        <v>Valid</v>
      </c>
    </row>
    <row r="148" spans="1:7" ht="15.75" customHeight="1">
      <c r="A148" t="s">
        <v>344</v>
      </c>
      <c r="B148" t="s">
        <v>345</v>
      </c>
      <c r="C148" t="s">
        <v>346</v>
      </c>
      <c r="D148" t="s">
        <v>152</v>
      </c>
      <c r="E148" s="3">
        <v>45292</v>
      </c>
      <c r="F148" s="3">
        <f t="shared" si="4"/>
        <v>47119</v>
      </c>
      <c r="G148" t="str">
        <f t="shared" ca="1" si="5"/>
        <v>Valid</v>
      </c>
    </row>
    <row r="149" spans="1:7" ht="15.75" customHeight="1">
      <c r="A149" t="s">
        <v>347</v>
      </c>
      <c r="B149" t="s">
        <v>348</v>
      </c>
      <c r="C149" t="s">
        <v>39</v>
      </c>
      <c r="D149" t="s">
        <v>152</v>
      </c>
      <c r="E149" s="3">
        <v>45292</v>
      </c>
      <c r="F149" s="3">
        <f t="shared" si="4"/>
        <v>47119</v>
      </c>
      <c r="G149" t="str">
        <f t="shared" ca="1" si="5"/>
        <v>Valid</v>
      </c>
    </row>
    <row r="150" spans="1:7" ht="15.75" customHeight="1">
      <c r="A150" t="s">
        <v>349</v>
      </c>
      <c r="B150" t="s">
        <v>350</v>
      </c>
      <c r="C150" t="s">
        <v>39</v>
      </c>
      <c r="D150" t="s">
        <v>152</v>
      </c>
      <c r="E150" s="3">
        <v>45658</v>
      </c>
      <c r="F150" s="3">
        <f t="shared" si="4"/>
        <v>47484</v>
      </c>
      <c r="G150" t="str">
        <f t="shared" ca="1" si="5"/>
        <v>Valid</v>
      </c>
    </row>
    <row r="151" spans="1:7" ht="15.75" customHeight="1">
      <c r="A151" t="s">
        <v>351</v>
      </c>
      <c r="B151" t="s">
        <v>352</v>
      </c>
      <c r="C151" t="s">
        <v>39</v>
      </c>
      <c r="D151" t="s">
        <v>152</v>
      </c>
      <c r="E151" s="3">
        <v>44470</v>
      </c>
      <c r="F151" s="3">
        <f t="shared" si="4"/>
        <v>46296</v>
      </c>
      <c r="G151" t="str">
        <f t="shared" ca="1" si="5"/>
        <v>Valid</v>
      </c>
    </row>
    <row r="152" spans="1:7" ht="15.75" customHeight="1">
      <c r="A152" t="s">
        <v>353</v>
      </c>
      <c r="B152" t="s">
        <v>354</v>
      </c>
      <c r="C152" t="s">
        <v>39</v>
      </c>
      <c r="D152" t="s">
        <v>152</v>
      </c>
      <c r="E152" s="3">
        <v>44470</v>
      </c>
      <c r="F152" s="3">
        <f t="shared" si="4"/>
        <v>46296</v>
      </c>
      <c r="G152" t="str">
        <f t="shared" ca="1" si="5"/>
        <v>Valid</v>
      </c>
    </row>
    <row r="153" spans="1:7" ht="15.75" customHeight="1">
      <c r="A153" t="s">
        <v>355</v>
      </c>
      <c r="B153" t="s">
        <v>356</v>
      </c>
      <c r="C153" t="s">
        <v>39</v>
      </c>
      <c r="D153" t="s">
        <v>152</v>
      </c>
      <c r="E153" s="3">
        <v>44927</v>
      </c>
      <c r="F153" s="3">
        <f t="shared" si="4"/>
        <v>46753</v>
      </c>
      <c r="G153" t="str">
        <f t="shared" ca="1" si="5"/>
        <v>Valid</v>
      </c>
    </row>
    <row r="154" spans="1:7" ht="15.75" customHeight="1">
      <c r="A154" t="s">
        <v>357</v>
      </c>
      <c r="B154" t="s">
        <v>358</v>
      </c>
      <c r="C154" t="s">
        <v>39</v>
      </c>
      <c r="D154" t="s">
        <v>152</v>
      </c>
      <c r="E154" s="3">
        <v>44501</v>
      </c>
      <c r="F154" s="3">
        <f t="shared" si="4"/>
        <v>46327</v>
      </c>
      <c r="G154" t="str">
        <f t="shared" ca="1" si="5"/>
        <v>Valid</v>
      </c>
    </row>
    <row r="155" spans="1:7" ht="15.75" customHeight="1">
      <c r="A155" t="s">
        <v>359</v>
      </c>
      <c r="B155" t="s">
        <v>360</v>
      </c>
      <c r="C155" t="s">
        <v>139</v>
      </c>
      <c r="D155" t="s">
        <v>152</v>
      </c>
      <c r="E155" s="3">
        <v>45292</v>
      </c>
      <c r="F155" s="3">
        <f t="shared" si="4"/>
        <v>47119</v>
      </c>
      <c r="G155" t="str">
        <f t="shared" ca="1" si="5"/>
        <v>Valid</v>
      </c>
    </row>
    <row r="156" spans="1:7" ht="15.75" customHeight="1">
      <c r="A156" t="s">
        <v>361</v>
      </c>
      <c r="B156" t="s">
        <v>362</v>
      </c>
      <c r="C156" t="s">
        <v>139</v>
      </c>
      <c r="D156" t="s">
        <v>152</v>
      </c>
      <c r="E156" s="3">
        <v>45292</v>
      </c>
      <c r="F156" s="3">
        <f t="shared" si="4"/>
        <v>47119</v>
      </c>
      <c r="G156" t="str">
        <f t="shared" ca="1" si="5"/>
        <v>Valid</v>
      </c>
    </row>
    <row r="157" spans="1:7" ht="15.75" customHeight="1">
      <c r="A157" t="s">
        <v>363</v>
      </c>
      <c r="B157" t="s">
        <v>364</v>
      </c>
      <c r="C157" t="s">
        <v>139</v>
      </c>
      <c r="D157" t="s">
        <v>152</v>
      </c>
      <c r="E157" s="3">
        <v>45292</v>
      </c>
      <c r="F157" s="3">
        <f t="shared" si="4"/>
        <v>47119</v>
      </c>
      <c r="G157" t="str">
        <f t="shared" ca="1" si="5"/>
        <v>Valid</v>
      </c>
    </row>
    <row r="158" spans="1:7" ht="15.75" customHeight="1">
      <c r="A158" t="s">
        <v>365</v>
      </c>
      <c r="B158" t="s">
        <v>366</v>
      </c>
      <c r="C158" t="s">
        <v>139</v>
      </c>
      <c r="D158" t="s">
        <v>152</v>
      </c>
      <c r="E158" s="3">
        <v>44927</v>
      </c>
      <c r="F158" s="3">
        <f t="shared" si="4"/>
        <v>46753</v>
      </c>
      <c r="G158" t="str">
        <f t="shared" ca="1" si="5"/>
        <v>Valid</v>
      </c>
    </row>
    <row r="159" spans="1:7" ht="15.75" customHeight="1">
      <c r="A159" t="s">
        <v>367</v>
      </c>
      <c r="B159" t="s">
        <v>368</v>
      </c>
      <c r="C159" t="s">
        <v>139</v>
      </c>
      <c r="D159" t="s">
        <v>152</v>
      </c>
      <c r="E159" s="3">
        <v>44927</v>
      </c>
      <c r="F159" s="3">
        <f t="shared" si="4"/>
        <v>46753</v>
      </c>
      <c r="G159" t="str">
        <f t="shared" ca="1" si="5"/>
        <v>Valid</v>
      </c>
    </row>
    <row r="160" spans="1:7" ht="15.75" customHeight="1">
      <c r="A160" t="s">
        <v>369</v>
      </c>
      <c r="B160" t="s">
        <v>370</v>
      </c>
      <c r="C160" t="s">
        <v>139</v>
      </c>
      <c r="D160" t="s">
        <v>152</v>
      </c>
      <c r="E160" s="3">
        <v>44927</v>
      </c>
      <c r="F160" s="3">
        <f t="shared" si="4"/>
        <v>46753</v>
      </c>
      <c r="G160" t="str">
        <f t="shared" ca="1" si="5"/>
        <v>Valid</v>
      </c>
    </row>
    <row r="161" spans="1:7" ht="15.75" customHeight="1">
      <c r="A161" t="s">
        <v>371</v>
      </c>
      <c r="B161" t="s">
        <v>372</v>
      </c>
      <c r="C161" t="s">
        <v>64</v>
      </c>
      <c r="D161" t="s">
        <v>152</v>
      </c>
      <c r="E161" s="3">
        <v>44562</v>
      </c>
      <c r="F161" s="3">
        <f t="shared" si="4"/>
        <v>46388</v>
      </c>
      <c r="G161" t="str">
        <f t="shared" ca="1" si="5"/>
        <v>Valid</v>
      </c>
    </row>
    <row r="162" spans="1:7" ht="15.75" customHeight="1">
      <c r="A162" t="s">
        <v>373</v>
      </c>
      <c r="B162" t="s">
        <v>374</v>
      </c>
      <c r="C162" t="s">
        <v>11</v>
      </c>
      <c r="D162" t="s">
        <v>152</v>
      </c>
      <c r="E162" s="3">
        <v>45658</v>
      </c>
      <c r="F162" s="3">
        <f t="shared" si="4"/>
        <v>47484</v>
      </c>
      <c r="G162" t="str">
        <f t="shared" ca="1" si="5"/>
        <v>Valid</v>
      </c>
    </row>
    <row r="163" spans="1:7" ht="15.75" customHeight="1">
      <c r="A163" t="s">
        <v>375</v>
      </c>
      <c r="B163" t="s">
        <v>376</v>
      </c>
      <c r="C163" t="s">
        <v>82</v>
      </c>
      <c r="D163" t="s">
        <v>152</v>
      </c>
      <c r="E163" s="3">
        <v>44927</v>
      </c>
      <c r="F163" s="3">
        <f t="shared" si="4"/>
        <v>46753</v>
      </c>
      <c r="G163" t="str">
        <f t="shared" ca="1" si="5"/>
        <v>Valid</v>
      </c>
    </row>
    <row r="164" spans="1:7" ht="15.75" customHeight="1">
      <c r="A164" t="s">
        <v>377</v>
      </c>
      <c r="B164" t="s">
        <v>378</v>
      </c>
      <c r="C164" t="s">
        <v>379</v>
      </c>
      <c r="D164" t="s">
        <v>152</v>
      </c>
      <c r="E164" s="3">
        <v>45292</v>
      </c>
      <c r="F164" s="3">
        <f t="shared" si="4"/>
        <v>47119</v>
      </c>
      <c r="G164" t="str">
        <f t="shared" ca="1" si="5"/>
        <v>Valid</v>
      </c>
    </row>
    <row r="165" spans="1:7" ht="15.75" customHeight="1">
      <c r="A165" t="s">
        <v>380</v>
      </c>
      <c r="B165" t="s">
        <v>381</v>
      </c>
      <c r="C165" t="s">
        <v>382</v>
      </c>
      <c r="D165" t="s">
        <v>152</v>
      </c>
      <c r="E165" s="3">
        <v>44927</v>
      </c>
      <c r="F165" s="3">
        <f t="shared" si="4"/>
        <v>46753</v>
      </c>
      <c r="G165" t="str">
        <f t="shared" ca="1" si="5"/>
        <v>Valid</v>
      </c>
    </row>
    <row r="166" spans="1:7" ht="15.75" customHeight="1">
      <c r="A166" t="s">
        <v>383</v>
      </c>
      <c r="B166" t="s">
        <v>384</v>
      </c>
      <c r="C166" t="s">
        <v>123</v>
      </c>
      <c r="D166" t="s">
        <v>152</v>
      </c>
      <c r="E166" s="3">
        <v>45292</v>
      </c>
      <c r="F166" s="3">
        <f t="shared" si="4"/>
        <v>47119</v>
      </c>
      <c r="G166" t="str">
        <f t="shared" ca="1" si="5"/>
        <v>Valid</v>
      </c>
    </row>
    <row r="167" spans="1:7" ht="15.75" customHeight="1">
      <c r="A167" t="s">
        <v>385</v>
      </c>
      <c r="B167" t="s">
        <v>293</v>
      </c>
      <c r="C167" t="s">
        <v>315</v>
      </c>
      <c r="D167" t="s">
        <v>152</v>
      </c>
      <c r="E167" s="3">
        <v>44531</v>
      </c>
      <c r="F167" s="3">
        <f t="shared" si="4"/>
        <v>46357</v>
      </c>
      <c r="G167" t="str">
        <f t="shared" ca="1" si="5"/>
        <v>Valid</v>
      </c>
    </row>
    <row r="168" spans="1:7" ht="15.75" customHeight="1">
      <c r="A168" t="s">
        <v>386</v>
      </c>
      <c r="B168" t="s">
        <v>387</v>
      </c>
      <c r="C168" t="s">
        <v>388</v>
      </c>
      <c r="D168" t="s">
        <v>152</v>
      </c>
      <c r="E168" s="3">
        <v>44562</v>
      </c>
      <c r="F168" s="3">
        <f t="shared" si="4"/>
        <v>46388</v>
      </c>
      <c r="G168" t="str">
        <f t="shared" ca="1" si="5"/>
        <v>Valid</v>
      </c>
    </row>
    <row r="169" spans="1:7" ht="15.75" customHeight="1">
      <c r="A169" t="s">
        <v>389</v>
      </c>
      <c r="B169" t="s">
        <v>390</v>
      </c>
      <c r="C169" t="s">
        <v>39</v>
      </c>
      <c r="D169" t="s">
        <v>152</v>
      </c>
      <c r="E169" s="3">
        <v>45292</v>
      </c>
      <c r="F169" s="3">
        <f t="shared" si="4"/>
        <v>47119</v>
      </c>
      <c r="G169" t="str">
        <f t="shared" ca="1" si="5"/>
        <v>Valid</v>
      </c>
    </row>
    <row r="170" spans="1:7" ht="15.75" customHeight="1">
      <c r="A170" t="s">
        <v>391</v>
      </c>
      <c r="B170" t="s">
        <v>392</v>
      </c>
      <c r="C170" t="s">
        <v>11</v>
      </c>
      <c r="D170" t="s">
        <v>152</v>
      </c>
      <c r="E170" s="3">
        <v>45658</v>
      </c>
      <c r="F170" s="3">
        <f t="shared" si="4"/>
        <v>47484</v>
      </c>
      <c r="G170" t="str">
        <f t="shared" ca="1" si="5"/>
        <v>Valid</v>
      </c>
    </row>
    <row r="171" spans="1:7" ht="15.75" customHeight="1">
      <c r="A171" t="s">
        <v>393</v>
      </c>
      <c r="B171" t="s">
        <v>394</v>
      </c>
      <c r="C171" t="s">
        <v>11</v>
      </c>
      <c r="D171" t="s">
        <v>152</v>
      </c>
      <c r="F171" s="3" t="str">
        <f t="shared" si="4"/>
        <v/>
      </c>
      <c r="G171" t="e">
        <f t="shared" ca="1" si="5"/>
        <v>#VALUE!</v>
      </c>
    </row>
    <row r="172" spans="1:7" ht="15.75" customHeight="1">
      <c r="A172" t="s">
        <v>395</v>
      </c>
      <c r="B172" t="s">
        <v>396</v>
      </c>
      <c r="C172" t="s">
        <v>174</v>
      </c>
      <c r="D172" t="s">
        <v>152</v>
      </c>
      <c r="F172" s="3" t="str">
        <f t="shared" si="4"/>
        <v/>
      </c>
      <c r="G172" t="e">
        <f t="shared" ca="1" si="5"/>
        <v>#VALUE!</v>
      </c>
    </row>
    <row r="173" spans="1:7" ht="15.75" customHeight="1">
      <c r="A173" t="s">
        <v>397</v>
      </c>
      <c r="B173" t="s">
        <v>398</v>
      </c>
      <c r="C173" t="s">
        <v>79</v>
      </c>
      <c r="D173" t="s">
        <v>152</v>
      </c>
      <c r="F173" s="3" t="str">
        <f t="shared" si="4"/>
        <v/>
      </c>
      <c r="G173" t="e">
        <f t="shared" ca="1" si="5"/>
        <v>#VALUE!</v>
      </c>
    </row>
    <row r="174" spans="1:7" ht="15.75" customHeight="1">
      <c r="A174" t="s">
        <v>399</v>
      </c>
      <c r="B174" t="s">
        <v>400</v>
      </c>
      <c r="C174" t="s">
        <v>401</v>
      </c>
      <c r="D174" t="s">
        <v>152</v>
      </c>
      <c r="E174" s="3">
        <v>45658</v>
      </c>
      <c r="F174" s="3">
        <f t="shared" si="4"/>
        <v>47484</v>
      </c>
      <c r="G174" t="str">
        <f t="shared" ca="1" si="5"/>
        <v>Valid</v>
      </c>
    </row>
    <row r="175" spans="1:7" ht="15.75" customHeight="1">
      <c r="A175" t="s">
        <v>402</v>
      </c>
      <c r="B175" t="s">
        <v>403</v>
      </c>
      <c r="C175" t="s">
        <v>315</v>
      </c>
      <c r="D175" t="s">
        <v>152</v>
      </c>
      <c r="E175" s="3">
        <v>45292</v>
      </c>
      <c r="F175" s="3">
        <f t="shared" si="4"/>
        <v>47119</v>
      </c>
      <c r="G175" t="str">
        <f t="shared" ca="1" si="5"/>
        <v>Valid</v>
      </c>
    </row>
    <row r="176" spans="1:7" ht="15.75" customHeight="1">
      <c r="A176" t="s">
        <v>404</v>
      </c>
      <c r="B176" t="s">
        <v>405</v>
      </c>
      <c r="C176" t="s">
        <v>388</v>
      </c>
      <c r="D176" t="s">
        <v>152</v>
      </c>
      <c r="E176" s="3">
        <v>44562</v>
      </c>
      <c r="F176" s="3">
        <f t="shared" si="4"/>
        <v>46388</v>
      </c>
      <c r="G176" t="str">
        <f t="shared" ca="1" si="5"/>
        <v>Valid</v>
      </c>
    </row>
    <row r="177" spans="1:7" ht="15.75" customHeight="1">
      <c r="A177" t="s">
        <v>406</v>
      </c>
      <c r="B177" t="s">
        <v>407</v>
      </c>
      <c r="C177" t="s">
        <v>39</v>
      </c>
      <c r="D177" t="s">
        <v>152</v>
      </c>
      <c r="E177" s="3">
        <v>44409</v>
      </c>
      <c r="F177" s="3">
        <f t="shared" si="4"/>
        <v>46235</v>
      </c>
      <c r="G177" t="str">
        <f t="shared" ca="1" si="5"/>
        <v>Due</v>
      </c>
    </row>
    <row r="178" spans="1:7" ht="15.75" customHeight="1">
      <c r="A178" t="s">
        <v>408</v>
      </c>
      <c r="B178" t="s">
        <v>409</v>
      </c>
      <c r="C178" t="s">
        <v>401</v>
      </c>
      <c r="D178" t="s">
        <v>152</v>
      </c>
      <c r="E178" s="3">
        <v>45658</v>
      </c>
      <c r="F178" s="3">
        <f t="shared" si="4"/>
        <v>47484</v>
      </c>
      <c r="G178" t="str">
        <f t="shared" ca="1" si="5"/>
        <v>Valid</v>
      </c>
    </row>
    <row r="179" spans="1:7" ht="15.75" customHeight="1">
      <c r="A179" t="s">
        <v>410</v>
      </c>
      <c r="B179" t="s">
        <v>411</v>
      </c>
      <c r="C179" t="s">
        <v>39</v>
      </c>
      <c r="D179" t="s">
        <v>152</v>
      </c>
      <c r="E179" s="3">
        <v>45292</v>
      </c>
      <c r="F179" s="3">
        <f t="shared" si="4"/>
        <v>47119</v>
      </c>
      <c r="G179" t="str">
        <f t="shared" ca="1" si="5"/>
        <v>Valid</v>
      </c>
    </row>
    <row r="180" spans="1:7" ht="15.75" customHeight="1">
      <c r="A180" t="s">
        <v>412</v>
      </c>
      <c r="B180" t="s">
        <v>413</v>
      </c>
      <c r="C180" t="s">
        <v>139</v>
      </c>
      <c r="D180" t="s">
        <v>152</v>
      </c>
      <c r="E180" s="3">
        <v>44409</v>
      </c>
      <c r="F180" s="3">
        <f t="shared" si="4"/>
        <v>46235</v>
      </c>
      <c r="G180" t="str">
        <f t="shared" ca="1" si="5"/>
        <v>Due</v>
      </c>
    </row>
    <row r="181" spans="1:7" ht="15.75" customHeight="1">
      <c r="A181" t="s">
        <v>414</v>
      </c>
      <c r="B181" t="s">
        <v>415</v>
      </c>
      <c r="C181" t="s">
        <v>416</v>
      </c>
      <c r="D181" t="s">
        <v>152</v>
      </c>
      <c r="E181" s="3">
        <v>45292</v>
      </c>
      <c r="F181" s="3">
        <f t="shared" si="4"/>
        <v>47119</v>
      </c>
      <c r="G181" t="str">
        <f t="shared" ca="1" si="5"/>
        <v>Valid</v>
      </c>
    </row>
    <row r="182" spans="1:7" ht="15.75" customHeight="1">
      <c r="A182" t="s">
        <v>417</v>
      </c>
      <c r="B182" t="s">
        <v>418</v>
      </c>
      <c r="C182" t="s">
        <v>416</v>
      </c>
      <c r="D182" t="s">
        <v>152</v>
      </c>
      <c r="E182" s="3">
        <v>45292</v>
      </c>
      <c r="F182" s="3">
        <f t="shared" si="4"/>
        <v>47119</v>
      </c>
      <c r="G182" t="str">
        <f t="shared" ca="1" si="5"/>
        <v>Valid</v>
      </c>
    </row>
    <row r="183" spans="1:7" ht="15.75" customHeight="1">
      <c r="A183" t="s">
        <v>419</v>
      </c>
      <c r="B183" t="s">
        <v>420</v>
      </c>
      <c r="C183" t="s">
        <v>421</v>
      </c>
      <c r="D183" t="s">
        <v>152</v>
      </c>
      <c r="E183" s="3">
        <v>44927</v>
      </c>
      <c r="F183" s="3">
        <f t="shared" si="4"/>
        <v>46753</v>
      </c>
      <c r="G183" t="str">
        <f t="shared" ca="1" si="5"/>
        <v>Valid</v>
      </c>
    </row>
    <row r="184" spans="1:7" ht="15.75" customHeight="1">
      <c r="A184" t="s">
        <v>422</v>
      </c>
      <c r="B184" t="s">
        <v>423</v>
      </c>
      <c r="C184" t="s">
        <v>424</v>
      </c>
      <c r="D184" t="s">
        <v>425</v>
      </c>
      <c r="F184" s="3" t="str">
        <f t="shared" si="4"/>
        <v/>
      </c>
      <c r="G184" t="e">
        <f t="shared" ca="1" si="5"/>
        <v>#VALUE!</v>
      </c>
    </row>
    <row r="185" spans="1:7" ht="15.75" customHeight="1">
      <c r="A185" t="s">
        <v>426</v>
      </c>
      <c r="B185" t="s">
        <v>427</v>
      </c>
      <c r="C185" t="s">
        <v>428</v>
      </c>
      <c r="D185" t="s">
        <v>425</v>
      </c>
      <c r="F185" s="3" t="str">
        <f t="shared" si="4"/>
        <v/>
      </c>
      <c r="G185" t="e">
        <f t="shared" ca="1" si="5"/>
        <v>#VALUE!</v>
      </c>
    </row>
    <row r="186" spans="1:7" ht="15.75" customHeight="1">
      <c r="A186" t="s">
        <v>429</v>
      </c>
      <c r="B186" t="s">
        <v>430</v>
      </c>
      <c r="C186" t="s">
        <v>428</v>
      </c>
      <c r="D186" t="s">
        <v>425</v>
      </c>
      <c r="F186" s="3" t="str">
        <f t="shared" si="4"/>
        <v/>
      </c>
      <c r="G186" t="e">
        <f t="shared" ca="1" si="5"/>
        <v>#VALUE!</v>
      </c>
    </row>
    <row r="187" spans="1:7" ht="15.75" customHeight="1">
      <c r="A187" t="s">
        <v>431</v>
      </c>
      <c r="B187" t="s">
        <v>432</v>
      </c>
      <c r="C187" t="s">
        <v>139</v>
      </c>
      <c r="D187" t="s">
        <v>425</v>
      </c>
      <c r="E187" s="3">
        <v>45292</v>
      </c>
      <c r="F187" s="3">
        <f t="shared" si="4"/>
        <v>47119</v>
      </c>
      <c r="G187" t="str">
        <f t="shared" ca="1" si="5"/>
        <v>Valid</v>
      </c>
    </row>
    <row r="188" spans="1:7" ht="15.75" customHeight="1">
      <c r="A188" t="s">
        <v>433</v>
      </c>
      <c r="B188" t="s">
        <v>434</v>
      </c>
      <c r="C188" t="s">
        <v>139</v>
      </c>
      <c r="D188" t="s">
        <v>425</v>
      </c>
      <c r="E188" s="3">
        <v>45292</v>
      </c>
      <c r="F188" s="3">
        <f t="shared" si="4"/>
        <v>47119</v>
      </c>
      <c r="G188" t="str">
        <f t="shared" ca="1" si="5"/>
        <v>Valid</v>
      </c>
    </row>
    <row r="189" spans="1:7" ht="15.75" customHeight="1">
      <c r="A189" t="s">
        <v>435</v>
      </c>
      <c r="B189" t="s">
        <v>163</v>
      </c>
      <c r="C189" t="s">
        <v>64</v>
      </c>
      <c r="D189" t="s">
        <v>425</v>
      </c>
      <c r="E189" s="3">
        <v>44562</v>
      </c>
      <c r="F189" s="3">
        <f t="shared" si="4"/>
        <v>46388</v>
      </c>
      <c r="G189" t="str">
        <f t="shared" ca="1" si="5"/>
        <v>Valid</v>
      </c>
    </row>
    <row r="190" spans="1:7" ht="15.75" customHeight="1">
      <c r="A190" t="s">
        <v>436</v>
      </c>
      <c r="B190" t="s">
        <v>437</v>
      </c>
      <c r="C190" t="s">
        <v>438</v>
      </c>
      <c r="D190" t="s">
        <v>425</v>
      </c>
      <c r="E190" s="3">
        <v>44531</v>
      </c>
      <c r="F190" s="3">
        <f t="shared" si="4"/>
        <v>46357</v>
      </c>
      <c r="G190" t="str">
        <f t="shared" ca="1" si="5"/>
        <v>Valid</v>
      </c>
    </row>
    <row r="191" spans="1:7" ht="15.75" customHeight="1">
      <c r="A191" t="s">
        <v>439</v>
      </c>
      <c r="B191" t="s">
        <v>440</v>
      </c>
      <c r="C191" t="s">
        <v>441</v>
      </c>
      <c r="D191" t="s">
        <v>425</v>
      </c>
      <c r="E191" s="3">
        <v>44927</v>
      </c>
      <c r="F191" s="3">
        <f t="shared" si="4"/>
        <v>46753</v>
      </c>
      <c r="G191" t="str">
        <f t="shared" ca="1" si="5"/>
        <v>Valid</v>
      </c>
    </row>
    <row r="192" spans="1:7" ht="15.75" customHeight="1">
      <c r="A192" t="s">
        <v>442</v>
      </c>
      <c r="B192" t="s">
        <v>443</v>
      </c>
      <c r="C192" t="s">
        <v>444</v>
      </c>
      <c r="D192" t="s">
        <v>425</v>
      </c>
      <c r="F192" s="3" t="str">
        <f t="shared" si="4"/>
        <v/>
      </c>
      <c r="G192" t="e">
        <f t="shared" ca="1" si="5"/>
        <v>#VALUE!</v>
      </c>
    </row>
    <row r="193" spans="1:7" ht="15.75" customHeight="1">
      <c r="A193" t="s">
        <v>445</v>
      </c>
      <c r="B193" t="s">
        <v>446</v>
      </c>
      <c r="C193" t="s">
        <v>444</v>
      </c>
      <c r="D193" t="s">
        <v>425</v>
      </c>
      <c r="F193" s="3" t="str">
        <f t="shared" si="4"/>
        <v/>
      </c>
      <c r="G193" t="e">
        <f t="shared" ca="1" si="5"/>
        <v>#VALUE!</v>
      </c>
    </row>
    <row r="194" spans="1:7" ht="15.75" customHeight="1">
      <c r="A194" t="s">
        <v>447</v>
      </c>
      <c r="B194" t="s">
        <v>448</v>
      </c>
      <c r="C194" t="s">
        <v>444</v>
      </c>
      <c r="D194" t="s">
        <v>425</v>
      </c>
      <c r="F194" s="3" t="str">
        <f t="shared" si="4"/>
        <v/>
      </c>
      <c r="G194" t="e">
        <f t="shared" ca="1" si="5"/>
        <v>#VALUE!</v>
      </c>
    </row>
    <row r="195" spans="1:7" ht="15.75" customHeight="1">
      <c r="A195" t="s">
        <v>449</v>
      </c>
      <c r="B195" t="s">
        <v>450</v>
      </c>
      <c r="C195" t="s">
        <v>444</v>
      </c>
      <c r="D195" t="s">
        <v>425</v>
      </c>
      <c r="F195" s="3" t="str">
        <f t="shared" si="4"/>
        <v/>
      </c>
      <c r="G195" t="e">
        <f t="shared" ca="1" si="5"/>
        <v>#VALUE!</v>
      </c>
    </row>
    <row r="196" spans="1:7" ht="15.75" customHeight="1">
      <c r="A196" t="s">
        <v>451</v>
      </c>
      <c r="B196" t="s">
        <v>452</v>
      </c>
      <c r="C196" t="s">
        <v>444</v>
      </c>
      <c r="D196" t="s">
        <v>425</v>
      </c>
      <c r="F196" s="3" t="str">
        <f t="shared" ref="F196:F259" si="6">IF(ISBLANK(E196), "", EDATE(E196, 60))</f>
        <v/>
      </c>
      <c r="G196" t="e">
        <f t="shared" ref="G196:G259" ca="1" si="7">IF(ISBLANK(F196), "", IF(TODAY()&gt;=EDATE(F196, -1), "Due", "Valid"))</f>
        <v>#VALUE!</v>
      </c>
    </row>
    <row r="197" spans="1:7" ht="15.75" customHeight="1">
      <c r="A197" t="s">
        <v>453</v>
      </c>
      <c r="B197" t="s">
        <v>454</v>
      </c>
      <c r="C197" t="s">
        <v>93</v>
      </c>
      <c r="D197" t="s">
        <v>425</v>
      </c>
      <c r="E197" s="3">
        <v>44927</v>
      </c>
      <c r="F197" s="3">
        <f t="shared" si="6"/>
        <v>46753</v>
      </c>
      <c r="G197" t="str">
        <f t="shared" ca="1" si="7"/>
        <v>Valid</v>
      </c>
    </row>
    <row r="198" spans="1:7" ht="15.75" customHeight="1">
      <c r="A198" t="s">
        <v>455</v>
      </c>
      <c r="B198" t="s">
        <v>456</v>
      </c>
      <c r="C198" t="s">
        <v>93</v>
      </c>
      <c r="D198" t="s">
        <v>425</v>
      </c>
      <c r="E198" s="3">
        <v>44927</v>
      </c>
      <c r="F198" s="3">
        <f t="shared" si="6"/>
        <v>46753</v>
      </c>
      <c r="G198" t="str">
        <f t="shared" ca="1" si="7"/>
        <v>Valid</v>
      </c>
    </row>
    <row r="199" spans="1:7" ht="15.75" customHeight="1">
      <c r="A199" t="s">
        <v>457</v>
      </c>
      <c r="B199" t="s">
        <v>458</v>
      </c>
      <c r="C199" t="s">
        <v>93</v>
      </c>
      <c r="D199" t="s">
        <v>425</v>
      </c>
      <c r="F199" s="3" t="str">
        <f t="shared" si="6"/>
        <v/>
      </c>
      <c r="G199" t="e">
        <f t="shared" ca="1" si="7"/>
        <v>#VALUE!</v>
      </c>
    </row>
    <row r="200" spans="1:7" ht="15.75" customHeight="1">
      <c r="A200" t="s">
        <v>459</v>
      </c>
      <c r="B200" t="s">
        <v>460</v>
      </c>
      <c r="C200" t="s">
        <v>461</v>
      </c>
      <c r="D200" t="s">
        <v>425</v>
      </c>
      <c r="E200" s="3">
        <v>44562</v>
      </c>
      <c r="F200" s="3">
        <f t="shared" si="6"/>
        <v>46388</v>
      </c>
      <c r="G200" t="str">
        <f t="shared" ca="1" si="7"/>
        <v>Valid</v>
      </c>
    </row>
    <row r="201" spans="1:7" ht="15.75" customHeight="1">
      <c r="A201" t="s">
        <v>462</v>
      </c>
      <c r="B201" t="s">
        <v>463</v>
      </c>
      <c r="C201" t="s">
        <v>461</v>
      </c>
      <c r="D201" t="s">
        <v>425</v>
      </c>
      <c r="E201" s="3">
        <v>44562</v>
      </c>
      <c r="F201" s="3">
        <f t="shared" si="6"/>
        <v>46388</v>
      </c>
      <c r="G201" t="str">
        <f t="shared" ca="1" si="7"/>
        <v>Valid</v>
      </c>
    </row>
    <row r="202" spans="1:7" ht="15.75" customHeight="1">
      <c r="A202" t="s">
        <v>464</v>
      </c>
      <c r="B202" t="s">
        <v>465</v>
      </c>
      <c r="C202" t="s">
        <v>461</v>
      </c>
      <c r="D202" t="s">
        <v>425</v>
      </c>
      <c r="E202" s="3">
        <v>44562</v>
      </c>
      <c r="F202" s="3">
        <f t="shared" si="6"/>
        <v>46388</v>
      </c>
      <c r="G202" t="str">
        <f t="shared" ca="1" si="7"/>
        <v>Valid</v>
      </c>
    </row>
    <row r="203" spans="1:7" ht="15.75" customHeight="1">
      <c r="A203" t="s">
        <v>466</v>
      </c>
      <c r="B203" t="s">
        <v>467</v>
      </c>
      <c r="C203" t="s">
        <v>461</v>
      </c>
      <c r="D203" t="s">
        <v>425</v>
      </c>
      <c r="E203" s="3">
        <v>44562</v>
      </c>
      <c r="F203" s="3">
        <f t="shared" si="6"/>
        <v>46388</v>
      </c>
      <c r="G203" t="str">
        <f t="shared" ca="1" si="7"/>
        <v>Valid</v>
      </c>
    </row>
    <row r="204" spans="1:7" ht="15.75" customHeight="1">
      <c r="A204" t="s">
        <v>468</v>
      </c>
      <c r="B204" t="s">
        <v>469</v>
      </c>
      <c r="C204" t="s">
        <v>461</v>
      </c>
      <c r="D204" t="s">
        <v>425</v>
      </c>
      <c r="E204" s="3">
        <v>44470</v>
      </c>
      <c r="F204" s="3">
        <f t="shared" si="6"/>
        <v>46296</v>
      </c>
      <c r="G204" t="str">
        <f t="shared" ca="1" si="7"/>
        <v>Valid</v>
      </c>
    </row>
    <row r="205" spans="1:7" ht="15.75" customHeight="1">
      <c r="A205" t="s">
        <v>470</v>
      </c>
      <c r="B205" t="s">
        <v>471</v>
      </c>
      <c r="C205" t="s">
        <v>461</v>
      </c>
      <c r="D205" t="s">
        <v>425</v>
      </c>
      <c r="E205" s="3">
        <v>44470</v>
      </c>
      <c r="F205" s="3">
        <f t="shared" si="6"/>
        <v>46296</v>
      </c>
      <c r="G205" t="str">
        <f t="shared" ca="1" si="7"/>
        <v>Valid</v>
      </c>
    </row>
    <row r="206" spans="1:7" ht="15.75" customHeight="1">
      <c r="A206" t="s">
        <v>472</v>
      </c>
      <c r="B206" t="s">
        <v>473</v>
      </c>
      <c r="C206" t="s">
        <v>461</v>
      </c>
      <c r="D206" t="s">
        <v>425</v>
      </c>
      <c r="E206" s="3">
        <v>44409</v>
      </c>
      <c r="F206" s="3">
        <f t="shared" si="6"/>
        <v>46235</v>
      </c>
      <c r="G206" t="str">
        <f t="shared" ca="1" si="7"/>
        <v>Due</v>
      </c>
    </row>
    <row r="207" spans="1:7" ht="15.75" customHeight="1">
      <c r="A207" t="s">
        <v>474</v>
      </c>
      <c r="B207" t="s">
        <v>475</v>
      </c>
      <c r="C207" t="s">
        <v>461</v>
      </c>
      <c r="D207" t="s">
        <v>425</v>
      </c>
      <c r="E207" s="3">
        <v>44562</v>
      </c>
      <c r="F207" s="3">
        <f t="shared" si="6"/>
        <v>46388</v>
      </c>
      <c r="G207" t="str">
        <f t="shared" ca="1" si="7"/>
        <v>Valid</v>
      </c>
    </row>
    <row r="208" spans="1:7" ht="15.75" customHeight="1">
      <c r="A208" t="s">
        <v>476</v>
      </c>
      <c r="B208" t="s">
        <v>477</v>
      </c>
      <c r="C208" t="s">
        <v>461</v>
      </c>
      <c r="D208" t="s">
        <v>425</v>
      </c>
      <c r="E208" s="3">
        <v>44562</v>
      </c>
      <c r="F208" s="3">
        <f t="shared" si="6"/>
        <v>46388</v>
      </c>
      <c r="G208" t="str">
        <f t="shared" ca="1" si="7"/>
        <v>Valid</v>
      </c>
    </row>
    <row r="209" spans="1:7" ht="15.75" customHeight="1">
      <c r="A209" t="s">
        <v>478</v>
      </c>
      <c r="B209" t="s">
        <v>479</v>
      </c>
      <c r="C209" t="s">
        <v>461</v>
      </c>
      <c r="D209" t="s">
        <v>425</v>
      </c>
      <c r="E209" s="3">
        <v>44501</v>
      </c>
      <c r="F209" s="3">
        <f t="shared" si="6"/>
        <v>46327</v>
      </c>
      <c r="G209" t="str">
        <f t="shared" ca="1" si="7"/>
        <v>Valid</v>
      </c>
    </row>
    <row r="210" spans="1:7" ht="15.75" customHeight="1">
      <c r="A210" t="s">
        <v>480</v>
      </c>
      <c r="B210" t="s">
        <v>481</v>
      </c>
      <c r="C210" t="s">
        <v>461</v>
      </c>
      <c r="D210" t="s">
        <v>425</v>
      </c>
      <c r="E210" s="3">
        <v>44470</v>
      </c>
      <c r="F210" s="3">
        <f t="shared" si="6"/>
        <v>46296</v>
      </c>
      <c r="G210" t="str">
        <f t="shared" ca="1" si="7"/>
        <v>Valid</v>
      </c>
    </row>
    <row r="211" spans="1:7" ht="15.75" customHeight="1">
      <c r="A211" t="s">
        <v>482</v>
      </c>
      <c r="B211" t="s">
        <v>483</v>
      </c>
      <c r="C211" t="s">
        <v>461</v>
      </c>
      <c r="D211" t="s">
        <v>425</v>
      </c>
      <c r="E211" s="3">
        <v>44562</v>
      </c>
      <c r="F211" s="3">
        <f t="shared" si="6"/>
        <v>46388</v>
      </c>
      <c r="G211" t="str">
        <f t="shared" ca="1" si="7"/>
        <v>Valid</v>
      </c>
    </row>
    <row r="212" spans="1:7" ht="15.75" customHeight="1">
      <c r="A212" t="s">
        <v>484</v>
      </c>
      <c r="B212" t="s">
        <v>485</v>
      </c>
      <c r="C212" t="s">
        <v>461</v>
      </c>
      <c r="D212" t="s">
        <v>425</v>
      </c>
      <c r="E212" s="3">
        <v>44501</v>
      </c>
      <c r="F212" s="3">
        <f t="shared" si="6"/>
        <v>46327</v>
      </c>
      <c r="G212" t="str">
        <f t="shared" ca="1" si="7"/>
        <v>Valid</v>
      </c>
    </row>
    <row r="213" spans="1:7" ht="15.75" customHeight="1">
      <c r="A213" t="s">
        <v>486</v>
      </c>
      <c r="B213" t="s">
        <v>487</v>
      </c>
      <c r="C213" t="s">
        <v>461</v>
      </c>
      <c r="D213" t="s">
        <v>425</v>
      </c>
      <c r="E213" s="3">
        <v>44531</v>
      </c>
      <c r="F213" s="3">
        <f t="shared" si="6"/>
        <v>46357</v>
      </c>
      <c r="G213" t="str">
        <f t="shared" ca="1" si="7"/>
        <v>Valid</v>
      </c>
    </row>
    <row r="214" spans="1:7" ht="15.75" customHeight="1">
      <c r="A214" t="s">
        <v>488</v>
      </c>
      <c r="B214" t="s">
        <v>489</v>
      </c>
      <c r="C214" t="s">
        <v>461</v>
      </c>
      <c r="D214" t="s">
        <v>425</v>
      </c>
      <c r="E214" s="3">
        <v>44562</v>
      </c>
      <c r="F214" s="3">
        <f t="shared" si="6"/>
        <v>46388</v>
      </c>
      <c r="G214" t="str">
        <f t="shared" ca="1" si="7"/>
        <v>Valid</v>
      </c>
    </row>
    <row r="215" spans="1:7" ht="15.75" customHeight="1">
      <c r="A215" t="s">
        <v>490</v>
      </c>
      <c r="B215" t="s">
        <v>491</v>
      </c>
      <c r="C215" t="s">
        <v>461</v>
      </c>
      <c r="D215" t="s">
        <v>425</v>
      </c>
      <c r="E215" s="3">
        <v>44531</v>
      </c>
      <c r="F215" s="3">
        <f t="shared" si="6"/>
        <v>46357</v>
      </c>
      <c r="G215" t="str">
        <f t="shared" ca="1" si="7"/>
        <v>Valid</v>
      </c>
    </row>
    <row r="216" spans="1:7" ht="15.75" customHeight="1">
      <c r="A216" t="s">
        <v>492</v>
      </c>
      <c r="B216" t="s">
        <v>493</v>
      </c>
      <c r="C216" t="s">
        <v>461</v>
      </c>
      <c r="D216" t="s">
        <v>425</v>
      </c>
      <c r="E216" s="3">
        <v>44562</v>
      </c>
      <c r="F216" s="3">
        <f t="shared" si="6"/>
        <v>46388</v>
      </c>
      <c r="G216" t="str">
        <f t="shared" ca="1" si="7"/>
        <v>Valid</v>
      </c>
    </row>
    <row r="217" spans="1:7" ht="15.75" customHeight="1">
      <c r="A217" t="s">
        <v>494</v>
      </c>
      <c r="B217" t="s">
        <v>495</v>
      </c>
      <c r="C217" t="s">
        <v>461</v>
      </c>
      <c r="D217" t="s">
        <v>425</v>
      </c>
      <c r="E217" s="3">
        <v>44501</v>
      </c>
      <c r="F217" s="3">
        <f t="shared" si="6"/>
        <v>46327</v>
      </c>
      <c r="G217" t="str">
        <f t="shared" ca="1" si="7"/>
        <v>Valid</v>
      </c>
    </row>
    <row r="218" spans="1:7" ht="15.75" customHeight="1">
      <c r="A218" t="s">
        <v>496</v>
      </c>
      <c r="B218" t="s">
        <v>497</v>
      </c>
      <c r="C218" t="s">
        <v>461</v>
      </c>
      <c r="D218" t="s">
        <v>425</v>
      </c>
      <c r="E218" s="3">
        <v>44562</v>
      </c>
      <c r="F218" s="3">
        <f t="shared" si="6"/>
        <v>46388</v>
      </c>
      <c r="G218" t="str">
        <f t="shared" ca="1" si="7"/>
        <v>Valid</v>
      </c>
    </row>
    <row r="219" spans="1:7" ht="15.75" customHeight="1">
      <c r="A219" t="s">
        <v>498</v>
      </c>
      <c r="B219" t="s">
        <v>499</v>
      </c>
      <c r="C219" t="s">
        <v>461</v>
      </c>
      <c r="D219" t="s">
        <v>425</v>
      </c>
      <c r="E219" s="3">
        <v>44562</v>
      </c>
      <c r="F219" s="3">
        <f t="shared" si="6"/>
        <v>46388</v>
      </c>
      <c r="G219" t="str">
        <f t="shared" ca="1" si="7"/>
        <v>Valid</v>
      </c>
    </row>
    <row r="220" spans="1:7" ht="15.75" customHeight="1">
      <c r="A220" t="s">
        <v>500</v>
      </c>
      <c r="B220" t="s">
        <v>501</v>
      </c>
      <c r="C220" t="s">
        <v>461</v>
      </c>
      <c r="D220" t="s">
        <v>425</v>
      </c>
      <c r="E220" s="3">
        <v>44562</v>
      </c>
      <c r="F220" s="3">
        <f t="shared" si="6"/>
        <v>46388</v>
      </c>
      <c r="G220" t="str">
        <f t="shared" ca="1" si="7"/>
        <v>Valid</v>
      </c>
    </row>
    <row r="221" spans="1:7" ht="15.75" customHeight="1">
      <c r="A221" t="s">
        <v>502</v>
      </c>
      <c r="B221" t="s">
        <v>503</v>
      </c>
      <c r="C221" t="s">
        <v>461</v>
      </c>
      <c r="D221" t="s">
        <v>425</v>
      </c>
      <c r="E221" s="3">
        <v>44562</v>
      </c>
      <c r="F221" s="3">
        <f t="shared" si="6"/>
        <v>46388</v>
      </c>
      <c r="G221" t="str">
        <f t="shared" ca="1" si="7"/>
        <v>Valid</v>
      </c>
    </row>
    <row r="222" spans="1:7" ht="15.75" customHeight="1">
      <c r="A222" t="s">
        <v>504</v>
      </c>
      <c r="B222" t="s">
        <v>505</v>
      </c>
      <c r="C222" t="s">
        <v>461</v>
      </c>
      <c r="D222" t="s">
        <v>425</v>
      </c>
      <c r="E222" s="3">
        <v>44562</v>
      </c>
      <c r="F222" s="3">
        <f t="shared" si="6"/>
        <v>46388</v>
      </c>
      <c r="G222" t="str">
        <f t="shared" ca="1" si="7"/>
        <v>Valid</v>
      </c>
    </row>
    <row r="223" spans="1:7" ht="15.75" customHeight="1">
      <c r="A223" t="s">
        <v>506</v>
      </c>
      <c r="B223" t="s">
        <v>507</v>
      </c>
      <c r="C223" t="s">
        <v>461</v>
      </c>
      <c r="D223" t="s">
        <v>425</v>
      </c>
      <c r="E223" s="3">
        <v>44562</v>
      </c>
      <c r="F223" s="3">
        <f t="shared" si="6"/>
        <v>46388</v>
      </c>
      <c r="G223" t="str">
        <f t="shared" ca="1" si="7"/>
        <v>Valid</v>
      </c>
    </row>
    <row r="224" spans="1:7" ht="15.75" customHeight="1">
      <c r="A224" t="s">
        <v>508</v>
      </c>
      <c r="B224" t="s">
        <v>509</v>
      </c>
      <c r="C224" t="s">
        <v>461</v>
      </c>
      <c r="D224" t="s">
        <v>425</v>
      </c>
      <c r="E224" s="3">
        <v>44562</v>
      </c>
      <c r="F224" s="3">
        <f t="shared" si="6"/>
        <v>46388</v>
      </c>
      <c r="G224" t="str">
        <f t="shared" ca="1" si="7"/>
        <v>Valid</v>
      </c>
    </row>
    <row r="225" spans="1:7" ht="15.75" customHeight="1">
      <c r="A225" t="s">
        <v>510</v>
      </c>
      <c r="B225" t="s">
        <v>511</v>
      </c>
      <c r="C225" t="s">
        <v>461</v>
      </c>
      <c r="D225" t="s">
        <v>425</v>
      </c>
      <c r="E225" s="3">
        <v>44562</v>
      </c>
      <c r="F225" s="3">
        <f t="shared" si="6"/>
        <v>46388</v>
      </c>
      <c r="G225" t="str">
        <f t="shared" ca="1" si="7"/>
        <v>Valid</v>
      </c>
    </row>
    <row r="226" spans="1:7" ht="15.75" customHeight="1">
      <c r="A226" t="s">
        <v>512</v>
      </c>
      <c r="B226" t="s">
        <v>513</v>
      </c>
      <c r="C226" t="s">
        <v>461</v>
      </c>
      <c r="D226" t="s">
        <v>425</v>
      </c>
      <c r="E226" s="3">
        <v>44562</v>
      </c>
      <c r="F226" s="3">
        <f t="shared" si="6"/>
        <v>46388</v>
      </c>
      <c r="G226" t="str">
        <f t="shared" ca="1" si="7"/>
        <v>Valid</v>
      </c>
    </row>
    <row r="227" spans="1:7" ht="15.75" customHeight="1">
      <c r="A227" t="s">
        <v>514</v>
      </c>
      <c r="B227" t="s">
        <v>515</v>
      </c>
      <c r="C227" t="s">
        <v>93</v>
      </c>
      <c r="D227" t="s">
        <v>425</v>
      </c>
      <c r="E227" s="3">
        <v>44562</v>
      </c>
      <c r="F227" s="3">
        <f t="shared" si="6"/>
        <v>46388</v>
      </c>
      <c r="G227" t="str">
        <f t="shared" ca="1" si="7"/>
        <v>Valid</v>
      </c>
    </row>
    <row r="228" spans="1:7" ht="15.75" customHeight="1">
      <c r="A228" t="s">
        <v>516</v>
      </c>
      <c r="B228" t="s">
        <v>517</v>
      </c>
      <c r="C228" t="s">
        <v>461</v>
      </c>
      <c r="D228" t="s">
        <v>425</v>
      </c>
      <c r="E228" s="3">
        <v>44927</v>
      </c>
      <c r="F228" s="3">
        <f t="shared" si="6"/>
        <v>46753</v>
      </c>
      <c r="G228" t="str">
        <f t="shared" ca="1" si="7"/>
        <v>Valid</v>
      </c>
    </row>
    <row r="229" spans="1:7" ht="15.75" customHeight="1">
      <c r="A229" t="s">
        <v>518</v>
      </c>
      <c r="B229" t="s">
        <v>519</v>
      </c>
      <c r="C229" t="s">
        <v>461</v>
      </c>
      <c r="D229" t="s">
        <v>425</v>
      </c>
      <c r="E229" s="3">
        <v>44927</v>
      </c>
      <c r="F229" s="3">
        <f t="shared" si="6"/>
        <v>46753</v>
      </c>
      <c r="G229" t="str">
        <f t="shared" ca="1" si="7"/>
        <v>Valid</v>
      </c>
    </row>
    <row r="230" spans="1:7" ht="15.75" customHeight="1">
      <c r="A230" t="s">
        <v>520</v>
      </c>
      <c r="B230" t="s">
        <v>521</v>
      </c>
      <c r="C230" t="s">
        <v>461</v>
      </c>
      <c r="D230" t="s">
        <v>425</v>
      </c>
      <c r="E230" s="3">
        <v>44927</v>
      </c>
      <c r="F230" s="3">
        <f t="shared" si="6"/>
        <v>46753</v>
      </c>
      <c r="G230" t="str">
        <f t="shared" ca="1" si="7"/>
        <v>Valid</v>
      </c>
    </row>
    <row r="231" spans="1:7" ht="15.75" customHeight="1">
      <c r="A231" t="s">
        <v>522</v>
      </c>
      <c r="B231" t="s">
        <v>523</v>
      </c>
      <c r="C231" t="s">
        <v>461</v>
      </c>
      <c r="D231" t="s">
        <v>425</v>
      </c>
      <c r="E231" s="3">
        <v>44927</v>
      </c>
      <c r="F231" s="3">
        <f t="shared" si="6"/>
        <v>46753</v>
      </c>
      <c r="G231" t="str">
        <f t="shared" ca="1" si="7"/>
        <v>Valid</v>
      </c>
    </row>
    <row r="232" spans="1:7" ht="15.75" customHeight="1">
      <c r="A232" t="s">
        <v>524</v>
      </c>
      <c r="B232" t="s">
        <v>525</v>
      </c>
      <c r="C232" t="s">
        <v>461</v>
      </c>
      <c r="D232" t="s">
        <v>425</v>
      </c>
      <c r="E232" s="3">
        <v>44562</v>
      </c>
      <c r="F232" s="3">
        <f t="shared" si="6"/>
        <v>46388</v>
      </c>
      <c r="G232" t="str">
        <f t="shared" ca="1" si="7"/>
        <v>Valid</v>
      </c>
    </row>
    <row r="233" spans="1:7" ht="15.75" customHeight="1">
      <c r="A233" t="s">
        <v>526</v>
      </c>
      <c r="B233" t="s">
        <v>527</v>
      </c>
      <c r="C233" t="s">
        <v>461</v>
      </c>
      <c r="D233" t="s">
        <v>425</v>
      </c>
      <c r="E233" s="3">
        <v>44927</v>
      </c>
      <c r="F233" s="3">
        <f t="shared" si="6"/>
        <v>46753</v>
      </c>
      <c r="G233" t="str">
        <f t="shared" ca="1" si="7"/>
        <v>Valid</v>
      </c>
    </row>
    <row r="234" spans="1:7" ht="15.75" customHeight="1">
      <c r="A234" t="s">
        <v>528</v>
      </c>
      <c r="B234" t="s">
        <v>529</v>
      </c>
      <c r="C234" t="s">
        <v>461</v>
      </c>
      <c r="D234" t="s">
        <v>425</v>
      </c>
      <c r="E234" s="3">
        <v>44927</v>
      </c>
      <c r="F234" s="3">
        <f t="shared" si="6"/>
        <v>46753</v>
      </c>
      <c r="G234" t="str">
        <f t="shared" ca="1" si="7"/>
        <v>Valid</v>
      </c>
    </row>
    <row r="235" spans="1:7" ht="15.75" customHeight="1">
      <c r="A235" t="s">
        <v>530</v>
      </c>
      <c r="B235" t="s">
        <v>531</v>
      </c>
      <c r="C235" t="s">
        <v>461</v>
      </c>
      <c r="D235" t="s">
        <v>425</v>
      </c>
      <c r="E235" s="3">
        <v>44927</v>
      </c>
      <c r="F235" s="3">
        <f t="shared" si="6"/>
        <v>46753</v>
      </c>
      <c r="G235" t="str">
        <f t="shared" ca="1" si="7"/>
        <v>Valid</v>
      </c>
    </row>
    <row r="236" spans="1:7" ht="15.75" customHeight="1">
      <c r="A236" t="s">
        <v>532</v>
      </c>
      <c r="B236" t="s">
        <v>533</v>
      </c>
      <c r="C236" t="s">
        <v>461</v>
      </c>
      <c r="D236" t="s">
        <v>425</v>
      </c>
      <c r="E236" s="3">
        <v>44927</v>
      </c>
      <c r="F236" s="3">
        <f t="shared" si="6"/>
        <v>46753</v>
      </c>
      <c r="G236" t="str">
        <f t="shared" ca="1" si="7"/>
        <v>Valid</v>
      </c>
    </row>
    <row r="237" spans="1:7" ht="15.75" customHeight="1">
      <c r="A237" t="s">
        <v>534</v>
      </c>
      <c r="B237" t="s">
        <v>535</v>
      </c>
      <c r="C237" t="s">
        <v>461</v>
      </c>
      <c r="D237" t="s">
        <v>425</v>
      </c>
      <c r="E237" s="3">
        <v>44927</v>
      </c>
      <c r="F237" s="3">
        <f t="shared" si="6"/>
        <v>46753</v>
      </c>
      <c r="G237" t="str">
        <f t="shared" ca="1" si="7"/>
        <v>Valid</v>
      </c>
    </row>
    <row r="238" spans="1:7" ht="15.75" customHeight="1">
      <c r="A238" t="s">
        <v>536</v>
      </c>
      <c r="B238" t="s">
        <v>537</v>
      </c>
      <c r="C238" t="s">
        <v>461</v>
      </c>
      <c r="D238" t="s">
        <v>425</v>
      </c>
      <c r="E238" s="3">
        <v>44927</v>
      </c>
      <c r="F238" s="3">
        <f t="shared" si="6"/>
        <v>46753</v>
      </c>
      <c r="G238" t="str">
        <f t="shared" ca="1" si="7"/>
        <v>Valid</v>
      </c>
    </row>
    <row r="239" spans="1:7" ht="15.75" customHeight="1">
      <c r="A239" t="s">
        <v>538</v>
      </c>
      <c r="B239" t="s">
        <v>539</v>
      </c>
      <c r="C239" t="s">
        <v>39</v>
      </c>
      <c r="D239" t="s">
        <v>425</v>
      </c>
      <c r="E239" s="3">
        <v>45292</v>
      </c>
      <c r="F239" s="3">
        <f t="shared" si="6"/>
        <v>47119</v>
      </c>
      <c r="G239" t="str">
        <f t="shared" ca="1" si="7"/>
        <v>Valid</v>
      </c>
    </row>
    <row r="240" spans="1:7" ht="15.75" customHeight="1">
      <c r="A240" t="s">
        <v>540</v>
      </c>
      <c r="B240" t="s">
        <v>541</v>
      </c>
      <c r="C240" t="s">
        <v>39</v>
      </c>
      <c r="D240" t="s">
        <v>425</v>
      </c>
      <c r="E240" s="3">
        <v>44501</v>
      </c>
      <c r="F240" s="3">
        <f t="shared" si="6"/>
        <v>46327</v>
      </c>
      <c r="G240" t="str">
        <f t="shared" ca="1" si="7"/>
        <v>Valid</v>
      </c>
    </row>
    <row r="241" spans="1:7" ht="15.75" customHeight="1">
      <c r="A241" t="s">
        <v>542</v>
      </c>
      <c r="B241" t="s">
        <v>543</v>
      </c>
      <c r="C241" t="s">
        <v>39</v>
      </c>
      <c r="D241" t="s">
        <v>425</v>
      </c>
      <c r="E241" s="3">
        <v>44927</v>
      </c>
      <c r="F241" s="3">
        <f t="shared" si="6"/>
        <v>46753</v>
      </c>
      <c r="G241" t="str">
        <f t="shared" ca="1" si="7"/>
        <v>Valid</v>
      </c>
    </row>
    <row r="242" spans="1:7" ht="15.75" customHeight="1">
      <c r="A242" t="s">
        <v>544</v>
      </c>
      <c r="B242" t="s">
        <v>545</v>
      </c>
      <c r="C242" t="s">
        <v>39</v>
      </c>
      <c r="D242" t="s">
        <v>425</v>
      </c>
      <c r="E242" s="3">
        <v>44927</v>
      </c>
      <c r="F242" s="3">
        <f t="shared" si="6"/>
        <v>46753</v>
      </c>
      <c r="G242" t="str">
        <f t="shared" ca="1" si="7"/>
        <v>Valid</v>
      </c>
    </row>
    <row r="243" spans="1:7" ht="15.75" customHeight="1">
      <c r="A243" t="s">
        <v>546</v>
      </c>
      <c r="B243" t="s">
        <v>547</v>
      </c>
      <c r="C243" t="s">
        <v>39</v>
      </c>
      <c r="D243" t="s">
        <v>425</v>
      </c>
      <c r="E243" s="3">
        <v>44501</v>
      </c>
      <c r="F243" s="3">
        <f t="shared" si="6"/>
        <v>46327</v>
      </c>
      <c r="G243" t="str">
        <f t="shared" ca="1" si="7"/>
        <v>Valid</v>
      </c>
    </row>
    <row r="244" spans="1:7" ht="15.75" customHeight="1">
      <c r="A244" t="s">
        <v>548</v>
      </c>
      <c r="B244" t="s">
        <v>549</v>
      </c>
      <c r="C244" t="s">
        <v>39</v>
      </c>
      <c r="D244" t="s">
        <v>425</v>
      </c>
      <c r="E244" s="3">
        <v>44470</v>
      </c>
      <c r="F244" s="3">
        <f t="shared" si="6"/>
        <v>46296</v>
      </c>
      <c r="G244" t="str">
        <f t="shared" ca="1" si="7"/>
        <v>Valid</v>
      </c>
    </row>
    <row r="245" spans="1:7" ht="15.75" customHeight="1">
      <c r="A245" t="s">
        <v>550</v>
      </c>
      <c r="B245" t="s">
        <v>551</v>
      </c>
      <c r="C245" t="s">
        <v>39</v>
      </c>
      <c r="D245" t="s">
        <v>425</v>
      </c>
      <c r="E245" s="3">
        <v>44501</v>
      </c>
      <c r="F245" s="3">
        <f t="shared" si="6"/>
        <v>46327</v>
      </c>
      <c r="G245" t="str">
        <f t="shared" ca="1" si="7"/>
        <v>Valid</v>
      </c>
    </row>
    <row r="246" spans="1:7" ht="15.75" customHeight="1">
      <c r="A246" t="s">
        <v>552</v>
      </c>
      <c r="B246" t="s">
        <v>553</v>
      </c>
      <c r="C246" t="s">
        <v>39</v>
      </c>
      <c r="D246" t="s">
        <v>425</v>
      </c>
      <c r="E246" s="3">
        <v>44501</v>
      </c>
      <c r="F246" s="3">
        <f t="shared" si="6"/>
        <v>46327</v>
      </c>
      <c r="G246" t="str">
        <f t="shared" ca="1" si="7"/>
        <v>Valid</v>
      </c>
    </row>
    <row r="247" spans="1:7" ht="15.75" customHeight="1">
      <c r="A247" t="s">
        <v>554</v>
      </c>
      <c r="B247" t="s">
        <v>555</v>
      </c>
      <c r="C247" t="s">
        <v>39</v>
      </c>
      <c r="D247" t="s">
        <v>425</v>
      </c>
      <c r="E247" s="3">
        <v>44470</v>
      </c>
      <c r="F247" s="3">
        <f t="shared" si="6"/>
        <v>46296</v>
      </c>
      <c r="G247" t="str">
        <f t="shared" ca="1" si="7"/>
        <v>Valid</v>
      </c>
    </row>
    <row r="248" spans="1:7" ht="15.75" customHeight="1">
      <c r="A248" t="s">
        <v>556</v>
      </c>
      <c r="B248" t="s">
        <v>557</v>
      </c>
      <c r="C248" t="s">
        <v>39</v>
      </c>
      <c r="D248" t="s">
        <v>425</v>
      </c>
      <c r="E248" s="3">
        <v>44409</v>
      </c>
      <c r="F248" s="3">
        <f t="shared" si="6"/>
        <v>46235</v>
      </c>
      <c r="G248" t="str">
        <f t="shared" ca="1" si="7"/>
        <v>Due</v>
      </c>
    </row>
    <row r="249" spans="1:7" ht="15.75" customHeight="1">
      <c r="A249" t="s">
        <v>558</v>
      </c>
      <c r="B249" t="s">
        <v>559</v>
      </c>
      <c r="C249" t="s">
        <v>139</v>
      </c>
      <c r="D249" t="s">
        <v>425</v>
      </c>
      <c r="E249" s="3">
        <v>45292</v>
      </c>
      <c r="F249" s="3">
        <f t="shared" si="6"/>
        <v>47119</v>
      </c>
      <c r="G249" t="str">
        <f t="shared" ca="1" si="7"/>
        <v>Valid</v>
      </c>
    </row>
    <row r="250" spans="1:7" ht="15.75" customHeight="1">
      <c r="A250" t="s">
        <v>560</v>
      </c>
      <c r="B250" t="s">
        <v>561</v>
      </c>
      <c r="C250" t="s">
        <v>139</v>
      </c>
      <c r="D250" t="s">
        <v>425</v>
      </c>
      <c r="E250" s="3">
        <v>45292</v>
      </c>
      <c r="F250" s="3">
        <f t="shared" si="6"/>
        <v>47119</v>
      </c>
      <c r="G250" t="str">
        <f t="shared" ca="1" si="7"/>
        <v>Valid</v>
      </c>
    </row>
    <row r="251" spans="1:7" ht="15.75" customHeight="1">
      <c r="A251" t="s">
        <v>562</v>
      </c>
      <c r="B251" t="s">
        <v>563</v>
      </c>
      <c r="C251" t="s">
        <v>139</v>
      </c>
      <c r="D251" t="s">
        <v>425</v>
      </c>
      <c r="E251" s="3">
        <v>45292</v>
      </c>
      <c r="F251" s="3">
        <f t="shared" si="6"/>
        <v>47119</v>
      </c>
      <c r="G251" t="str">
        <f t="shared" ca="1" si="7"/>
        <v>Valid</v>
      </c>
    </row>
    <row r="252" spans="1:7" ht="15.75" customHeight="1">
      <c r="A252" t="s">
        <v>564</v>
      </c>
      <c r="B252" t="s">
        <v>565</v>
      </c>
      <c r="C252" t="s">
        <v>139</v>
      </c>
      <c r="D252" t="s">
        <v>425</v>
      </c>
      <c r="E252" s="3">
        <v>45658</v>
      </c>
      <c r="F252" s="3">
        <f t="shared" si="6"/>
        <v>47484</v>
      </c>
      <c r="G252" t="str">
        <f t="shared" ca="1" si="7"/>
        <v>Valid</v>
      </c>
    </row>
    <row r="253" spans="1:7" ht="15.75" customHeight="1">
      <c r="A253" t="s">
        <v>566</v>
      </c>
      <c r="B253" t="s">
        <v>567</v>
      </c>
      <c r="C253" t="s">
        <v>139</v>
      </c>
      <c r="D253" t="s">
        <v>425</v>
      </c>
      <c r="E253" s="3">
        <v>45658</v>
      </c>
      <c r="F253" s="3">
        <f t="shared" si="6"/>
        <v>47484</v>
      </c>
      <c r="G253" t="str">
        <f t="shared" ca="1" si="7"/>
        <v>Valid</v>
      </c>
    </row>
    <row r="254" spans="1:7" ht="15.75" customHeight="1">
      <c r="A254" t="s">
        <v>568</v>
      </c>
      <c r="B254" t="s">
        <v>569</v>
      </c>
      <c r="C254" t="s">
        <v>139</v>
      </c>
      <c r="D254" t="s">
        <v>425</v>
      </c>
      <c r="E254" s="3">
        <v>44409</v>
      </c>
      <c r="F254" s="3">
        <f t="shared" si="6"/>
        <v>46235</v>
      </c>
      <c r="G254" t="str">
        <f t="shared" ca="1" si="7"/>
        <v>Due</v>
      </c>
    </row>
    <row r="255" spans="1:7" ht="15.75" customHeight="1">
      <c r="A255" t="s">
        <v>570</v>
      </c>
      <c r="B255" t="s">
        <v>571</v>
      </c>
      <c r="C255" t="s">
        <v>139</v>
      </c>
      <c r="D255" t="s">
        <v>425</v>
      </c>
      <c r="E255" s="3">
        <v>44409</v>
      </c>
      <c r="F255" s="3">
        <f t="shared" si="6"/>
        <v>46235</v>
      </c>
      <c r="G255" t="str">
        <f t="shared" ca="1" si="7"/>
        <v>Due</v>
      </c>
    </row>
    <row r="256" spans="1:7" ht="15.75" customHeight="1">
      <c r="A256" t="s">
        <v>572</v>
      </c>
      <c r="B256" t="s">
        <v>573</v>
      </c>
      <c r="C256" t="s">
        <v>139</v>
      </c>
      <c r="D256" t="s">
        <v>425</v>
      </c>
      <c r="E256" s="3">
        <v>44927</v>
      </c>
      <c r="F256" s="3">
        <f t="shared" si="6"/>
        <v>46753</v>
      </c>
      <c r="G256" t="str">
        <f t="shared" ca="1" si="7"/>
        <v>Valid</v>
      </c>
    </row>
    <row r="257" spans="1:7" ht="15.75" customHeight="1">
      <c r="A257" t="s">
        <v>574</v>
      </c>
      <c r="B257" t="s">
        <v>575</v>
      </c>
      <c r="C257" t="s">
        <v>139</v>
      </c>
      <c r="D257" t="s">
        <v>425</v>
      </c>
      <c r="E257" s="3">
        <v>45292</v>
      </c>
      <c r="F257" s="3">
        <f t="shared" si="6"/>
        <v>47119</v>
      </c>
      <c r="G257" t="str">
        <f t="shared" ca="1" si="7"/>
        <v>Valid</v>
      </c>
    </row>
    <row r="258" spans="1:7" ht="15.75" customHeight="1">
      <c r="A258" t="s">
        <v>576</v>
      </c>
      <c r="B258" t="s">
        <v>577</v>
      </c>
      <c r="C258" t="s">
        <v>139</v>
      </c>
      <c r="D258" t="s">
        <v>425</v>
      </c>
      <c r="E258" s="3">
        <v>45292</v>
      </c>
      <c r="F258" s="3">
        <f t="shared" si="6"/>
        <v>47119</v>
      </c>
      <c r="G258" t="str">
        <f t="shared" ca="1" si="7"/>
        <v>Valid</v>
      </c>
    </row>
    <row r="259" spans="1:7" ht="15.75" customHeight="1">
      <c r="A259" t="s">
        <v>578</v>
      </c>
      <c r="B259" t="s">
        <v>579</v>
      </c>
      <c r="C259" t="s">
        <v>139</v>
      </c>
      <c r="D259" t="s">
        <v>425</v>
      </c>
      <c r="E259" s="3">
        <v>44927</v>
      </c>
      <c r="F259" s="3">
        <f t="shared" si="6"/>
        <v>46753</v>
      </c>
      <c r="G259" t="str">
        <f t="shared" ca="1" si="7"/>
        <v>Valid</v>
      </c>
    </row>
    <row r="260" spans="1:7" ht="15.75" customHeight="1">
      <c r="A260" t="s">
        <v>580</v>
      </c>
      <c r="B260" t="s">
        <v>581</v>
      </c>
      <c r="C260" t="s">
        <v>139</v>
      </c>
      <c r="D260" t="s">
        <v>425</v>
      </c>
      <c r="E260" s="3">
        <v>44927</v>
      </c>
      <c r="F260" s="3">
        <f t="shared" ref="F260:F307" si="8">IF(ISBLANK(E260), "", EDATE(E260, 60))</f>
        <v>46753</v>
      </c>
      <c r="G260" t="str">
        <f t="shared" ref="G260:G307" ca="1" si="9">IF(ISBLANK(F260), "", IF(TODAY()&gt;=EDATE(F260, -1), "Due", "Valid"))</f>
        <v>Valid</v>
      </c>
    </row>
    <row r="261" spans="1:7" ht="15.75" customHeight="1">
      <c r="A261" t="s">
        <v>582</v>
      </c>
      <c r="B261" t="s">
        <v>583</v>
      </c>
      <c r="C261" t="s">
        <v>64</v>
      </c>
      <c r="D261" t="s">
        <v>425</v>
      </c>
      <c r="E261" s="3">
        <v>44409</v>
      </c>
      <c r="F261" s="3">
        <f t="shared" si="8"/>
        <v>46235</v>
      </c>
      <c r="G261" t="str">
        <f t="shared" ca="1" si="9"/>
        <v>Due</v>
      </c>
    </row>
    <row r="262" spans="1:7" ht="15.75" customHeight="1">
      <c r="A262" t="s">
        <v>584</v>
      </c>
      <c r="B262" t="s">
        <v>585</v>
      </c>
      <c r="C262" t="s">
        <v>64</v>
      </c>
      <c r="D262" t="s">
        <v>425</v>
      </c>
      <c r="E262" s="3">
        <v>44562</v>
      </c>
      <c r="F262" s="3">
        <f t="shared" si="8"/>
        <v>46388</v>
      </c>
      <c r="G262" t="str">
        <f t="shared" ca="1" si="9"/>
        <v>Valid</v>
      </c>
    </row>
    <row r="263" spans="1:7" ht="15.75" customHeight="1">
      <c r="A263" t="s">
        <v>586</v>
      </c>
      <c r="B263" t="s">
        <v>587</v>
      </c>
      <c r="C263" t="s">
        <v>64</v>
      </c>
      <c r="D263" t="s">
        <v>425</v>
      </c>
      <c r="E263" s="3">
        <v>44562</v>
      </c>
      <c r="F263" s="3">
        <f t="shared" si="8"/>
        <v>46388</v>
      </c>
      <c r="G263" t="str">
        <f t="shared" ca="1" si="9"/>
        <v>Valid</v>
      </c>
    </row>
    <row r="264" spans="1:7" ht="15.75" customHeight="1">
      <c r="A264" t="s">
        <v>588</v>
      </c>
      <c r="B264" t="s">
        <v>589</v>
      </c>
      <c r="C264" t="s">
        <v>438</v>
      </c>
      <c r="D264" t="s">
        <v>425</v>
      </c>
      <c r="E264" s="3">
        <v>45292</v>
      </c>
      <c r="F264" s="3">
        <f t="shared" si="8"/>
        <v>47119</v>
      </c>
      <c r="G264" t="str">
        <f t="shared" ca="1" si="9"/>
        <v>Valid</v>
      </c>
    </row>
    <row r="265" spans="1:7" ht="15.75" customHeight="1">
      <c r="A265" t="s">
        <v>590</v>
      </c>
      <c r="B265" t="s">
        <v>591</v>
      </c>
      <c r="C265" t="s">
        <v>592</v>
      </c>
      <c r="D265" t="s">
        <v>425</v>
      </c>
      <c r="E265" s="3">
        <v>44927</v>
      </c>
      <c r="F265" s="3">
        <f t="shared" si="8"/>
        <v>46753</v>
      </c>
      <c r="G265" t="str">
        <f t="shared" ca="1" si="9"/>
        <v>Valid</v>
      </c>
    </row>
    <row r="266" spans="1:7" ht="15.75" customHeight="1">
      <c r="A266" t="s">
        <v>593</v>
      </c>
      <c r="B266" t="s">
        <v>594</v>
      </c>
      <c r="C266" t="s">
        <v>168</v>
      </c>
      <c r="D266" t="s">
        <v>425</v>
      </c>
      <c r="E266" s="3">
        <v>44927</v>
      </c>
      <c r="F266" s="3">
        <f t="shared" si="8"/>
        <v>46753</v>
      </c>
      <c r="G266" t="str">
        <f t="shared" ca="1" si="9"/>
        <v>Valid</v>
      </c>
    </row>
    <row r="267" spans="1:7" ht="15.75" customHeight="1">
      <c r="A267" t="s">
        <v>595</v>
      </c>
      <c r="B267" t="s">
        <v>596</v>
      </c>
      <c r="C267" t="s">
        <v>592</v>
      </c>
      <c r="D267" t="s">
        <v>425</v>
      </c>
      <c r="E267" s="3">
        <v>44927</v>
      </c>
      <c r="F267" s="3">
        <f t="shared" si="8"/>
        <v>46753</v>
      </c>
      <c r="G267" t="str">
        <f t="shared" ca="1" si="9"/>
        <v>Valid</v>
      </c>
    </row>
    <row r="268" spans="1:7" ht="15.75" customHeight="1">
      <c r="A268" t="s">
        <v>597</v>
      </c>
      <c r="B268" t="s">
        <v>598</v>
      </c>
      <c r="C268" t="s">
        <v>168</v>
      </c>
      <c r="D268" t="s">
        <v>425</v>
      </c>
      <c r="E268" s="3">
        <v>45292</v>
      </c>
      <c r="F268" s="3">
        <f t="shared" si="8"/>
        <v>47119</v>
      </c>
      <c r="G268" t="str">
        <f t="shared" ca="1" si="9"/>
        <v>Valid</v>
      </c>
    </row>
    <row r="269" spans="1:7" ht="15.75" customHeight="1">
      <c r="A269" t="s">
        <v>599</v>
      </c>
      <c r="B269" t="s">
        <v>600</v>
      </c>
      <c r="C269" t="s">
        <v>64</v>
      </c>
      <c r="D269" t="s">
        <v>425</v>
      </c>
      <c r="E269" s="3">
        <v>45658</v>
      </c>
      <c r="F269" s="3">
        <f t="shared" si="8"/>
        <v>47484</v>
      </c>
      <c r="G269" t="str">
        <f t="shared" ca="1" si="9"/>
        <v>Valid</v>
      </c>
    </row>
    <row r="270" spans="1:7" ht="15.75" customHeight="1">
      <c r="A270" t="s">
        <v>601</v>
      </c>
      <c r="B270" t="s">
        <v>602</v>
      </c>
      <c r="C270" t="s">
        <v>82</v>
      </c>
      <c r="D270" t="s">
        <v>425</v>
      </c>
      <c r="E270" s="3">
        <v>44348</v>
      </c>
      <c r="F270" s="3">
        <f t="shared" si="8"/>
        <v>46174</v>
      </c>
      <c r="G270" t="str">
        <f t="shared" ca="1" si="9"/>
        <v>Due</v>
      </c>
    </row>
    <row r="271" spans="1:7" ht="15.75" customHeight="1">
      <c r="A271" t="s">
        <v>603</v>
      </c>
      <c r="B271" t="s">
        <v>604</v>
      </c>
      <c r="C271" t="s">
        <v>15</v>
      </c>
      <c r="D271" t="s">
        <v>425</v>
      </c>
      <c r="E271" s="3">
        <v>44409</v>
      </c>
      <c r="F271" s="3">
        <f t="shared" si="8"/>
        <v>46235</v>
      </c>
      <c r="G271" t="str">
        <f t="shared" ca="1" si="9"/>
        <v>Due</v>
      </c>
    </row>
    <row r="272" spans="1:7" ht="15.75" customHeight="1">
      <c r="A272" t="s">
        <v>605</v>
      </c>
      <c r="B272" t="s">
        <v>606</v>
      </c>
      <c r="C272" t="s">
        <v>607</v>
      </c>
      <c r="D272" t="s">
        <v>425</v>
      </c>
      <c r="F272" s="3" t="str">
        <f t="shared" si="8"/>
        <v/>
      </c>
      <c r="G272" t="e">
        <f t="shared" ca="1" si="9"/>
        <v>#VALUE!</v>
      </c>
    </row>
    <row r="273" spans="1:7" ht="15.75" customHeight="1">
      <c r="A273" t="s">
        <v>608</v>
      </c>
      <c r="B273" t="s">
        <v>609</v>
      </c>
      <c r="C273" t="s">
        <v>441</v>
      </c>
      <c r="D273" t="s">
        <v>425</v>
      </c>
      <c r="F273" s="3" t="str">
        <f t="shared" si="8"/>
        <v/>
      </c>
      <c r="G273" t="e">
        <f t="shared" ca="1" si="9"/>
        <v>#VALUE!</v>
      </c>
    </row>
    <row r="274" spans="1:7" ht="15.75" customHeight="1">
      <c r="A274" t="s">
        <v>610</v>
      </c>
      <c r="B274" t="s">
        <v>611</v>
      </c>
      <c r="C274" t="s">
        <v>461</v>
      </c>
      <c r="D274" t="s">
        <v>425</v>
      </c>
      <c r="E274" s="3">
        <v>44531</v>
      </c>
      <c r="F274" s="3">
        <f t="shared" si="8"/>
        <v>46357</v>
      </c>
      <c r="G274" t="str">
        <f t="shared" ca="1" si="9"/>
        <v>Valid</v>
      </c>
    </row>
    <row r="275" spans="1:7" ht="15.75" customHeight="1">
      <c r="A275" t="s">
        <v>612</v>
      </c>
      <c r="B275" t="s">
        <v>613</v>
      </c>
      <c r="C275" t="s">
        <v>461</v>
      </c>
      <c r="D275" t="s">
        <v>425</v>
      </c>
      <c r="E275" s="3">
        <v>44531</v>
      </c>
      <c r="F275" s="3">
        <f t="shared" si="8"/>
        <v>46357</v>
      </c>
      <c r="G275" t="str">
        <f t="shared" ca="1" si="9"/>
        <v>Valid</v>
      </c>
    </row>
    <row r="276" spans="1:7" ht="15.75" customHeight="1">
      <c r="A276" t="s">
        <v>614</v>
      </c>
      <c r="B276" t="s">
        <v>615</v>
      </c>
      <c r="C276" t="s">
        <v>461</v>
      </c>
      <c r="D276" t="s">
        <v>425</v>
      </c>
      <c r="E276" s="3">
        <v>44562</v>
      </c>
      <c r="F276" s="3">
        <f t="shared" si="8"/>
        <v>46388</v>
      </c>
      <c r="G276" t="str">
        <f t="shared" ca="1" si="9"/>
        <v>Valid</v>
      </c>
    </row>
    <row r="277" spans="1:7" ht="15.75" customHeight="1">
      <c r="A277" t="s">
        <v>616</v>
      </c>
      <c r="B277" t="s">
        <v>617</v>
      </c>
      <c r="C277" t="s">
        <v>461</v>
      </c>
      <c r="D277" t="s">
        <v>425</v>
      </c>
      <c r="E277" s="3">
        <v>44501</v>
      </c>
      <c r="F277" s="3">
        <f t="shared" si="8"/>
        <v>46327</v>
      </c>
      <c r="G277" t="str">
        <f t="shared" ca="1" si="9"/>
        <v>Valid</v>
      </c>
    </row>
    <row r="278" spans="1:7" ht="15.75" customHeight="1">
      <c r="A278" t="s">
        <v>618</v>
      </c>
      <c r="B278" t="s">
        <v>289</v>
      </c>
      <c r="C278" t="s">
        <v>461</v>
      </c>
      <c r="D278" t="s">
        <v>425</v>
      </c>
      <c r="E278" s="3">
        <v>44562</v>
      </c>
      <c r="F278" s="3">
        <f t="shared" si="8"/>
        <v>46388</v>
      </c>
      <c r="G278" t="str">
        <f t="shared" ca="1" si="9"/>
        <v>Valid</v>
      </c>
    </row>
    <row r="279" spans="1:7" ht="15.75" customHeight="1">
      <c r="A279" t="s">
        <v>619</v>
      </c>
      <c r="B279" t="s">
        <v>620</v>
      </c>
      <c r="C279" t="s">
        <v>461</v>
      </c>
      <c r="D279" t="s">
        <v>425</v>
      </c>
      <c r="E279" s="3">
        <v>44562</v>
      </c>
      <c r="F279" s="3">
        <f t="shared" si="8"/>
        <v>46388</v>
      </c>
      <c r="G279" t="str">
        <f t="shared" ca="1" si="9"/>
        <v>Valid</v>
      </c>
    </row>
    <row r="280" spans="1:7" ht="15.75" customHeight="1">
      <c r="A280" t="s">
        <v>621</v>
      </c>
      <c r="B280" t="s">
        <v>622</v>
      </c>
      <c r="C280" t="s">
        <v>461</v>
      </c>
      <c r="D280" t="s">
        <v>425</v>
      </c>
      <c r="E280" s="3">
        <v>44927</v>
      </c>
      <c r="F280" s="3">
        <f t="shared" si="8"/>
        <v>46753</v>
      </c>
      <c r="G280" t="str">
        <f t="shared" ca="1" si="9"/>
        <v>Valid</v>
      </c>
    </row>
    <row r="281" spans="1:7" ht="15.75" customHeight="1">
      <c r="A281" t="s">
        <v>623</v>
      </c>
      <c r="B281" t="s">
        <v>624</v>
      </c>
      <c r="C281" t="s">
        <v>39</v>
      </c>
      <c r="D281" t="s">
        <v>425</v>
      </c>
      <c r="E281" s="3">
        <v>44501</v>
      </c>
      <c r="F281" s="3">
        <f t="shared" si="8"/>
        <v>46327</v>
      </c>
      <c r="G281" t="str">
        <f t="shared" ca="1" si="9"/>
        <v>Valid</v>
      </c>
    </row>
    <row r="282" spans="1:7" ht="15.75" customHeight="1">
      <c r="A282" t="s">
        <v>625</v>
      </c>
      <c r="B282" t="s">
        <v>626</v>
      </c>
      <c r="C282" t="s">
        <v>39</v>
      </c>
      <c r="D282" t="s">
        <v>425</v>
      </c>
      <c r="E282" s="3">
        <v>44470</v>
      </c>
      <c r="F282" s="3">
        <f t="shared" si="8"/>
        <v>46296</v>
      </c>
      <c r="G282" t="str">
        <f t="shared" ca="1" si="9"/>
        <v>Valid</v>
      </c>
    </row>
    <row r="283" spans="1:7" ht="15.75" customHeight="1">
      <c r="A283" t="s">
        <v>627</v>
      </c>
      <c r="B283" t="s">
        <v>628</v>
      </c>
      <c r="C283" t="s">
        <v>139</v>
      </c>
      <c r="D283" t="s">
        <v>425</v>
      </c>
      <c r="E283" s="3">
        <v>45292</v>
      </c>
      <c r="F283" s="3">
        <f t="shared" si="8"/>
        <v>47119</v>
      </c>
      <c r="G283" t="str">
        <f t="shared" ca="1" si="9"/>
        <v>Valid</v>
      </c>
    </row>
    <row r="284" spans="1:7" ht="15.75" customHeight="1">
      <c r="A284" t="s">
        <v>629</v>
      </c>
      <c r="B284" t="s">
        <v>630</v>
      </c>
      <c r="C284" t="s">
        <v>139</v>
      </c>
      <c r="D284" t="s">
        <v>425</v>
      </c>
      <c r="E284" s="3">
        <v>45292</v>
      </c>
      <c r="F284" s="3">
        <f t="shared" si="8"/>
        <v>47119</v>
      </c>
      <c r="G284" t="str">
        <f t="shared" ca="1" si="9"/>
        <v>Valid</v>
      </c>
    </row>
    <row r="285" spans="1:7" ht="15.75" customHeight="1">
      <c r="A285" t="s">
        <v>631</v>
      </c>
      <c r="B285" t="s">
        <v>632</v>
      </c>
      <c r="C285" t="s">
        <v>139</v>
      </c>
      <c r="D285" t="s">
        <v>425</v>
      </c>
      <c r="E285" s="3">
        <v>45658</v>
      </c>
      <c r="F285" s="3">
        <f t="shared" si="8"/>
        <v>47484</v>
      </c>
      <c r="G285" t="str">
        <f t="shared" ca="1" si="9"/>
        <v>Valid</v>
      </c>
    </row>
    <row r="286" spans="1:7" ht="15.75" customHeight="1">
      <c r="A286" t="s">
        <v>633</v>
      </c>
      <c r="B286" t="s">
        <v>634</v>
      </c>
      <c r="C286" t="s">
        <v>168</v>
      </c>
      <c r="D286" t="s">
        <v>425</v>
      </c>
      <c r="E286" s="3">
        <v>45658</v>
      </c>
      <c r="F286" s="3">
        <f t="shared" si="8"/>
        <v>47484</v>
      </c>
      <c r="G286" t="str">
        <f t="shared" ca="1" si="9"/>
        <v>Valid</v>
      </c>
    </row>
    <row r="287" spans="1:7" ht="15.75" customHeight="1">
      <c r="A287" t="s">
        <v>635</v>
      </c>
      <c r="B287" t="s">
        <v>636</v>
      </c>
      <c r="C287" t="s">
        <v>607</v>
      </c>
      <c r="D287" t="s">
        <v>425</v>
      </c>
      <c r="F287" s="3" t="str">
        <f t="shared" si="8"/>
        <v/>
      </c>
      <c r="G287" t="e">
        <f t="shared" ca="1" si="9"/>
        <v>#VALUE!</v>
      </c>
    </row>
    <row r="288" spans="1:7" ht="15.75" customHeight="1">
      <c r="A288" t="s">
        <v>637</v>
      </c>
      <c r="B288" t="s">
        <v>638</v>
      </c>
      <c r="C288" t="s">
        <v>607</v>
      </c>
      <c r="D288" t="s">
        <v>425</v>
      </c>
      <c r="F288" s="3" t="str">
        <f t="shared" si="8"/>
        <v/>
      </c>
      <c r="G288" t="e">
        <f t="shared" ca="1" si="9"/>
        <v>#VALUE!</v>
      </c>
    </row>
    <row r="289" spans="1:7" ht="15.75" customHeight="1">
      <c r="A289" t="s">
        <v>639</v>
      </c>
      <c r="B289" t="s">
        <v>640</v>
      </c>
      <c r="C289" t="s">
        <v>641</v>
      </c>
      <c r="D289" t="s">
        <v>425</v>
      </c>
      <c r="F289" s="3" t="str">
        <f t="shared" si="8"/>
        <v/>
      </c>
      <c r="G289" t="e">
        <f t="shared" ca="1" si="9"/>
        <v>#VALUE!</v>
      </c>
    </row>
    <row r="290" spans="1:7" ht="15.75" customHeight="1">
      <c r="A290" t="s">
        <v>642</v>
      </c>
      <c r="B290" t="s">
        <v>643</v>
      </c>
      <c r="C290" t="s">
        <v>139</v>
      </c>
      <c r="D290" t="s">
        <v>425</v>
      </c>
      <c r="F290" s="3" t="str">
        <f t="shared" si="8"/>
        <v/>
      </c>
      <c r="G290" t="e">
        <f t="shared" ca="1" si="9"/>
        <v>#VALUE!</v>
      </c>
    </row>
    <row r="291" spans="1:7" ht="15.75" customHeight="1">
      <c r="A291" t="s">
        <v>644</v>
      </c>
      <c r="B291" t="s">
        <v>645</v>
      </c>
      <c r="C291" t="s">
        <v>646</v>
      </c>
      <c r="D291" t="s">
        <v>425</v>
      </c>
      <c r="F291" s="3" t="str">
        <f t="shared" si="8"/>
        <v/>
      </c>
      <c r="G291" t="e">
        <f t="shared" ca="1" si="9"/>
        <v>#VALUE!</v>
      </c>
    </row>
    <row r="292" spans="1:7" ht="15.75" customHeight="1">
      <c r="A292" t="s">
        <v>647</v>
      </c>
      <c r="B292" t="s">
        <v>648</v>
      </c>
      <c r="C292" t="s">
        <v>649</v>
      </c>
      <c r="D292" t="s">
        <v>425</v>
      </c>
      <c r="E292" s="3">
        <v>45658</v>
      </c>
      <c r="F292" s="3">
        <f t="shared" si="8"/>
        <v>47484</v>
      </c>
      <c r="G292" t="str">
        <f t="shared" ca="1" si="9"/>
        <v>Valid</v>
      </c>
    </row>
    <row r="293" spans="1:7" ht="15.75" customHeight="1">
      <c r="A293" t="s">
        <v>650</v>
      </c>
      <c r="B293" t="s">
        <v>651</v>
      </c>
      <c r="C293" t="s">
        <v>652</v>
      </c>
      <c r="D293" t="s">
        <v>425</v>
      </c>
      <c r="E293" s="3">
        <v>45292</v>
      </c>
      <c r="F293" s="3">
        <f t="shared" si="8"/>
        <v>47119</v>
      </c>
      <c r="G293" t="str">
        <f t="shared" ca="1" si="9"/>
        <v>Valid</v>
      </c>
    </row>
    <row r="294" spans="1:7" ht="15.75" customHeight="1">
      <c r="A294" t="s">
        <v>653</v>
      </c>
      <c r="B294" t="s">
        <v>654</v>
      </c>
      <c r="C294" t="s">
        <v>82</v>
      </c>
      <c r="D294" t="s">
        <v>425</v>
      </c>
      <c r="E294" s="3">
        <v>44348</v>
      </c>
      <c r="F294" s="3">
        <f t="shared" si="8"/>
        <v>46174</v>
      </c>
      <c r="G294" t="str">
        <f t="shared" ca="1" si="9"/>
        <v>Due</v>
      </c>
    </row>
    <row r="295" spans="1:7" ht="15.75" customHeight="1">
      <c r="A295" t="s">
        <v>655</v>
      </c>
      <c r="B295" t="s">
        <v>656</v>
      </c>
      <c r="C295" t="s">
        <v>39</v>
      </c>
      <c r="D295" t="s">
        <v>12</v>
      </c>
      <c r="E295" s="3">
        <v>45658</v>
      </c>
      <c r="F295" s="3">
        <f t="shared" si="8"/>
        <v>47484</v>
      </c>
      <c r="G295" t="str">
        <f t="shared" ca="1" si="9"/>
        <v>Valid</v>
      </c>
    </row>
    <row r="296" spans="1:7" ht="15.75" customHeight="1">
      <c r="A296" t="s">
        <v>657</v>
      </c>
      <c r="B296" t="s">
        <v>658</v>
      </c>
      <c r="C296" t="s">
        <v>659</v>
      </c>
      <c r="D296" t="s">
        <v>12</v>
      </c>
      <c r="F296" s="3" t="str">
        <f t="shared" si="8"/>
        <v/>
      </c>
      <c r="G296" t="e">
        <f t="shared" ca="1" si="9"/>
        <v>#VALUE!</v>
      </c>
    </row>
    <row r="297" spans="1:7" ht="15.75" customHeight="1">
      <c r="A297" t="s">
        <v>660</v>
      </c>
      <c r="B297" t="s">
        <v>661</v>
      </c>
      <c r="C297" t="s">
        <v>39</v>
      </c>
      <c r="D297" t="s">
        <v>12</v>
      </c>
      <c r="F297" s="3" t="str">
        <f t="shared" si="8"/>
        <v/>
      </c>
      <c r="G297" t="e">
        <f t="shared" ca="1" si="9"/>
        <v>#VALUE!</v>
      </c>
    </row>
    <row r="298" spans="1:7" ht="15.75" customHeight="1">
      <c r="A298" t="s">
        <v>662</v>
      </c>
      <c r="B298" t="s">
        <v>663</v>
      </c>
      <c r="C298" t="s">
        <v>39</v>
      </c>
      <c r="D298" t="s">
        <v>12</v>
      </c>
      <c r="E298" s="3">
        <v>44501</v>
      </c>
      <c r="F298" s="3">
        <f t="shared" si="8"/>
        <v>46327</v>
      </c>
      <c r="G298" t="str">
        <f t="shared" ca="1" si="9"/>
        <v>Valid</v>
      </c>
    </row>
    <row r="299" spans="1:7" ht="15.75" customHeight="1">
      <c r="A299" t="s">
        <v>664</v>
      </c>
      <c r="B299" t="s">
        <v>665</v>
      </c>
      <c r="C299" t="s">
        <v>39</v>
      </c>
      <c r="D299" t="s">
        <v>425</v>
      </c>
      <c r="E299" s="3">
        <v>44501</v>
      </c>
      <c r="F299" s="3">
        <f t="shared" si="8"/>
        <v>46327</v>
      </c>
      <c r="G299" t="str">
        <f t="shared" ca="1" si="9"/>
        <v>Valid</v>
      </c>
    </row>
    <row r="300" spans="1:7" ht="15.75" customHeight="1">
      <c r="A300" t="s">
        <v>666</v>
      </c>
      <c r="B300" t="s">
        <v>667</v>
      </c>
      <c r="C300" t="s">
        <v>39</v>
      </c>
      <c r="D300" t="s">
        <v>425</v>
      </c>
      <c r="E300" s="3">
        <v>44470</v>
      </c>
      <c r="F300" s="3">
        <f t="shared" si="8"/>
        <v>46296</v>
      </c>
      <c r="G300" t="str">
        <f t="shared" ca="1" si="9"/>
        <v>Valid</v>
      </c>
    </row>
    <row r="301" spans="1:7" ht="15.75" customHeight="1">
      <c r="A301" t="s">
        <v>668</v>
      </c>
      <c r="B301" t="s">
        <v>669</v>
      </c>
      <c r="C301" t="s">
        <v>139</v>
      </c>
      <c r="D301" t="s">
        <v>12</v>
      </c>
      <c r="E301" s="3">
        <v>45292</v>
      </c>
      <c r="F301" s="3">
        <f t="shared" si="8"/>
        <v>47119</v>
      </c>
      <c r="G301" t="str">
        <f t="shared" ca="1" si="9"/>
        <v>Valid</v>
      </c>
    </row>
    <row r="302" spans="1:7" ht="15.75" customHeight="1">
      <c r="A302" t="s">
        <v>670</v>
      </c>
      <c r="B302" t="s">
        <v>671</v>
      </c>
      <c r="C302" t="s">
        <v>139</v>
      </c>
      <c r="D302" t="s">
        <v>12</v>
      </c>
      <c r="E302" s="3">
        <v>44501</v>
      </c>
      <c r="F302" s="3">
        <f t="shared" si="8"/>
        <v>46327</v>
      </c>
      <c r="G302" t="str">
        <f t="shared" ca="1" si="9"/>
        <v>Valid</v>
      </c>
    </row>
    <row r="303" spans="1:7" ht="15.75" customHeight="1">
      <c r="A303" t="s">
        <v>672</v>
      </c>
      <c r="B303" t="s">
        <v>673</v>
      </c>
      <c r="C303" t="s">
        <v>674</v>
      </c>
      <c r="D303" t="s">
        <v>12</v>
      </c>
      <c r="F303" s="3" t="str">
        <f t="shared" si="8"/>
        <v/>
      </c>
      <c r="G303" t="e">
        <f t="shared" ca="1" si="9"/>
        <v>#VALUE!</v>
      </c>
    </row>
    <row r="304" spans="1:7" ht="15.75" customHeight="1">
      <c r="A304" t="s">
        <v>675</v>
      </c>
      <c r="B304" t="s">
        <v>676</v>
      </c>
      <c r="C304" t="s">
        <v>64</v>
      </c>
      <c r="D304" t="s">
        <v>12</v>
      </c>
      <c r="E304" s="3">
        <v>45292</v>
      </c>
      <c r="F304" s="3">
        <f t="shared" si="8"/>
        <v>47119</v>
      </c>
      <c r="G304" t="str">
        <f t="shared" ca="1" si="9"/>
        <v>Valid</v>
      </c>
    </row>
    <row r="305" spans="1:7" ht="15.75" customHeight="1">
      <c r="A305" t="s">
        <v>677</v>
      </c>
      <c r="B305" t="s">
        <v>678</v>
      </c>
      <c r="C305" t="s">
        <v>64</v>
      </c>
      <c r="D305" t="s">
        <v>12</v>
      </c>
      <c r="E305" s="3">
        <v>45292</v>
      </c>
      <c r="F305" s="3">
        <f t="shared" si="8"/>
        <v>47119</v>
      </c>
      <c r="G305" t="str">
        <f t="shared" ca="1" si="9"/>
        <v>Valid</v>
      </c>
    </row>
    <row r="306" spans="1:7" ht="15.75" customHeight="1">
      <c r="A306" t="s">
        <v>679</v>
      </c>
      <c r="B306" t="s">
        <v>680</v>
      </c>
      <c r="C306" t="s">
        <v>681</v>
      </c>
      <c r="D306" t="s">
        <v>12</v>
      </c>
      <c r="E306" s="3">
        <v>44562</v>
      </c>
      <c r="F306" s="3">
        <f t="shared" si="8"/>
        <v>46388</v>
      </c>
      <c r="G306" t="str">
        <f t="shared" ca="1" si="9"/>
        <v>Valid</v>
      </c>
    </row>
    <row r="307" spans="1:7" ht="15.75" customHeight="1">
      <c r="A307" t="s">
        <v>682</v>
      </c>
      <c r="B307" t="s">
        <v>683</v>
      </c>
      <c r="C307" t="s">
        <v>592</v>
      </c>
      <c r="D307" t="s">
        <v>12</v>
      </c>
      <c r="E307" s="3">
        <v>44562</v>
      </c>
      <c r="F307" s="3">
        <f t="shared" si="8"/>
        <v>46388</v>
      </c>
      <c r="G307" t="str">
        <f t="shared" ca="1" si="9"/>
        <v>Valid</v>
      </c>
    </row>
  </sheetData>
  <autoFilter ref="A3:G307" xr:uid="{00000000-0009-0000-0000-000001000000}"/>
  <conditionalFormatting sqref="G4:G307">
    <cfRule type="cellIs" dxfId="2" priority="1" operator="equal">
      <formula>"Due"</formula>
    </cfRule>
  </conditionalFormatting>
  <hyperlinks>
    <hyperlink ref="A1" location="Dashboard!A1" display="&lt;&lt; Back to Dashboard" xr:uid="{00000000-0004-0000-01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79"/>
  <sheetViews>
    <sheetView workbookViewId="0"/>
  </sheetViews>
  <sheetFormatPr defaultColWidth="14.44140625" defaultRowHeight="15" customHeight="1"/>
  <cols>
    <col min="1" max="7" width="24.6640625" customWidth="1"/>
    <col min="8" max="11" width="8.6640625" customWidth="1"/>
  </cols>
  <sheetData>
    <row r="1" spans="1:7" ht="30" customHeight="1">
      <c r="A1" s="6" t="s">
        <v>1</v>
      </c>
    </row>
    <row r="3" spans="1:7" ht="24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1135</v>
      </c>
      <c r="F3" s="7" t="s">
        <v>1136</v>
      </c>
      <c r="G3" s="7" t="s">
        <v>8</v>
      </c>
    </row>
    <row r="4" spans="1:7" ht="14.4" customHeight="1">
      <c r="A4" t="s">
        <v>686</v>
      </c>
      <c r="B4" t="s">
        <v>687</v>
      </c>
      <c r="C4" t="s">
        <v>688</v>
      </c>
      <c r="D4" t="s">
        <v>12</v>
      </c>
      <c r="F4" s="3" t="str">
        <f t="shared" ref="F4:F67" si="0">IF(ISBLANK(E4), "", EDATE(E4, 12))</f>
        <v/>
      </c>
      <c r="G4" t="e">
        <f t="shared" ref="G4:G67" ca="1" si="1">IF(ISBLANK(F4), "", IF(TODAY()&gt;=EDATE(F4, -1), "Due", "Valid"))</f>
        <v>#VALUE!</v>
      </c>
    </row>
    <row r="5" spans="1:7" ht="14.4" customHeight="1">
      <c r="A5" t="s">
        <v>690</v>
      </c>
      <c r="B5" t="s">
        <v>691</v>
      </c>
      <c r="C5" t="s">
        <v>692</v>
      </c>
      <c r="D5" t="s">
        <v>12</v>
      </c>
      <c r="F5" s="3" t="str">
        <f t="shared" si="0"/>
        <v/>
      </c>
      <c r="G5" t="e">
        <f t="shared" ca="1" si="1"/>
        <v>#VALUE!</v>
      </c>
    </row>
    <row r="6" spans="1:7" ht="14.4" customHeight="1">
      <c r="A6" t="s">
        <v>9</v>
      </c>
      <c r="B6" t="s">
        <v>10</v>
      </c>
      <c r="C6" t="s">
        <v>11</v>
      </c>
      <c r="D6" t="s">
        <v>12</v>
      </c>
      <c r="F6" s="3" t="str">
        <f t="shared" si="0"/>
        <v/>
      </c>
      <c r="G6" t="e">
        <f t="shared" ca="1" si="1"/>
        <v>#VALUE!</v>
      </c>
    </row>
    <row r="7" spans="1:7" ht="14.4" customHeight="1">
      <c r="A7" t="s">
        <v>13</v>
      </c>
      <c r="B7" t="s">
        <v>14</v>
      </c>
      <c r="C7" t="s">
        <v>15</v>
      </c>
      <c r="D7" t="s">
        <v>12</v>
      </c>
      <c r="F7" s="3" t="str">
        <f t="shared" si="0"/>
        <v/>
      </c>
      <c r="G7" t="e">
        <f t="shared" ca="1" si="1"/>
        <v>#VALUE!</v>
      </c>
    </row>
    <row r="8" spans="1:7" ht="14.4" customHeight="1">
      <c r="A8" t="s">
        <v>16</v>
      </c>
      <c r="B8" t="s">
        <v>17</v>
      </c>
      <c r="C8" t="s">
        <v>15</v>
      </c>
      <c r="D8" t="s">
        <v>12</v>
      </c>
      <c r="F8" s="3" t="str">
        <f t="shared" si="0"/>
        <v/>
      </c>
      <c r="G8" t="e">
        <f t="shared" ca="1" si="1"/>
        <v>#VALUE!</v>
      </c>
    </row>
    <row r="9" spans="1:7" ht="14.4" customHeight="1">
      <c r="A9" t="s">
        <v>18</v>
      </c>
      <c r="B9" t="s">
        <v>19</v>
      </c>
      <c r="C9" t="s">
        <v>20</v>
      </c>
      <c r="D9" t="s">
        <v>12</v>
      </c>
      <c r="F9" s="3" t="str">
        <f t="shared" si="0"/>
        <v/>
      </c>
      <c r="G9" t="e">
        <f t="shared" ca="1" si="1"/>
        <v>#VALUE!</v>
      </c>
    </row>
    <row r="10" spans="1:7" ht="14.4" customHeight="1">
      <c r="A10" t="s">
        <v>694</v>
      </c>
      <c r="B10" t="s">
        <v>695</v>
      </c>
      <c r="C10" t="s">
        <v>696</v>
      </c>
      <c r="D10" t="s">
        <v>126</v>
      </c>
      <c r="F10" s="3" t="str">
        <f t="shared" si="0"/>
        <v/>
      </c>
      <c r="G10" t="e">
        <f t="shared" ca="1" si="1"/>
        <v>#VALUE!</v>
      </c>
    </row>
    <row r="11" spans="1:7" ht="14.4" customHeight="1">
      <c r="A11" t="s">
        <v>697</v>
      </c>
      <c r="B11" t="s">
        <v>698</v>
      </c>
      <c r="C11" t="s">
        <v>699</v>
      </c>
      <c r="D11" t="s">
        <v>700</v>
      </c>
      <c r="F11" s="3" t="str">
        <f t="shared" si="0"/>
        <v/>
      </c>
      <c r="G11" t="e">
        <f t="shared" ca="1" si="1"/>
        <v>#VALUE!</v>
      </c>
    </row>
    <row r="12" spans="1:7" ht="14.4" customHeight="1">
      <c r="A12" t="s">
        <v>701</v>
      </c>
      <c r="B12" t="s">
        <v>702</v>
      </c>
      <c r="C12" t="s">
        <v>703</v>
      </c>
      <c r="D12" t="s">
        <v>700</v>
      </c>
      <c r="F12" s="3" t="str">
        <f t="shared" si="0"/>
        <v/>
      </c>
      <c r="G12" t="e">
        <f t="shared" ca="1" si="1"/>
        <v>#VALUE!</v>
      </c>
    </row>
    <row r="13" spans="1:7" ht="14.4" customHeight="1">
      <c r="A13" t="s">
        <v>704</v>
      </c>
      <c r="B13" t="s">
        <v>705</v>
      </c>
      <c r="C13" t="s">
        <v>706</v>
      </c>
      <c r="D13" t="s">
        <v>700</v>
      </c>
      <c r="F13" s="3" t="str">
        <f t="shared" si="0"/>
        <v/>
      </c>
      <c r="G13" t="e">
        <f t="shared" ca="1" si="1"/>
        <v>#VALUE!</v>
      </c>
    </row>
    <row r="14" spans="1:7" ht="14.4" customHeight="1">
      <c r="A14" t="s">
        <v>707</v>
      </c>
      <c r="B14" t="s">
        <v>708</v>
      </c>
      <c r="C14" t="s">
        <v>709</v>
      </c>
      <c r="D14" t="s">
        <v>24</v>
      </c>
      <c r="F14" s="3" t="str">
        <f t="shared" si="0"/>
        <v/>
      </c>
      <c r="G14" t="e">
        <f t="shared" ca="1" si="1"/>
        <v>#VALUE!</v>
      </c>
    </row>
    <row r="15" spans="1:7" ht="14.4" customHeight="1">
      <c r="A15" t="s">
        <v>710</v>
      </c>
      <c r="B15" t="s">
        <v>711</v>
      </c>
      <c r="C15" t="s">
        <v>709</v>
      </c>
      <c r="D15" t="s">
        <v>24</v>
      </c>
      <c r="F15" s="3" t="str">
        <f t="shared" si="0"/>
        <v/>
      </c>
      <c r="G15" t="e">
        <f t="shared" ca="1" si="1"/>
        <v>#VALUE!</v>
      </c>
    </row>
    <row r="16" spans="1:7" ht="14.4" customHeight="1">
      <c r="A16" t="s">
        <v>712</v>
      </c>
      <c r="B16" t="s">
        <v>713</v>
      </c>
      <c r="C16" t="s">
        <v>714</v>
      </c>
      <c r="D16" t="s">
        <v>24</v>
      </c>
      <c r="F16" s="3" t="str">
        <f t="shared" si="0"/>
        <v/>
      </c>
      <c r="G16" t="e">
        <f t="shared" ca="1" si="1"/>
        <v>#VALUE!</v>
      </c>
    </row>
    <row r="17" spans="1:7" ht="14.4" customHeight="1">
      <c r="A17" t="s">
        <v>21</v>
      </c>
      <c r="B17" t="s">
        <v>22</v>
      </c>
      <c r="C17" t="s">
        <v>23</v>
      </c>
      <c r="D17" t="s">
        <v>24</v>
      </c>
      <c r="F17" s="3" t="str">
        <f t="shared" si="0"/>
        <v/>
      </c>
      <c r="G17" t="e">
        <f t="shared" ca="1" si="1"/>
        <v>#VALUE!</v>
      </c>
    </row>
    <row r="18" spans="1:7" ht="14.4" customHeight="1">
      <c r="A18" t="s">
        <v>715</v>
      </c>
      <c r="B18" t="s">
        <v>716</v>
      </c>
      <c r="C18" t="s">
        <v>717</v>
      </c>
      <c r="D18" t="s">
        <v>28</v>
      </c>
      <c r="F18" s="3" t="str">
        <f t="shared" si="0"/>
        <v/>
      </c>
      <c r="G18" t="e">
        <f t="shared" ca="1" si="1"/>
        <v>#VALUE!</v>
      </c>
    </row>
    <row r="19" spans="1:7" ht="14.4" customHeight="1">
      <c r="A19" t="s">
        <v>718</v>
      </c>
      <c r="B19" t="s">
        <v>719</v>
      </c>
      <c r="C19" t="s">
        <v>720</v>
      </c>
      <c r="D19" t="s">
        <v>28</v>
      </c>
      <c r="F19" s="3" t="str">
        <f t="shared" si="0"/>
        <v/>
      </c>
      <c r="G19" t="e">
        <f t="shared" ca="1" si="1"/>
        <v>#VALUE!</v>
      </c>
    </row>
    <row r="20" spans="1:7" ht="14.4" customHeight="1">
      <c r="A20" t="s">
        <v>721</v>
      </c>
      <c r="B20" t="s">
        <v>722</v>
      </c>
      <c r="C20" t="s">
        <v>723</v>
      </c>
      <c r="D20" t="s">
        <v>28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724</v>
      </c>
      <c r="B21" t="s">
        <v>725</v>
      </c>
      <c r="C21" t="s">
        <v>723</v>
      </c>
      <c r="D21" t="s">
        <v>28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726</v>
      </c>
      <c r="B22" t="s">
        <v>727</v>
      </c>
      <c r="C22" t="s">
        <v>728</v>
      </c>
      <c r="D22" t="s">
        <v>28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729</v>
      </c>
      <c r="B23" t="s">
        <v>730</v>
      </c>
      <c r="C23" t="s">
        <v>728</v>
      </c>
      <c r="D23" t="s">
        <v>28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731</v>
      </c>
      <c r="B24" t="s">
        <v>732</v>
      </c>
      <c r="C24" t="s">
        <v>728</v>
      </c>
      <c r="D24" t="s">
        <v>28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733</v>
      </c>
      <c r="B25" t="s">
        <v>734</v>
      </c>
      <c r="C25" t="s">
        <v>735</v>
      </c>
      <c r="D25" t="s">
        <v>28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736</v>
      </c>
      <c r="B26" t="s">
        <v>737</v>
      </c>
      <c r="C26" t="s">
        <v>735</v>
      </c>
      <c r="D26" t="s">
        <v>152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738</v>
      </c>
      <c r="B27" t="s">
        <v>739</v>
      </c>
      <c r="C27" t="s">
        <v>740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741</v>
      </c>
      <c r="B28" t="s">
        <v>742</v>
      </c>
      <c r="C28" t="s">
        <v>743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744</v>
      </c>
      <c r="B29" t="s">
        <v>745</v>
      </c>
      <c r="C29" t="s">
        <v>746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747</v>
      </c>
      <c r="B30" t="s">
        <v>748</v>
      </c>
      <c r="C30" t="s">
        <v>743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749</v>
      </c>
      <c r="B31" t="s">
        <v>750</v>
      </c>
      <c r="C31" t="s">
        <v>746</v>
      </c>
      <c r="D31" t="s">
        <v>28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751</v>
      </c>
      <c r="B32" t="s">
        <v>752</v>
      </c>
      <c r="C32" t="s">
        <v>753</v>
      </c>
      <c r="D32" t="s">
        <v>28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754</v>
      </c>
      <c r="B33" t="s">
        <v>755</v>
      </c>
      <c r="C33" t="s">
        <v>756</v>
      </c>
      <c r="D33" t="s">
        <v>28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757</v>
      </c>
      <c r="B34" t="s">
        <v>758</v>
      </c>
      <c r="C34" t="s">
        <v>759</v>
      </c>
      <c r="D34" t="s">
        <v>28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760</v>
      </c>
      <c r="B35" t="s">
        <v>761</v>
      </c>
      <c r="C35" t="s">
        <v>762</v>
      </c>
      <c r="D35" t="s">
        <v>28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763</v>
      </c>
      <c r="B36" t="s">
        <v>764</v>
      </c>
      <c r="C36" t="s">
        <v>765</v>
      </c>
      <c r="D36" t="s">
        <v>28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766</v>
      </c>
      <c r="B37" t="s">
        <v>767</v>
      </c>
      <c r="C37" t="s">
        <v>762</v>
      </c>
      <c r="D37" t="s">
        <v>28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25</v>
      </c>
      <c r="B38" t="s">
        <v>26</v>
      </c>
      <c r="C38" t="s">
        <v>27</v>
      </c>
      <c r="D38" t="s">
        <v>28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29</v>
      </c>
      <c r="B39" t="s">
        <v>30</v>
      </c>
      <c r="C39" t="s">
        <v>27</v>
      </c>
      <c r="D39" t="s">
        <v>28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31</v>
      </c>
      <c r="B40" t="s">
        <v>32</v>
      </c>
      <c r="C40" t="s">
        <v>27</v>
      </c>
      <c r="D40" t="s">
        <v>28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33</v>
      </c>
      <c r="B41" t="s">
        <v>34</v>
      </c>
      <c r="C41" t="s">
        <v>35</v>
      </c>
      <c r="D41" t="s">
        <v>36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37</v>
      </c>
      <c r="B42" t="s">
        <v>38</v>
      </c>
      <c r="C42" t="s">
        <v>39</v>
      </c>
      <c r="D42" t="s">
        <v>28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40</v>
      </c>
      <c r="B43" t="s">
        <v>41</v>
      </c>
      <c r="C43" t="s">
        <v>39</v>
      </c>
      <c r="D43" t="s">
        <v>28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42</v>
      </c>
      <c r="B44" t="s">
        <v>43</v>
      </c>
      <c r="C44" t="s">
        <v>39</v>
      </c>
      <c r="D44" t="s">
        <v>28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44</v>
      </c>
      <c r="B45" t="s">
        <v>45</v>
      </c>
      <c r="C45" t="s">
        <v>39</v>
      </c>
      <c r="D45" t="s">
        <v>28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46</v>
      </c>
      <c r="B46" t="s">
        <v>47</v>
      </c>
      <c r="C46" t="s">
        <v>39</v>
      </c>
      <c r="D46" t="s">
        <v>28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48</v>
      </c>
      <c r="B47" t="s">
        <v>49</v>
      </c>
      <c r="C47" t="s">
        <v>39</v>
      </c>
      <c r="D47" t="s">
        <v>28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50</v>
      </c>
      <c r="B48" t="s">
        <v>51</v>
      </c>
      <c r="C48" t="s">
        <v>39</v>
      </c>
      <c r="D48" t="s">
        <v>28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52</v>
      </c>
      <c r="B49" t="s">
        <v>53</v>
      </c>
      <c r="C49" t="s">
        <v>39</v>
      </c>
      <c r="D49" t="s">
        <v>28</v>
      </c>
      <c r="F49" s="3" t="str">
        <f t="shared" si="0"/>
        <v/>
      </c>
      <c r="G49" t="e">
        <f t="shared" ca="1" si="1"/>
        <v>#VALUE!</v>
      </c>
    </row>
    <row r="50" spans="1:7" ht="15.75" customHeight="1">
      <c r="A50" t="s">
        <v>54</v>
      </c>
      <c r="B50" t="s">
        <v>55</v>
      </c>
      <c r="C50" t="s">
        <v>39</v>
      </c>
      <c r="D50" t="s">
        <v>28</v>
      </c>
      <c r="F50" s="3" t="str">
        <f t="shared" si="0"/>
        <v/>
      </c>
      <c r="G50" t="e">
        <f t="shared" ca="1" si="1"/>
        <v>#VALUE!</v>
      </c>
    </row>
    <row r="51" spans="1:7" ht="15.75" customHeight="1">
      <c r="A51" t="s">
        <v>56</v>
      </c>
      <c r="B51" t="s">
        <v>57</v>
      </c>
      <c r="C51" t="s">
        <v>39</v>
      </c>
      <c r="D51" t="s">
        <v>36</v>
      </c>
      <c r="F51" s="3" t="str">
        <f t="shared" si="0"/>
        <v/>
      </c>
      <c r="G51" t="e">
        <f t="shared" ca="1" si="1"/>
        <v>#VALUE!</v>
      </c>
    </row>
    <row r="52" spans="1:7" ht="15.75" customHeight="1">
      <c r="A52" t="s">
        <v>58</v>
      </c>
      <c r="B52" t="s">
        <v>59</v>
      </c>
      <c r="C52" t="s">
        <v>39</v>
      </c>
      <c r="D52" t="s">
        <v>28</v>
      </c>
      <c r="F52" s="3" t="str">
        <f t="shared" si="0"/>
        <v/>
      </c>
      <c r="G52" t="e">
        <f t="shared" ca="1" si="1"/>
        <v>#VALUE!</v>
      </c>
    </row>
    <row r="53" spans="1:7" ht="15.75" customHeight="1">
      <c r="A53" t="s">
        <v>60</v>
      </c>
      <c r="B53" t="s">
        <v>61</v>
      </c>
      <c r="C53" t="s">
        <v>39</v>
      </c>
      <c r="D53" t="s">
        <v>28</v>
      </c>
      <c r="F53" s="3" t="str">
        <f t="shared" si="0"/>
        <v/>
      </c>
      <c r="G53" t="e">
        <f t="shared" ca="1" si="1"/>
        <v>#VALUE!</v>
      </c>
    </row>
    <row r="54" spans="1:7" ht="15.75" customHeight="1">
      <c r="A54" t="s">
        <v>62</v>
      </c>
      <c r="B54" t="s">
        <v>63</v>
      </c>
      <c r="C54" t="s">
        <v>64</v>
      </c>
      <c r="D54" t="s">
        <v>36</v>
      </c>
      <c r="F54" s="3" t="str">
        <f t="shared" si="0"/>
        <v/>
      </c>
      <c r="G54" t="e">
        <f t="shared" ca="1" si="1"/>
        <v>#VALUE!</v>
      </c>
    </row>
    <row r="55" spans="1:7" ht="15.75" customHeight="1">
      <c r="A55" t="s">
        <v>65</v>
      </c>
      <c r="B55" t="s">
        <v>66</v>
      </c>
      <c r="C55" t="s">
        <v>67</v>
      </c>
      <c r="D55" t="s">
        <v>28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68</v>
      </c>
      <c r="B56" t="s">
        <v>69</v>
      </c>
      <c r="C56" t="s">
        <v>70</v>
      </c>
      <c r="D56" t="s">
        <v>28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71</v>
      </c>
      <c r="B57" t="s">
        <v>72</v>
      </c>
      <c r="C57" t="s">
        <v>70</v>
      </c>
      <c r="D57" t="s">
        <v>28</v>
      </c>
      <c r="F57" s="3" t="str">
        <f t="shared" si="0"/>
        <v/>
      </c>
      <c r="G57" t="e">
        <f t="shared" ca="1" si="1"/>
        <v>#VALUE!</v>
      </c>
    </row>
    <row r="58" spans="1:7" ht="15.75" customHeight="1">
      <c r="A58" t="s">
        <v>73</v>
      </c>
      <c r="B58" t="s">
        <v>74</v>
      </c>
      <c r="C58" t="s">
        <v>70</v>
      </c>
      <c r="D58" t="s">
        <v>28</v>
      </c>
      <c r="F58" s="3" t="str">
        <f t="shared" si="0"/>
        <v/>
      </c>
      <c r="G58" t="e">
        <f t="shared" ca="1" si="1"/>
        <v>#VALUE!</v>
      </c>
    </row>
    <row r="59" spans="1:7" ht="15.75" customHeight="1">
      <c r="A59" t="s">
        <v>75</v>
      </c>
      <c r="B59" t="s">
        <v>76</v>
      </c>
      <c r="C59" t="s">
        <v>70</v>
      </c>
      <c r="D59" t="s">
        <v>28</v>
      </c>
      <c r="F59" s="3" t="str">
        <f t="shared" si="0"/>
        <v/>
      </c>
      <c r="G59" t="e">
        <f t="shared" ca="1" si="1"/>
        <v>#VALUE!</v>
      </c>
    </row>
    <row r="60" spans="1:7" ht="15.75" customHeight="1">
      <c r="A60" t="s">
        <v>77</v>
      </c>
      <c r="B60" t="s">
        <v>78</v>
      </c>
      <c r="C60" t="s">
        <v>79</v>
      </c>
      <c r="D60" t="s">
        <v>28</v>
      </c>
      <c r="F60" s="3" t="str">
        <f t="shared" si="0"/>
        <v/>
      </c>
      <c r="G60" t="e">
        <f t="shared" ca="1" si="1"/>
        <v>#VALUE!</v>
      </c>
    </row>
    <row r="61" spans="1:7" ht="15.75" customHeight="1">
      <c r="A61" t="s">
        <v>769</v>
      </c>
      <c r="B61" t="s">
        <v>770</v>
      </c>
      <c r="C61" t="s">
        <v>771</v>
      </c>
      <c r="D61" t="s">
        <v>772</v>
      </c>
      <c r="F61" s="3" t="str">
        <f t="shared" si="0"/>
        <v/>
      </c>
      <c r="G61" t="e">
        <f t="shared" ca="1" si="1"/>
        <v>#VALUE!</v>
      </c>
    </row>
    <row r="62" spans="1:7" ht="15.75" customHeight="1">
      <c r="A62" t="s">
        <v>773</v>
      </c>
      <c r="B62" t="s">
        <v>774</v>
      </c>
      <c r="C62" t="s">
        <v>775</v>
      </c>
      <c r="D62" t="s">
        <v>83</v>
      </c>
      <c r="F62" s="3" t="str">
        <f t="shared" si="0"/>
        <v/>
      </c>
      <c r="G62" t="e">
        <f t="shared" ca="1" si="1"/>
        <v>#VALUE!</v>
      </c>
    </row>
    <row r="63" spans="1:7" ht="15.75" customHeight="1">
      <c r="A63" t="s">
        <v>776</v>
      </c>
      <c r="B63" t="s">
        <v>777</v>
      </c>
      <c r="C63" t="s">
        <v>778</v>
      </c>
      <c r="D63" t="s">
        <v>83</v>
      </c>
      <c r="F63" s="3" t="str">
        <f t="shared" si="0"/>
        <v/>
      </c>
      <c r="G63" t="e">
        <f t="shared" ca="1" si="1"/>
        <v>#VALUE!</v>
      </c>
    </row>
    <row r="64" spans="1:7" ht="15.75" customHeight="1">
      <c r="A64" t="s">
        <v>779</v>
      </c>
      <c r="B64" t="s">
        <v>780</v>
      </c>
      <c r="C64" t="s">
        <v>781</v>
      </c>
      <c r="D64" t="s">
        <v>83</v>
      </c>
      <c r="F64" s="3" t="str">
        <f t="shared" si="0"/>
        <v/>
      </c>
      <c r="G64" t="e">
        <f t="shared" ca="1" si="1"/>
        <v>#VALUE!</v>
      </c>
    </row>
    <row r="65" spans="1:7" ht="15.75" customHeight="1">
      <c r="A65" t="s">
        <v>782</v>
      </c>
      <c r="B65" t="s">
        <v>783</v>
      </c>
      <c r="C65" t="s">
        <v>781</v>
      </c>
      <c r="D65" t="s">
        <v>83</v>
      </c>
      <c r="F65" s="3" t="str">
        <f t="shared" si="0"/>
        <v/>
      </c>
      <c r="G65" t="e">
        <f t="shared" ca="1" si="1"/>
        <v>#VALUE!</v>
      </c>
    </row>
    <row r="66" spans="1:7" ht="15.75" customHeight="1">
      <c r="A66" t="s">
        <v>784</v>
      </c>
      <c r="B66" t="s">
        <v>785</v>
      </c>
      <c r="C66" t="s">
        <v>786</v>
      </c>
      <c r="D66" t="s">
        <v>83</v>
      </c>
      <c r="F66" s="3" t="str">
        <f t="shared" si="0"/>
        <v/>
      </c>
      <c r="G66" t="e">
        <f t="shared" ca="1" si="1"/>
        <v>#VALUE!</v>
      </c>
    </row>
    <row r="67" spans="1:7" ht="15.75" customHeight="1">
      <c r="A67" t="s">
        <v>787</v>
      </c>
      <c r="B67" t="s">
        <v>788</v>
      </c>
      <c r="C67" t="s">
        <v>789</v>
      </c>
      <c r="D67" t="s">
        <v>83</v>
      </c>
      <c r="F67" s="3" t="str">
        <f t="shared" si="0"/>
        <v/>
      </c>
      <c r="G67" t="e">
        <f t="shared" ca="1" si="1"/>
        <v>#VALUE!</v>
      </c>
    </row>
    <row r="68" spans="1:7" ht="15.75" customHeight="1">
      <c r="A68" t="s">
        <v>790</v>
      </c>
      <c r="B68" t="s">
        <v>791</v>
      </c>
      <c r="C68" t="s">
        <v>792</v>
      </c>
      <c r="D68" t="s">
        <v>83</v>
      </c>
      <c r="F68" s="3" t="str">
        <f t="shared" ref="F68:F131" si="2">IF(ISBLANK(E68), "", EDATE(E68, 12))</f>
        <v/>
      </c>
      <c r="G68" t="e">
        <f t="shared" ref="G68:G131" ca="1" si="3">IF(ISBLANK(F68), "", IF(TODAY()&gt;=EDATE(F68, -1), "Due", "Valid"))</f>
        <v>#VALUE!</v>
      </c>
    </row>
    <row r="69" spans="1:7" ht="15.75" customHeight="1">
      <c r="A69" t="s">
        <v>80</v>
      </c>
      <c r="B69" t="s">
        <v>81</v>
      </c>
      <c r="C69" t="s">
        <v>82</v>
      </c>
      <c r="D69" t="s">
        <v>83</v>
      </c>
      <c r="F69" s="3" t="str">
        <f t="shared" si="2"/>
        <v/>
      </c>
      <c r="G69" t="e">
        <f t="shared" ca="1" si="3"/>
        <v>#VALUE!</v>
      </c>
    </row>
    <row r="70" spans="1:7" ht="15.75" customHeight="1">
      <c r="A70" t="s">
        <v>793</v>
      </c>
      <c r="B70" t="s">
        <v>794</v>
      </c>
      <c r="C70" t="s">
        <v>795</v>
      </c>
      <c r="D70" t="s">
        <v>87</v>
      </c>
      <c r="F70" s="3" t="str">
        <f t="shared" si="2"/>
        <v/>
      </c>
      <c r="G70" t="e">
        <f t="shared" ca="1" si="3"/>
        <v>#VALUE!</v>
      </c>
    </row>
    <row r="71" spans="1:7" ht="15.75" customHeight="1">
      <c r="A71" t="s">
        <v>796</v>
      </c>
      <c r="B71" t="s">
        <v>797</v>
      </c>
      <c r="C71" t="s">
        <v>798</v>
      </c>
      <c r="D71" t="s">
        <v>87</v>
      </c>
      <c r="F71" s="3" t="str">
        <f t="shared" si="2"/>
        <v/>
      </c>
      <c r="G71" t="e">
        <f t="shared" ca="1" si="3"/>
        <v>#VALUE!</v>
      </c>
    </row>
    <row r="72" spans="1:7" ht="15.75" customHeight="1">
      <c r="A72" t="s">
        <v>799</v>
      </c>
      <c r="B72" t="s">
        <v>800</v>
      </c>
      <c r="C72" t="s">
        <v>798</v>
      </c>
      <c r="D72" t="s">
        <v>87</v>
      </c>
      <c r="F72" s="3" t="str">
        <f t="shared" si="2"/>
        <v/>
      </c>
      <c r="G72" t="e">
        <f t="shared" ca="1" si="3"/>
        <v>#VALUE!</v>
      </c>
    </row>
    <row r="73" spans="1:7" ht="15.75" customHeight="1">
      <c r="A73" t="s">
        <v>801</v>
      </c>
      <c r="B73" t="s">
        <v>802</v>
      </c>
      <c r="C73" t="s">
        <v>803</v>
      </c>
      <c r="D73" t="s">
        <v>87</v>
      </c>
      <c r="F73" s="3" t="str">
        <f t="shared" si="2"/>
        <v/>
      </c>
      <c r="G73" t="e">
        <f t="shared" ca="1" si="3"/>
        <v>#VALUE!</v>
      </c>
    </row>
    <row r="74" spans="1:7" ht="15.75" customHeight="1">
      <c r="A74" t="s">
        <v>804</v>
      </c>
      <c r="B74" t="s">
        <v>805</v>
      </c>
      <c r="C74" t="s">
        <v>806</v>
      </c>
      <c r="D74" t="s">
        <v>87</v>
      </c>
      <c r="F74" s="3" t="str">
        <f t="shared" si="2"/>
        <v/>
      </c>
      <c r="G74" t="e">
        <f t="shared" ca="1" si="3"/>
        <v>#VALUE!</v>
      </c>
    </row>
    <row r="75" spans="1:7" ht="15.75" customHeight="1">
      <c r="A75" t="s">
        <v>807</v>
      </c>
      <c r="B75" t="s">
        <v>808</v>
      </c>
      <c r="C75" t="s">
        <v>809</v>
      </c>
      <c r="D75" t="s">
        <v>87</v>
      </c>
      <c r="F75" s="3" t="str">
        <f t="shared" si="2"/>
        <v/>
      </c>
      <c r="G75" t="e">
        <f t="shared" ca="1" si="3"/>
        <v>#VALUE!</v>
      </c>
    </row>
    <row r="76" spans="1:7" ht="15.75" customHeight="1">
      <c r="A76" t="s">
        <v>810</v>
      </c>
      <c r="B76" t="s">
        <v>811</v>
      </c>
      <c r="C76" t="s">
        <v>812</v>
      </c>
      <c r="D76" t="s">
        <v>87</v>
      </c>
      <c r="F76" s="3" t="str">
        <f t="shared" si="2"/>
        <v/>
      </c>
      <c r="G76" t="e">
        <f t="shared" ca="1" si="3"/>
        <v>#VALUE!</v>
      </c>
    </row>
    <row r="77" spans="1:7" ht="15.75" customHeight="1">
      <c r="A77" t="s">
        <v>84</v>
      </c>
      <c r="B77" t="s">
        <v>85</v>
      </c>
      <c r="C77" t="s">
        <v>86</v>
      </c>
      <c r="D77" t="s">
        <v>87</v>
      </c>
      <c r="F77" s="3" t="str">
        <f t="shared" si="2"/>
        <v/>
      </c>
      <c r="G77" t="e">
        <f t="shared" ca="1" si="3"/>
        <v>#VALUE!</v>
      </c>
    </row>
    <row r="78" spans="1:7" ht="15.75" customHeight="1">
      <c r="A78" t="s">
        <v>88</v>
      </c>
      <c r="B78" t="s">
        <v>89</v>
      </c>
      <c r="C78" t="s">
        <v>90</v>
      </c>
      <c r="D78" t="s">
        <v>87</v>
      </c>
      <c r="F78" s="3" t="str">
        <f t="shared" si="2"/>
        <v/>
      </c>
      <c r="G78" t="e">
        <f t="shared" ca="1" si="3"/>
        <v>#VALUE!</v>
      </c>
    </row>
    <row r="79" spans="1:7" ht="15.75" customHeight="1">
      <c r="A79" t="s">
        <v>91</v>
      </c>
      <c r="B79" t="s">
        <v>92</v>
      </c>
      <c r="C79" t="s">
        <v>93</v>
      </c>
      <c r="D79" t="s">
        <v>87</v>
      </c>
      <c r="F79" s="3" t="str">
        <f t="shared" si="2"/>
        <v/>
      </c>
      <c r="G79" t="e">
        <f t="shared" ca="1" si="3"/>
        <v>#VALUE!</v>
      </c>
    </row>
    <row r="80" spans="1:7" ht="15.75" customHeight="1">
      <c r="A80" t="s">
        <v>94</v>
      </c>
      <c r="B80" t="s">
        <v>95</v>
      </c>
      <c r="C80" t="s">
        <v>96</v>
      </c>
      <c r="D80" t="s">
        <v>87</v>
      </c>
      <c r="F80" s="3" t="str">
        <f t="shared" si="2"/>
        <v/>
      </c>
      <c r="G80" t="e">
        <f t="shared" ca="1" si="3"/>
        <v>#VALUE!</v>
      </c>
    </row>
    <row r="81" spans="1:7" ht="15.75" customHeight="1">
      <c r="A81" t="s">
        <v>97</v>
      </c>
      <c r="B81" t="s">
        <v>98</v>
      </c>
      <c r="C81" t="s">
        <v>99</v>
      </c>
      <c r="D81" t="s">
        <v>87</v>
      </c>
      <c r="F81" s="3" t="str">
        <f t="shared" si="2"/>
        <v/>
      </c>
      <c r="G81" t="e">
        <f t="shared" ca="1" si="3"/>
        <v>#VALUE!</v>
      </c>
    </row>
    <row r="82" spans="1:7" ht="15.75" customHeight="1">
      <c r="A82" t="s">
        <v>100</v>
      </c>
      <c r="B82" t="s">
        <v>101</v>
      </c>
      <c r="C82" t="s">
        <v>102</v>
      </c>
      <c r="D82" t="s">
        <v>87</v>
      </c>
      <c r="F82" s="3" t="str">
        <f t="shared" si="2"/>
        <v/>
      </c>
      <c r="G82" t="e">
        <f t="shared" ca="1" si="3"/>
        <v>#VALUE!</v>
      </c>
    </row>
    <row r="83" spans="1:7" ht="15.75" customHeight="1">
      <c r="A83" t="s">
        <v>103</v>
      </c>
      <c r="B83" t="s">
        <v>104</v>
      </c>
      <c r="C83" t="s">
        <v>105</v>
      </c>
      <c r="D83" t="s">
        <v>87</v>
      </c>
      <c r="F83" s="3" t="str">
        <f t="shared" si="2"/>
        <v/>
      </c>
      <c r="G83" t="e">
        <f t="shared" ca="1" si="3"/>
        <v>#VALUE!</v>
      </c>
    </row>
    <row r="84" spans="1:7" ht="15.75" customHeight="1">
      <c r="A84" t="s">
        <v>106</v>
      </c>
      <c r="B84" t="s">
        <v>107</v>
      </c>
      <c r="C84" t="s">
        <v>11</v>
      </c>
      <c r="D84" t="s">
        <v>87</v>
      </c>
      <c r="F84" s="3" t="str">
        <f t="shared" si="2"/>
        <v/>
      </c>
      <c r="G84" t="e">
        <f t="shared" ca="1" si="3"/>
        <v>#VALUE!</v>
      </c>
    </row>
    <row r="85" spans="1:7" ht="15.75" customHeight="1">
      <c r="A85" t="s">
        <v>108</v>
      </c>
      <c r="B85" t="s">
        <v>109</v>
      </c>
      <c r="C85" t="s">
        <v>110</v>
      </c>
      <c r="D85" t="s">
        <v>87</v>
      </c>
      <c r="F85" s="3" t="str">
        <f t="shared" si="2"/>
        <v/>
      </c>
      <c r="G85" t="e">
        <f t="shared" ca="1" si="3"/>
        <v>#VALUE!</v>
      </c>
    </row>
    <row r="86" spans="1:7" ht="15.75" customHeight="1">
      <c r="A86" t="s">
        <v>111</v>
      </c>
      <c r="B86" t="s">
        <v>112</v>
      </c>
      <c r="C86" t="s">
        <v>110</v>
      </c>
      <c r="D86" t="s">
        <v>87</v>
      </c>
      <c r="F86" s="3" t="str">
        <f t="shared" si="2"/>
        <v/>
      </c>
      <c r="G86" t="e">
        <f t="shared" ca="1" si="3"/>
        <v>#VALUE!</v>
      </c>
    </row>
    <row r="87" spans="1:7" ht="15.75" customHeight="1">
      <c r="A87" t="s">
        <v>113</v>
      </c>
      <c r="B87" t="s">
        <v>114</v>
      </c>
      <c r="C87" t="s">
        <v>110</v>
      </c>
      <c r="D87" t="s">
        <v>87</v>
      </c>
      <c r="F87" s="3" t="str">
        <f t="shared" si="2"/>
        <v/>
      </c>
      <c r="G87" t="e">
        <f t="shared" ca="1" si="3"/>
        <v>#VALUE!</v>
      </c>
    </row>
    <row r="88" spans="1:7" ht="15.75" customHeight="1">
      <c r="A88" t="s">
        <v>115</v>
      </c>
      <c r="B88" t="s">
        <v>116</v>
      </c>
      <c r="C88" t="s">
        <v>110</v>
      </c>
      <c r="D88" t="s">
        <v>87</v>
      </c>
      <c r="F88" s="3" t="str">
        <f t="shared" si="2"/>
        <v/>
      </c>
      <c r="G88" t="e">
        <f t="shared" ca="1" si="3"/>
        <v>#VALUE!</v>
      </c>
    </row>
    <row r="89" spans="1:7" ht="15.75" customHeight="1">
      <c r="A89" t="s">
        <v>813</v>
      </c>
      <c r="B89" t="s">
        <v>814</v>
      </c>
      <c r="C89" t="s">
        <v>815</v>
      </c>
      <c r="D89" t="s">
        <v>12</v>
      </c>
      <c r="F89" s="3" t="str">
        <f t="shared" si="2"/>
        <v/>
      </c>
      <c r="G89" t="e">
        <f t="shared" ca="1" si="3"/>
        <v>#VALUE!</v>
      </c>
    </row>
    <row r="90" spans="1:7" ht="15.75" customHeight="1">
      <c r="A90" t="s">
        <v>117</v>
      </c>
      <c r="B90" t="s">
        <v>118</v>
      </c>
      <c r="C90" t="s">
        <v>39</v>
      </c>
      <c r="D90" t="s">
        <v>12</v>
      </c>
      <c r="F90" s="3" t="str">
        <f t="shared" si="2"/>
        <v/>
      </c>
      <c r="G90" t="e">
        <f t="shared" ca="1" si="3"/>
        <v>#VALUE!</v>
      </c>
    </row>
    <row r="91" spans="1:7" ht="15.75" customHeight="1">
      <c r="A91" t="s">
        <v>119</v>
      </c>
      <c r="B91" t="s">
        <v>120</v>
      </c>
      <c r="C91" t="s">
        <v>64</v>
      </c>
      <c r="D91" t="s">
        <v>12</v>
      </c>
      <c r="F91" s="3" t="str">
        <f t="shared" si="2"/>
        <v/>
      </c>
      <c r="G91" t="e">
        <f t="shared" ca="1" si="3"/>
        <v>#VALUE!</v>
      </c>
    </row>
    <row r="92" spans="1:7" ht="15.75" customHeight="1">
      <c r="A92" t="s">
        <v>816</v>
      </c>
      <c r="B92" t="s">
        <v>817</v>
      </c>
      <c r="C92" t="s">
        <v>818</v>
      </c>
      <c r="D92" t="s">
        <v>126</v>
      </c>
      <c r="F92" s="3" t="str">
        <f t="shared" si="2"/>
        <v/>
      </c>
      <c r="G92" t="e">
        <f t="shared" ca="1" si="3"/>
        <v>#VALUE!</v>
      </c>
    </row>
    <row r="93" spans="1:7" ht="15.75" customHeight="1">
      <c r="A93" t="s">
        <v>819</v>
      </c>
      <c r="B93" t="s">
        <v>820</v>
      </c>
      <c r="C93" t="s">
        <v>821</v>
      </c>
      <c r="D93" t="s">
        <v>126</v>
      </c>
      <c r="F93" s="3" t="str">
        <f t="shared" si="2"/>
        <v/>
      </c>
      <c r="G93" t="e">
        <f t="shared" ca="1" si="3"/>
        <v>#VALUE!</v>
      </c>
    </row>
    <row r="94" spans="1:7" ht="15.75" customHeight="1">
      <c r="A94" t="s">
        <v>822</v>
      </c>
      <c r="B94" t="s">
        <v>823</v>
      </c>
      <c r="C94" t="s">
        <v>824</v>
      </c>
      <c r="D94" t="s">
        <v>126</v>
      </c>
      <c r="F94" s="3" t="str">
        <f t="shared" si="2"/>
        <v/>
      </c>
      <c r="G94" t="e">
        <f t="shared" ca="1" si="3"/>
        <v>#VALUE!</v>
      </c>
    </row>
    <row r="95" spans="1:7" ht="15.75" customHeight="1">
      <c r="A95" t="s">
        <v>825</v>
      </c>
      <c r="B95" t="s">
        <v>826</v>
      </c>
      <c r="C95" t="s">
        <v>827</v>
      </c>
      <c r="D95" t="s">
        <v>126</v>
      </c>
      <c r="F95" s="3" t="str">
        <f t="shared" si="2"/>
        <v/>
      </c>
      <c r="G95" t="e">
        <f t="shared" ca="1" si="3"/>
        <v>#VALUE!</v>
      </c>
    </row>
    <row r="96" spans="1:7" ht="15.75" customHeight="1">
      <c r="A96" t="s">
        <v>121</v>
      </c>
      <c r="B96" t="s">
        <v>122</v>
      </c>
      <c r="C96" t="s">
        <v>123</v>
      </c>
      <c r="D96" t="s">
        <v>12</v>
      </c>
      <c r="F96" s="3" t="str">
        <f t="shared" si="2"/>
        <v/>
      </c>
      <c r="G96" t="e">
        <f t="shared" ca="1" si="3"/>
        <v>#VALUE!</v>
      </c>
    </row>
    <row r="97" spans="1:7" ht="15.75" customHeight="1">
      <c r="A97" t="s">
        <v>124</v>
      </c>
      <c r="B97" t="s">
        <v>125</v>
      </c>
      <c r="C97" t="s">
        <v>11</v>
      </c>
      <c r="D97" t="s">
        <v>126</v>
      </c>
      <c r="F97" s="3" t="str">
        <f t="shared" si="2"/>
        <v/>
      </c>
      <c r="G97" t="e">
        <f t="shared" ca="1" si="3"/>
        <v>#VALUE!</v>
      </c>
    </row>
    <row r="98" spans="1:7" ht="15.75" customHeight="1">
      <c r="A98" t="s">
        <v>127</v>
      </c>
      <c r="B98" t="s">
        <v>128</v>
      </c>
      <c r="C98" t="s">
        <v>11</v>
      </c>
      <c r="D98" t="s">
        <v>12</v>
      </c>
      <c r="F98" s="3" t="str">
        <f t="shared" si="2"/>
        <v/>
      </c>
      <c r="G98" t="e">
        <f t="shared" ca="1" si="3"/>
        <v>#VALUE!</v>
      </c>
    </row>
    <row r="99" spans="1:7" ht="15.75" customHeight="1">
      <c r="A99" t="s">
        <v>828</v>
      </c>
      <c r="B99" t="s">
        <v>829</v>
      </c>
      <c r="C99" t="s">
        <v>830</v>
      </c>
      <c r="D99" t="s">
        <v>131</v>
      </c>
      <c r="F99" s="3" t="str">
        <f t="shared" si="2"/>
        <v/>
      </c>
      <c r="G99" t="e">
        <f t="shared" ca="1" si="3"/>
        <v>#VALUE!</v>
      </c>
    </row>
    <row r="100" spans="1:7" ht="15.75" customHeight="1">
      <c r="A100" t="s">
        <v>831</v>
      </c>
      <c r="B100" t="s">
        <v>832</v>
      </c>
      <c r="C100" t="s">
        <v>833</v>
      </c>
      <c r="D100" t="s">
        <v>131</v>
      </c>
      <c r="F100" s="3" t="str">
        <f t="shared" si="2"/>
        <v/>
      </c>
      <c r="G100" t="e">
        <f t="shared" ca="1" si="3"/>
        <v>#VALUE!</v>
      </c>
    </row>
    <row r="101" spans="1:7" ht="15.75" customHeight="1">
      <c r="A101" t="s">
        <v>834</v>
      </c>
      <c r="B101" t="s">
        <v>835</v>
      </c>
      <c r="C101" t="s">
        <v>836</v>
      </c>
      <c r="D101" t="s">
        <v>131</v>
      </c>
      <c r="F101" s="3" t="str">
        <f t="shared" si="2"/>
        <v/>
      </c>
      <c r="G101" t="e">
        <f t="shared" ca="1" si="3"/>
        <v>#VALUE!</v>
      </c>
    </row>
    <row r="102" spans="1:7" ht="15.75" customHeight="1">
      <c r="A102" t="s">
        <v>129</v>
      </c>
      <c r="B102" t="s">
        <v>130</v>
      </c>
      <c r="C102" t="s">
        <v>123</v>
      </c>
      <c r="D102" t="s">
        <v>131</v>
      </c>
      <c r="F102" s="3" t="str">
        <f t="shared" si="2"/>
        <v/>
      </c>
      <c r="G102" t="e">
        <f t="shared" ca="1" si="3"/>
        <v>#VALUE!</v>
      </c>
    </row>
    <row r="103" spans="1:7" ht="15.75" customHeight="1">
      <c r="A103" t="s">
        <v>132</v>
      </c>
      <c r="B103" t="s">
        <v>133</v>
      </c>
      <c r="C103" t="s">
        <v>93</v>
      </c>
      <c r="D103" t="s">
        <v>131</v>
      </c>
      <c r="F103" s="3" t="str">
        <f t="shared" si="2"/>
        <v/>
      </c>
      <c r="G103" t="e">
        <f t="shared" ca="1" si="3"/>
        <v>#VALUE!</v>
      </c>
    </row>
    <row r="104" spans="1:7" ht="15.75" customHeight="1">
      <c r="A104" t="s">
        <v>134</v>
      </c>
      <c r="B104" t="s">
        <v>135</v>
      </c>
      <c r="C104" t="s">
        <v>136</v>
      </c>
      <c r="D104" t="s">
        <v>131</v>
      </c>
      <c r="F104" s="3" t="str">
        <f t="shared" si="2"/>
        <v/>
      </c>
      <c r="G104" t="e">
        <f t="shared" ca="1" si="3"/>
        <v>#VALUE!</v>
      </c>
    </row>
    <row r="105" spans="1:7" ht="15.75" customHeight="1">
      <c r="A105" t="s">
        <v>137</v>
      </c>
      <c r="B105" t="s">
        <v>138</v>
      </c>
      <c r="C105" t="s">
        <v>139</v>
      </c>
      <c r="D105" t="s">
        <v>131</v>
      </c>
      <c r="F105" s="3" t="str">
        <f t="shared" si="2"/>
        <v/>
      </c>
      <c r="G105" t="e">
        <f t="shared" ca="1" si="3"/>
        <v>#VALUE!</v>
      </c>
    </row>
    <row r="106" spans="1:7" ht="15.75" customHeight="1">
      <c r="A106" t="s">
        <v>140</v>
      </c>
      <c r="B106" t="s">
        <v>141</v>
      </c>
      <c r="C106" t="s">
        <v>82</v>
      </c>
      <c r="D106" t="s">
        <v>131</v>
      </c>
      <c r="F106" s="3" t="str">
        <f t="shared" si="2"/>
        <v/>
      </c>
      <c r="G106" t="e">
        <f t="shared" ca="1" si="3"/>
        <v>#VALUE!</v>
      </c>
    </row>
    <row r="107" spans="1:7" ht="15.75" customHeight="1">
      <c r="A107" t="s">
        <v>142</v>
      </c>
      <c r="B107" t="s">
        <v>143</v>
      </c>
      <c r="C107" t="s">
        <v>144</v>
      </c>
      <c r="D107" t="s">
        <v>131</v>
      </c>
      <c r="F107" s="3" t="str">
        <f t="shared" si="2"/>
        <v/>
      </c>
      <c r="G107" t="e">
        <f t="shared" ca="1" si="3"/>
        <v>#VALUE!</v>
      </c>
    </row>
    <row r="108" spans="1:7" ht="15.75" customHeight="1">
      <c r="A108" t="s">
        <v>145</v>
      </c>
      <c r="B108" t="s">
        <v>146</v>
      </c>
      <c r="C108" t="s">
        <v>144</v>
      </c>
      <c r="D108" t="s">
        <v>131</v>
      </c>
      <c r="F108" s="3" t="str">
        <f t="shared" si="2"/>
        <v/>
      </c>
      <c r="G108" t="e">
        <f t="shared" ca="1" si="3"/>
        <v>#VALUE!</v>
      </c>
    </row>
    <row r="109" spans="1:7" ht="15.75" customHeight="1">
      <c r="A109" t="s">
        <v>147</v>
      </c>
      <c r="B109" t="s">
        <v>148</v>
      </c>
      <c r="C109" t="s">
        <v>79</v>
      </c>
      <c r="D109" t="s">
        <v>131</v>
      </c>
      <c r="F109" s="3" t="str">
        <f t="shared" si="2"/>
        <v/>
      </c>
      <c r="G109" t="e">
        <f t="shared" ca="1" si="3"/>
        <v>#VALUE!</v>
      </c>
    </row>
    <row r="110" spans="1:7" ht="15.75" customHeight="1">
      <c r="A110" t="s">
        <v>837</v>
      </c>
      <c r="B110" t="s">
        <v>838</v>
      </c>
      <c r="C110" t="s">
        <v>839</v>
      </c>
      <c r="D110" t="s">
        <v>131</v>
      </c>
      <c r="F110" s="3" t="str">
        <f t="shared" si="2"/>
        <v/>
      </c>
      <c r="G110" t="e">
        <f t="shared" ca="1" si="3"/>
        <v>#VALUE!</v>
      </c>
    </row>
    <row r="111" spans="1:7" ht="15.75" customHeight="1">
      <c r="A111" t="s">
        <v>840</v>
      </c>
      <c r="B111" t="s">
        <v>841</v>
      </c>
      <c r="C111" t="s">
        <v>842</v>
      </c>
      <c r="D111" t="s">
        <v>131</v>
      </c>
      <c r="F111" s="3" t="str">
        <f t="shared" si="2"/>
        <v/>
      </c>
      <c r="G111" t="e">
        <f t="shared" ca="1" si="3"/>
        <v>#VALUE!</v>
      </c>
    </row>
    <row r="112" spans="1:7" ht="15.75" customHeight="1">
      <c r="A112" t="s">
        <v>843</v>
      </c>
      <c r="B112" t="s">
        <v>844</v>
      </c>
      <c r="C112" t="s">
        <v>845</v>
      </c>
      <c r="D112" t="s">
        <v>152</v>
      </c>
      <c r="F112" s="3" t="str">
        <f t="shared" si="2"/>
        <v/>
      </c>
      <c r="G112" t="e">
        <f t="shared" ca="1" si="3"/>
        <v>#VALUE!</v>
      </c>
    </row>
    <row r="113" spans="1:7" ht="15.75" customHeight="1">
      <c r="A113" t="s">
        <v>846</v>
      </c>
      <c r="B113" t="s">
        <v>847</v>
      </c>
      <c r="C113" t="s">
        <v>848</v>
      </c>
      <c r="D113" t="s">
        <v>152</v>
      </c>
      <c r="F113" s="3" t="str">
        <f t="shared" si="2"/>
        <v/>
      </c>
      <c r="G113" t="e">
        <f t="shared" ca="1" si="3"/>
        <v>#VALUE!</v>
      </c>
    </row>
    <row r="114" spans="1:7" ht="15.75" customHeight="1">
      <c r="A114" t="s">
        <v>849</v>
      </c>
      <c r="B114" t="s">
        <v>850</v>
      </c>
      <c r="C114" t="s">
        <v>851</v>
      </c>
      <c r="D114" t="s">
        <v>152</v>
      </c>
      <c r="F114" s="3" t="str">
        <f t="shared" si="2"/>
        <v/>
      </c>
      <c r="G114" t="e">
        <f t="shared" ca="1" si="3"/>
        <v>#VALUE!</v>
      </c>
    </row>
    <row r="115" spans="1:7" ht="15.75" customHeight="1">
      <c r="A115" t="s">
        <v>852</v>
      </c>
      <c r="B115" t="s">
        <v>853</v>
      </c>
      <c r="C115" t="s">
        <v>851</v>
      </c>
      <c r="D115" t="s">
        <v>152</v>
      </c>
      <c r="F115" s="3" t="str">
        <f t="shared" si="2"/>
        <v/>
      </c>
      <c r="G115" t="e">
        <f t="shared" ca="1" si="3"/>
        <v>#VALUE!</v>
      </c>
    </row>
    <row r="116" spans="1:7" ht="15.75" customHeight="1">
      <c r="A116" t="s">
        <v>854</v>
      </c>
      <c r="B116" t="s">
        <v>855</v>
      </c>
      <c r="C116" t="s">
        <v>856</v>
      </c>
      <c r="D116" t="s">
        <v>152</v>
      </c>
      <c r="F116" s="3" t="str">
        <f t="shared" si="2"/>
        <v/>
      </c>
      <c r="G116" t="e">
        <f t="shared" ca="1" si="3"/>
        <v>#VALUE!</v>
      </c>
    </row>
    <row r="117" spans="1:7" ht="15.75" customHeight="1">
      <c r="A117" t="s">
        <v>149</v>
      </c>
      <c r="B117" t="s">
        <v>150</v>
      </c>
      <c r="C117" t="s">
        <v>151</v>
      </c>
      <c r="D117" t="s">
        <v>152</v>
      </c>
      <c r="F117" s="3" t="str">
        <f t="shared" si="2"/>
        <v/>
      </c>
      <c r="G117" t="e">
        <f t="shared" ca="1" si="3"/>
        <v>#VALUE!</v>
      </c>
    </row>
    <row r="118" spans="1:7" ht="15.75" customHeight="1">
      <c r="A118" t="s">
        <v>153</v>
      </c>
      <c r="B118" t="s">
        <v>154</v>
      </c>
      <c r="C118" t="s">
        <v>155</v>
      </c>
      <c r="D118" t="s">
        <v>152</v>
      </c>
      <c r="F118" s="3" t="str">
        <f t="shared" si="2"/>
        <v/>
      </c>
      <c r="G118" t="e">
        <f t="shared" ca="1" si="3"/>
        <v>#VALUE!</v>
      </c>
    </row>
    <row r="119" spans="1:7" ht="15.75" customHeight="1">
      <c r="A119" t="s">
        <v>156</v>
      </c>
      <c r="B119" t="s">
        <v>157</v>
      </c>
      <c r="C119" t="s">
        <v>155</v>
      </c>
      <c r="D119" t="s">
        <v>152</v>
      </c>
      <c r="F119" s="3" t="str">
        <f t="shared" si="2"/>
        <v/>
      </c>
      <c r="G119" t="e">
        <f t="shared" ca="1" si="3"/>
        <v>#VALUE!</v>
      </c>
    </row>
    <row r="120" spans="1:7" ht="15.75" customHeight="1">
      <c r="A120" t="s">
        <v>158</v>
      </c>
      <c r="B120" t="s">
        <v>159</v>
      </c>
      <c r="C120" t="s">
        <v>39</v>
      </c>
      <c r="D120" t="s">
        <v>152</v>
      </c>
      <c r="F120" s="3" t="str">
        <f t="shared" si="2"/>
        <v/>
      </c>
      <c r="G120" t="e">
        <f t="shared" ca="1" si="3"/>
        <v>#VALUE!</v>
      </c>
    </row>
    <row r="121" spans="1:7" ht="15.75" customHeight="1">
      <c r="A121" t="s">
        <v>160</v>
      </c>
      <c r="B121" t="s">
        <v>161</v>
      </c>
      <c r="C121" t="s">
        <v>39</v>
      </c>
      <c r="D121" t="s">
        <v>152</v>
      </c>
      <c r="F121" s="3" t="str">
        <f t="shared" si="2"/>
        <v/>
      </c>
      <c r="G121" t="e">
        <f t="shared" ca="1" si="3"/>
        <v>#VALUE!</v>
      </c>
    </row>
    <row r="122" spans="1:7" ht="15.75" customHeight="1">
      <c r="A122" t="s">
        <v>162</v>
      </c>
      <c r="B122" t="s">
        <v>163</v>
      </c>
      <c r="C122" t="s">
        <v>139</v>
      </c>
      <c r="D122" t="s">
        <v>152</v>
      </c>
      <c r="F122" s="3" t="str">
        <f t="shared" si="2"/>
        <v/>
      </c>
      <c r="G122" t="e">
        <f t="shared" ca="1" si="3"/>
        <v>#VALUE!</v>
      </c>
    </row>
    <row r="123" spans="1:7" ht="15.75" customHeight="1">
      <c r="A123" t="s">
        <v>164</v>
      </c>
      <c r="B123" t="s">
        <v>165</v>
      </c>
      <c r="C123" t="s">
        <v>139</v>
      </c>
      <c r="D123" t="s">
        <v>152</v>
      </c>
      <c r="F123" s="3" t="str">
        <f t="shared" si="2"/>
        <v/>
      </c>
      <c r="G123" t="e">
        <f t="shared" ca="1" si="3"/>
        <v>#VALUE!</v>
      </c>
    </row>
    <row r="124" spans="1:7" ht="15.75" customHeight="1">
      <c r="A124" t="s">
        <v>857</v>
      </c>
      <c r="B124" t="s">
        <v>858</v>
      </c>
      <c r="C124" t="s">
        <v>859</v>
      </c>
      <c r="D124" t="s">
        <v>152</v>
      </c>
      <c r="F124" s="3" t="str">
        <f t="shared" si="2"/>
        <v/>
      </c>
      <c r="G124" t="e">
        <f t="shared" ca="1" si="3"/>
        <v>#VALUE!</v>
      </c>
    </row>
    <row r="125" spans="1:7" ht="15.75" customHeight="1">
      <c r="A125" t="s">
        <v>166</v>
      </c>
      <c r="B125" t="s">
        <v>167</v>
      </c>
      <c r="C125" t="s">
        <v>168</v>
      </c>
      <c r="D125" t="s">
        <v>152</v>
      </c>
      <c r="F125" s="3" t="str">
        <f t="shared" si="2"/>
        <v/>
      </c>
      <c r="G125" t="e">
        <f t="shared" ca="1" si="3"/>
        <v>#VALUE!</v>
      </c>
    </row>
    <row r="126" spans="1:7" ht="15.75" customHeight="1">
      <c r="A126" t="s">
        <v>169</v>
      </c>
      <c r="B126" t="s">
        <v>170</v>
      </c>
      <c r="C126" t="s">
        <v>171</v>
      </c>
      <c r="D126" t="s">
        <v>152</v>
      </c>
      <c r="F126" s="3" t="str">
        <f t="shared" si="2"/>
        <v/>
      </c>
      <c r="G126" t="e">
        <f t="shared" ca="1" si="3"/>
        <v>#VALUE!</v>
      </c>
    </row>
    <row r="127" spans="1:7" ht="15.75" customHeight="1">
      <c r="A127" t="s">
        <v>172</v>
      </c>
      <c r="B127" t="s">
        <v>173</v>
      </c>
      <c r="C127" t="s">
        <v>174</v>
      </c>
      <c r="D127" t="s">
        <v>152</v>
      </c>
      <c r="F127" s="3" t="str">
        <f t="shared" si="2"/>
        <v/>
      </c>
      <c r="G127" t="e">
        <f t="shared" ca="1" si="3"/>
        <v>#VALUE!</v>
      </c>
    </row>
    <row r="128" spans="1:7" ht="15.75" customHeight="1">
      <c r="A128" t="s">
        <v>860</v>
      </c>
      <c r="B128" t="s">
        <v>861</v>
      </c>
      <c r="C128" t="s">
        <v>862</v>
      </c>
      <c r="D128" t="s">
        <v>152</v>
      </c>
      <c r="F128" s="3" t="str">
        <f t="shared" si="2"/>
        <v/>
      </c>
      <c r="G128" t="e">
        <f t="shared" ca="1" si="3"/>
        <v>#VALUE!</v>
      </c>
    </row>
    <row r="129" spans="1:7" ht="15.75" customHeight="1">
      <c r="A129" t="s">
        <v>863</v>
      </c>
      <c r="B129" t="s">
        <v>864</v>
      </c>
      <c r="C129" t="s">
        <v>862</v>
      </c>
      <c r="D129" t="s">
        <v>152</v>
      </c>
      <c r="F129" s="3" t="str">
        <f t="shared" si="2"/>
        <v/>
      </c>
      <c r="G129" t="e">
        <f t="shared" ca="1" si="3"/>
        <v>#VALUE!</v>
      </c>
    </row>
    <row r="130" spans="1:7" ht="15.75" customHeight="1">
      <c r="A130" t="s">
        <v>865</v>
      </c>
      <c r="B130" t="s">
        <v>866</v>
      </c>
      <c r="C130" t="s">
        <v>862</v>
      </c>
      <c r="D130" t="s">
        <v>152</v>
      </c>
      <c r="F130" s="3" t="str">
        <f t="shared" si="2"/>
        <v/>
      </c>
      <c r="G130" t="e">
        <f t="shared" ca="1" si="3"/>
        <v>#VALUE!</v>
      </c>
    </row>
    <row r="131" spans="1:7" ht="15.75" customHeight="1">
      <c r="A131" t="s">
        <v>867</v>
      </c>
      <c r="B131" t="s">
        <v>868</v>
      </c>
      <c r="C131" t="s">
        <v>869</v>
      </c>
      <c r="D131" t="s">
        <v>152</v>
      </c>
      <c r="F131" s="3" t="str">
        <f t="shared" si="2"/>
        <v/>
      </c>
      <c r="G131" t="e">
        <f t="shared" ca="1" si="3"/>
        <v>#VALUE!</v>
      </c>
    </row>
    <row r="132" spans="1:7" ht="15.75" customHeight="1">
      <c r="A132" t="s">
        <v>870</v>
      </c>
      <c r="B132" t="s">
        <v>871</v>
      </c>
      <c r="C132" t="s">
        <v>872</v>
      </c>
      <c r="D132" t="s">
        <v>152</v>
      </c>
      <c r="F132" s="3" t="str">
        <f t="shared" ref="F132:F195" si="4">IF(ISBLANK(E132), "", EDATE(E132, 12))</f>
        <v/>
      </c>
      <c r="G132" t="e">
        <f t="shared" ref="G132:G195" ca="1" si="5">IF(ISBLANK(F132), "", IF(TODAY()&gt;=EDATE(F132, -1), "Due", "Valid"))</f>
        <v>#VALUE!</v>
      </c>
    </row>
    <row r="133" spans="1:7" ht="15.75" customHeight="1">
      <c r="A133" t="s">
        <v>873</v>
      </c>
      <c r="B133" t="s">
        <v>874</v>
      </c>
      <c r="C133" t="s">
        <v>872</v>
      </c>
      <c r="D133" t="s">
        <v>152</v>
      </c>
      <c r="F133" s="3" t="str">
        <f t="shared" si="4"/>
        <v/>
      </c>
      <c r="G133" t="e">
        <f t="shared" ca="1" si="5"/>
        <v>#VALUE!</v>
      </c>
    </row>
    <row r="134" spans="1:7" ht="15.75" customHeight="1">
      <c r="A134" t="s">
        <v>875</v>
      </c>
      <c r="B134" t="s">
        <v>876</v>
      </c>
      <c r="C134" t="s">
        <v>877</v>
      </c>
      <c r="D134" t="s">
        <v>152</v>
      </c>
      <c r="F134" s="3" t="str">
        <f t="shared" si="4"/>
        <v/>
      </c>
      <c r="G134" t="e">
        <f t="shared" ca="1" si="5"/>
        <v>#VALUE!</v>
      </c>
    </row>
    <row r="135" spans="1:7" ht="15.75" customHeight="1">
      <c r="A135" t="s">
        <v>878</v>
      </c>
      <c r="B135" t="s">
        <v>879</v>
      </c>
      <c r="C135" t="s">
        <v>877</v>
      </c>
      <c r="D135" t="s">
        <v>152</v>
      </c>
      <c r="F135" s="3" t="str">
        <f t="shared" si="4"/>
        <v/>
      </c>
      <c r="G135" t="e">
        <f t="shared" ca="1" si="5"/>
        <v>#VALUE!</v>
      </c>
    </row>
    <row r="136" spans="1:7" ht="15.75" customHeight="1">
      <c r="A136" t="s">
        <v>880</v>
      </c>
      <c r="B136" t="s">
        <v>881</v>
      </c>
      <c r="C136" t="s">
        <v>882</v>
      </c>
      <c r="D136" t="s">
        <v>152</v>
      </c>
      <c r="F136" s="3" t="str">
        <f t="shared" si="4"/>
        <v/>
      </c>
      <c r="G136" t="e">
        <f t="shared" ca="1" si="5"/>
        <v>#VALUE!</v>
      </c>
    </row>
    <row r="137" spans="1:7" ht="15.75" customHeight="1">
      <c r="A137" t="s">
        <v>883</v>
      </c>
      <c r="B137" t="s">
        <v>884</v>
      </c>
      <c r="C137" t="s">
        <v>882</v>
      </c>
      <c r="D137" t="s">
        <v>152</v>
      </c>
      <c r="F137" s="3" t="str">
        <f t="shared" si="4"/>
        <v/>
      </c>
      <c r="G137" t="e">
        <f t="shared" ca="1" si="5"/>
        <v>#VALUE!</v>
      </c>
    </row>
    <row r="138" spans="1:7" ht="15.75" customHeight="1">
      <c r="A138" t="s">
        <v>885</v>
      </c>
      <c r="B138" t="s">
        <v>886</v>
      </c>
      <c r="C138" t="s">
        <v>882</v>
      </c>
      <c r="D138" t="s">
        <v>152</v>
      </c>
      <c r="F138" s="3" t="str">
        <f t="shared" si="4"/>
        <v/>
      </c>
      <c r="G138" t="e">
        <f t="shared" ca="1" si="5"/>
        <v>#VALUE!</v>
      </c>
    </row>
    <row r="139" spans="1:7" ht="15.75" customHeight="1">
      <c r="A139" t="s">
        <v>887</v>
      </c>
      <c r="B139" t="s">
        <v>888</v>
      </c>
      <c r="C139" t="s">
        <v>889</v>
      </c>
      <c r="D139" t="s">
        <v>152</v>
      </c>
      <c r="F139" s="3" t="str">
        <f t="shared" si="4"/>
        <v/>
      </c>
      <c r="G139" t="e">
        <f t="shared" ca="1" si="5"/>
        <v>#VALUE!</v>
      </c>
    </row>
    <row r="140" spans="1:7" ht="15.75" customHeight="1">
      <c r="A140" t="s">
        <v>890</v>
      </c>
      <c r="B140" t="s">
        <v>891</v>
      </c>
      <c r="C140" t="s">
        <v>889</v>
      </c>
      <c r="D140" t="s">
        <v>152</v>
      </c>
      <c r="F140" s="3" t="str">
        <f t="shared" si="4"/>
        <v/>
      </c>
      <c r="G140" t="e">
        <f t="shared" ca="1" si="5"/>
        <v>#VALUE!</v>
      </c>
    </row>
    <row r="141" spans="1:7" ht="15.75" customHeight="1">
      <c r="A141" t="s">
        <v>892</v>
      </c>
      <c r="B141" t="s">
        <v>893</v>
      </c>
      <c r="C141" t="s">
        <v>894</v>
      </c>
      <c r="D141" t="s">
        <v>152</v>
      </c>
      <c r="F141" s="3" t="str">
        <f t="shared" si="4"/>
        <v/>
      </c>
      <c r="G141" t="e">
        <f t="shared" ca="1" si="5"/>
        <v>#VALUE!</v>
      </c>
    </row>
    <row r="142" spans="1:7" ht="15.75" customHeight="1">
      <c r="A142" t="s">
        <v>895</v>
      </c>
      <c r="B142" t="s">
        <v>896</v>
      </c>
      <c r="C142" t="s">
        <v>851</v>
      </c>
      <c r="D142" t="s">
        <v>152</v>
      </c>
      <c r="F142" s="3" t="str">
        <f t="shared" si="4"/>
        <v/>
      </c>
      <c r="G142" t="e">
        <f t="shared" ca="1" si="5"/>
        <v>#VALUE!</v>
      </c>
    </row>
    <row r="143" spans="1:7" ht="15.75" customHeight="1">
      <c r="A143" t="s">
        <v>897</v>
      </c>
      <c r="B143" t="s">
        <v>898</v>
      </c>
      <c r="C143" t="s">
        <v>899</v>
      </c>
      <c r="D143" t="s">
        <v>152</v>
      </c>
      <c r="F143" s="3" t="str">
        <f t="shared" si="4"/>
        <v/>
      </c>
      <c r="G143" t="e">
        <f t="shared" ca="1" si="5"/>
        <v>#VALUE!</v>
      </c>
    </row>
    <row r="144" spans="1:7" ht="15.75" customHeight="1">
      <c r="A144" t="s">
        <v>900</v>
      </c>
      <c r="B144" t="s">
        <v>901</v>
      </c>
      <c r="C144" t="s">
        <v>902</v>
      </c>
      <c r="D144" t="s">
        <v>152</v>
      </c>
      <c r="F144" s="3" t="str">
        <f t="shared" si="4"/>
        <v/>
      </c>
      <c r="G144" t="e">
        <f t="shared" ca="1" si="5"/>
        <v>#VALUE!</v>
      </c>
    </row>
    <row r="145" spans="1:7" ht="15.75" customHeight="1">
      <c r="A145" t="s">
        <v>903</v>
      </c>
      <c r="B145" t="s">
        <v>904</v>
      </c>
      <c r="C145" t="s">
        <v>902</v>
      </c>
      <c r="D145" t="s">
        <v>152</v>
      </c>
      <c r="F145" s="3" t="str">
        <f t="shared" si="4"/>
        <v/>
      </c>
      <c r="G145" t="e">
        <f t="shared" ca="1" si="5"/>
        <v>#VALUE!</v>
      </c>
    </row>
    <row r="146" spans="1:7" ht="15.75" customHeight="1">
      <c r="A146" t="s">
        <v>905</v>
      </c>
      <c r="B146" t="s">
        <v>906</v>
      </c>
      <c r="C146" t="s">
        <v>907</v>
      </c>
      <c r="D146" t="s">
        <v>152</v>
      </c>
      <c r="F146" s="3" t="str">
        <f t="shared" si="4"/>
        <v/>
      </c>
      <c r="G146" t="e">
        <f t="shared" ca="1" si="5"/>
        <v>#VALUE!</v>
      </c>
    </row>
    <row r="147" spans="1:7" ht="15.75" customHeight="1">
      <c r="A147" t="s">
        <v>908</v>
      </c>
      <c r="B147" t="s">
        <v>909</v>
      </c>
      <c r="C147" t="s">
        <v>910</v>
      </c>
      <c r="D147" t="s">
        <v>152</v>
      </c>
      <c r="F147" s="3" t="str">
        <f t="shared" si="4"/>
        <v/>
      </c>
      <c r="G147" t="e">
        <f t="shared" ca="1" si="5"/>
        <v>#VALUE!</v>
      </c>
    </row>
    <row r="148" spans="1:7" ht="15.75" customHeight="1">
      <c r="A148" t="s">
        <v>911</v>
      </c>
      <c r="B148" t="s">
        <v>912</v>
      </c>
      <c r="C148" t="s">
        <v>913</v>
      </c>
      <c r="D148" t="s">
        <v>152</v>
      </c>
      <c r="F148" s="3" t="str">
        <f t="shared" si="4"/>
        <v/>
      </c>
      <c r="G148" t="e">
        <f t="shared" ca="1" si="5"/>
        <v>#VALUE!</v>
      </c>
    </row>
    <row r="149" spans="1:7" ht="15.75" customHeight="1">
      <c r="A149" t="s">
        <v>914</v>
      </c>
      <c r="B149" t="s">
        <v>915</v>
      </c>
      <c r="C149" t="s">
        <v>916</v>
      </c>
      <c r="D149" t="s">
        <v>152</v>
      </c>
      <c r="F149" s="3" t="str">
        <f t="shared" si="4"/>
        <v/>
      </c>
      <c r="G149" t="e">
        <f t="shared" ca="1" si="5"/>
        <v>#VALUE!</v>
      </c>
    </row>
    <row r="150" spans="1:7" ht="15.75" customHeight="1">
      <c r="A150" t="s">
        <v>917</v>
      </c>
      <c r="B150" t="s">
        <v>918</v>
      </c>
      <c r="C150" t="s">
        <v>919</v>
      </c>
      <c r="D150" t="s">
        <v>152</v>
      </c>
      <c r="F150" s="3" t="str">
        <f t="shared" si="4"/>
        <v/>
      </c>
      <c r="G150" t="e">
        <f t="shared" ca="1" si="5"/>
        <v>#VALUE!</v>
      </c>
    </row>
    <row r="151" spans="1:7" ht="15.75" customHeight="1">
      <c r="A151" t="s">
        <v>175</v>
      </c>
      <c r="B151" t="s">
        <v>176</v>
      </c>
      <c r="C151" t="s">
        <v>177</v>
      </c>
      <c r="D151" t="s">
        <v>152</v>
      </c>
      <c r="F151" s="3" t="str">
        <f t="shared" si="4"/>
        <v/>
      </c>
      <c r="G151" t="e">
        <f t="shared" ca="1" si="5"/>
        <v>#VALUE!</v>
      </c>
    </row>
    <row r="152" spans="1:7" ht="15.75" customHeight="1">
      <c r="A152" t="s">
        <v>178</v>
      </c>
      <c r="B152" t="s">
        <v>179</v>
      </c>
      <c r="C152" t="s">
        <v>177</v>
      </c>
      <c r="D152" t="s">
        <v>152</v>
      </c>
      <c r="F152" s="3" t="str">
        <f t="shared" si="4"/>
        <v/>
      </c>
      <c r="G152" t="e">
        <f t="shared" ca="1" si="5"/>
        <v>#VALUE!</v>
      </c>
    </row>
    <row r="153" spans="1:7" ht="15.75" customHeight="1">
      <c r="A153" t="s">
        <v>180</v>
      </c>
      <c r="B153" t="s">
        <v>181</v>
      </c>
      <c r="C153" t="s">
        <v>39</v>
      </c>
      <c r="D153" t="s">
        <v>152</v>
      </c>
      <c r="F153" s="3" t="str">
        <f t="shared" si="4"/>
        <v/>
      </c>
      <c r="G153" t="e">
        <f t="shared" ca="1" si="5"/>
        <v>#VALUE!</v>
      </c>
    </row>
    <row r="154" spans="1:7" ht="15.75" customHeight="1">
      <c r="A154" t="s">
        <v>182</v>
      </c>
      <c r="B154" t="s">
        <v>183</v>
      </c>
      <c r="C154" t="s">
        <v>39</v>
      </c>
      <c r="D154" t="s">
        <v>152</v>
      </c>
      <c r="F154" s="3" t="str">
        <f t="shared" si="4"/>
        <v/>
      </c>
      <c r="G154" t="e">
        <f t="shared" ca="1" si="5"/>
        <v>#VALUE!</v>
      </c>
    </row>
    <row r="155" spans="1:7" ht="15.75" customHeight="1">
      <c r="A155" t="s">
        <v>184</v>
      </c>
      <c r="B155" t="s">
        <v>185</v>
      </c>
      <c r="C155" t="s">
        <v>39</v>
      </c>
      <c r="D155" t="s">
        <v>152</v>
      </c>
      <c r="F155" s="3" t="str">
        <f t="shared" si="4"/>
        <v/>
      </c>
      <c r="G155" t="e">
        <f t="shared" ca="1" si="5"/>
        <v>#VALUE!</v>
      </c>
    </row>
    <row r="156" spans="1:7" ht="15.75" customHeight="1">
      <c r="A156" t="s">
        <v>186</v>
      </c>
      <c r="B156" t="s">
        <v>187</v>
      </c>
      <c r="C156" t="s">
        <v>39</v>
      </c>
      <c r="D156" t="s">
        <v>152</v>
      </c>
      <c r="F156" s="3" t="str">
        <f t="shared" si="4"/>
        <v/>
      </c>
      <c r="G156" t="e">
        <f t="shared" ca="1" si="5"/>
        <v>#VALUE!</v>
      </c>
    </row>
    <row r="157" spans="1:7" ht="15.75" customHeight="1">
      <c r="A157" t="s">
        <v>188</v>
      </c>
      <c r="B157" t="s">
        <v>189</v>
      </c>
      <c r="C157" t="s">
        <v>39</v>
      </c>
      <c r="D157" t="s">
        <v>152</v>
      </c>
      <c r="F157" s="3" t="str">
        <f t="shared" si="4"/>
        <v/>
      </c>
      <c r="G157" t="e">
        <f t="shared" ca="1" si="5"/>
        <v>#VALUE!</v>
      </c>
    </row>
    <row r="158" spans="1:7" ht="15.75" customHeight="1">
      <c r="A158" t="s">
        <v>190</v>
      </c>
      <c r="B158" t="s">
        <v>191</v>
      </c>
      <c r="C158" t="s">
        <v>39</v>
      </c>
      <c r="D158" t="s">
        <v>152</v>
      </c>
      <c r="F158" s="3" t="str">
        <f t="shared" si="4"/>
        <v/>
      </c>
      <c r="G158" t="e">
        <f t="shared" ca="1" si="5"/>
        <v>#VALUE!</v>
      </c>
    </row>
    <row r="159" spans="1:7" ht="15.75" customHeight="1">
      <c r="A159" t="s">
        <v>192</v>
      </c>
      <c r="B159" t="s">
        <v>193</v>
      </c>
      <c r="C159" t="s">
        <v>39</v>
      </c>
      <c r="D159" t="s">
        <v>152</v>
      </c>
      <c r="F159" s="3" t="str">
        <f t="shared" si="4"/>
        <v/>
      </c>
      <c r="G159" t="e">
        <f t="shared" ca="1" si="5"/>
        <v>#VALUE!</v>
      </c>
    </row>
    <row r="160" spans="1:7" ht="15.75" customHeight="1">
      <c r="A160" t="s">
        <v>194</v>
      </c>
      <c r="B160" t="s">
        <v>195</v>
      </c>
      <c r="C160" t="s">
        <v>39</v>
      </c>
      <c r="D160" t="s">
        <v>152</v>
      </c>
      <c r="F160" s="3" t="str">
        <f t="shared" si="4"/>
        <v/>
      </c>
      <c r="G160" t="e">
        <f t="shared" ca="1" si="5"/>
        <v>#VALUE!</v>
      </c>
    </row>
    <row r="161" spans="1:7" ht="15.75" customHeight="1">
      <c r="A161" t="s">
        <v>196</v>
      </c>
      <c r="B161" t="s">
        <v>197</v>
      </c>
      <c r="C161" t="s">
        <v>39</v>
      </c>
      <c r="D161" t="s">
        <v>152</v>
      </c>
      <c r="F161" s="3" t="str">
        <f t="shared" si="4"/>
        <v/>
      </c>
      <c r="G161" t="e">
        <f t="shared" ca="1" si="5"/>
        <v>#VALUE!</v>
      </c>
    </row>
    <row r="162" spans="1:7" ht="15.75" customHeight="1">
      <c r="A162" t="s">
        <v>198</v>
      </c>
      <c r="B162" t="s">
        <v>199</v>
      </c>
      <c r="C162" t="s">
        <v>39</v>
      </c>
      <c r="D162" t="s">
        <v>152</v>
      </c>
      <c r="F162" s="3" t="str">
        <f t="shared" si="4"/>
        <v/>
      </c>
      <c r="G162" t="e">
        <f t="shared" ca="1" si="5"/>
        <v>#VALUE!</v>
      </c>
    </row>
    <row r="163" spans="1:7" ht="15.75" customHeight="1">
      <c r="A163" t="s">
        <v>200</v>
      </c>
      <c r="B163" t="s">
        <v>201</v>
      </c>
      <c r="C163" t="s">
        <v>39</v>
      </c>
      <c r="D163" t="s">
        <v>152</v>
      </c>
      <c r="F163" s="3" t="str">
        <f t="shared" si="4"/>
        <v/>
      </c>
      <c r="G163" t="e">
        <f t="shared" ca="1" si="5"/>
        <v>#VALUE!</v>
      </c>
    </row>
    <row r="164" spans="1:7" ht="15.75" customHeight="1">
      <c r="A164" t="s">
        <v>202</v>
      </c>
      <c r="B164" t="s">
        <v>203</v>
      </c>
      <c r="C164" t="s">
        <v>39</v>
      </c>
      <c r="D164" t="s">
        <v>152</v>
      </c>
      <c r="F164" s="3" t="str">
        <f t="shared" si="4"/>
        <v/>
      </c>
      <c r="G164" t="e">
        <f t="shared" ca="1" si="5"/>
        <v>#VALUE!</v>
      </c>
    </row>
    <row r="165" spans="1:7" ht="15.75" customHeight="1">
      <c r="A165" t="s">
        <v>204</v>
      </c>
      <c r="B165" t="s">
        <v>205</v>
      </c>
      <c r="C165" t="s">
        <v>39</v>
      </c>
      <c r="D165" t="s">
        <v>152</v>
      </c>
      <c r="F165" s="3" t="str">
        <f t="shared" si="4"/>
        <v/>
      </c>
      <c r="G165" t="e">
        <f t="shared" ca="1" si="5"/>
        <v>#VALUE!</v>
      </c>
    </row>
    <row r="166" spans="1:7" ht="15.75" customHeight="1">
      <c r="A166" t="s">
        <v>206</v>
      </c>
      <c r="B166" t="s">
        <v>207</v>
      </c>
      <c r="C166" t="s">
        <v>39</v>
      </c>
      <c r="D166" t="s">
        <v>152</v>
      </c>
      <c r="F166" s="3" t="str">
        <f t="shared" si="4"/>
        <v/>
      </c>
      <c r="G166" t="e">
        <f t="shared" ca="1" si="5"/>
        <v>#VALUE!</v>
      </c>
    </row>
    <row r="167" spans="1:7" ht="15.75" customHeight="1">
      <c r="A167" t="s">
        <v>208</v>
      </c>
      <c r="B167" t="s">
        <v>209</v>
      </c>
      <c r="C167" t="s">
        <v>39</v>
      </c>
      <c r="D167" t="s">
        <v>152</v>
      </c>
      <c r="F167" s="3" t="str">
        <f t="shared" si="4"/>
        <v/>
      </c>
      <c r="G167" t="e">
        <f t="shared" ca="1" si="5"/>
        <v>#VALUE!</v>
      </c>
    </row>
    <row r="168" spans="1:7" ht="15.75" customHeight="1">
      <c r="A168" t="s">
        <v>210</v>
      </c>
      <c r="B168" t="s">
        <v>211</v>
      </c>
      <c r="C168" t="s">
        <v>39</v>
      </c>
      <c r="D168" t="s">
        <v>152</v>
      </c>
      <c r="F168" s="3" t="str">
        <f t="shared" si="4"/>
        <v/>
      </c>
      <c r="G168" t="e">
        <f t="shared" ca="1" si="5"/>
        <v>#VALUE!</v>
      </c>
    </row>
    <row r="169" spans="1:7" ht="15.75" customHeight="1">
      <c r="A169" t="s">
        <v>212</v>
      </c>
      <c r="B169" t="s">
        <v>213</v>
      </c>
      <c r="C169" t="s">
        <v>39</v>
      </c>
      <c r="D169" t="s">
        <v>152</v>
      </c>
      <c r="F169" s="3" t="str">
        <f t="shared" si="4"/>
        <v/>
      </c>
      <c r="G169" t="e">
        <f t="shared" ca="1" si="5"/>
        <v>#VALUE!</v>
      </c>
    </row>
    <row r="170" spans="1:7" ht="15.75" customHeight="1">
      <c r="A170" t="s">
        <v>214</v>
      </c>
      <c r="B170" t="s">
        <v>215</v>
      </c>
      <c r="C170" t="s">
        <v>39</v>
      </c>
      <c r="D170" t="s">
        <v>152</v>
      </c>
      <c r="F170" s="3" t="str">
        <f t="shared" si="4"/>
        <v/>
      </c>
      <c r="G170" t="e">
        <f t="shared" ca="1" si="5"/>
        <v>#VALUE!</v>
      </c>
    </row>
    <row r="171" spans="1:7" ht="15.75" customHeight="1">
      <c r="A171" t="s">
        <v>216</v>
      </c>
      <c r="B171" t="s">
        <v>217</v>
      </c>
      <c r="C171" t="s">
        <v>39</v>
      </c>
      <c r="D171" t="s">
        <v>152</v>
      </c>
      <c r="F171" s="3" t="str">
        <f t="shared" si="4"/>
        <v/>
      </c>
      <c r="G171" t="e">
        <f t="shared" ca="1" si="5"/>
        <v>#VALUE!</v>
      </c>
    </row>
    <row r="172" spans="1:7" ht="15.75" customHeight="1">
      <c r="A172" t="s">
        <v>218</v>
      </c>
      <c r="B172" t="s">
        <v>219</v>
      </c>
      <c r="C172" t="s">
        <v>39</v>
      </c>
      <c r="D172" t="s">
        <v>152</v>
      </c>
      <c r="F172" s="3" t="str">
        <f t="shared" si="4"/>
        <v/>
      </c>
      <c r="G172" t="e">
        <f t="shared" ca="1" si="5"/>
        <v>#VALUE!</v>
      </c>
    </row>
    <row r="173" spans="1:7" ht="15.75" customHeight="1">
      <c r="A173" t="s">
        <v>220</v>
      </c>
      <c r="B173" t="s">
        <v>221</v>
      </c>
      <c r="C173" t="s">
        <v>39</v>
      </c>
      <c r="D173" t="s">
        <v>152</v>
      </c>
      <c r="F173" s="3" t="str">
        <f t="shared" si="4"/>
        <v/>
      </c>
      <c r="G173" t="e">
        <f t="shared" ca="1" si="5"/>
        <v>#VALUE!</v>
      </c>
    </row>
    <row r="174" spans="1:7" ht="15.75" customHeight="1">
      <c r="A174" t="s">
        <v>222</v>
      </c>
      <c r="B174" t="s">
        <v>223</v>
      </c>
      <c r="C174" t="s">
        <v>39</v>
      </c>
      <c r="D174" t="s">
        <v>152</v>
      </c>
      <c r="F174" s="3" t="str">
        <f t="shared" si="4"/>
        <v/>
      </c>
      <c r="G174" t="e">
        <f t="shared" ca="1" si="5"/>
        <v>#VALUE!</v>
      </c>
    </row>
    <row r="175" spans="1:7" ht="15.75" customHeight="1">
      <c r="A175" t="s">
        <v>224</v>
      </c>
      <c r="B175" t="s">
        <v>225</v>
      </c>
      <c r="C175" t="s">
        <v>39</v>
      </c>
      <c r="D175" t="s">
        <v>152</v>
      </c>
      <c r="F175" s="3" t="str">
        <f t="shared" si="4"/>
        <v/>
      </c>
      <c r="G175" t="e">
        <f t="shared" ca="1" si="5"/>
        <v>#VALUE!</v>
      </c>
    </row>
    <row r="176" spans="1:7" ht="15.75" customHeight="1">
      <c r="A176" t="s">
        <v>226</v>
      </c>
      <c r="B176" t="s">
        <v>227</v>
      </c>
      <c r="C176" t="s">
        <v>139</v>
      </c>
      <c r="D176" t="s">
        <v>152</v>
      </c>
      <c r="F176" s="3" t="str">
        <f t="shared" si="4"/>
        <v/>
      </c>
      <c r="G176" t="e">
        <f t="shared" ca="1" si="5"/>
        <v>#VALUE!</v>
      </c>
    </row>
    <row r="177" spans="1:7" ht="15.75" customHeight="1">
      <c r="A177" t="s">
        <v>228</v>
      </c>
      <c r="B177" t="s">
        <v>229</v>
      </c>
      <c r="C177" t="s">
        <v>139</v>
      </c>
      <c r="D177" t="s">
        <v>152</v>
      </c>
      <c r="F177" s="3" t="str">
        <f t="shared" si="4"/>
        <v/>
      </c>
      <c r="G177" t="e">
        <f t="shared" ca="1" si="5"/>
        <v>#VALUE!</v>
      </c>
    </row>
    <row r="178" spans="1:7" ht="15.75" customHeight="1">
      <c r="A178" t="s">
        <v>230</v>
      </c>
      <c r="B178" t="s">
        <v>231</v>
      </c>
      <c r="C178" t="s">
        <v>139</v>
      </c>
      <c r="D178" t="s">
        <v>152</v>
      </c>
      <c r="F178" s="3" t="str">
        <f t="shared" si="4"/>
        <v/>
      </c>
      <c r="G178" t="e">
        <f t="shared" ca="1" si="5"/>
        <v>#VALUE!</v>
      </c>
    </row>
    <row r="179" spans="1:7" ht="15.75" customHeight="1">
      <c r="A179" t="s">
        <v>232</v>
      </c>
      <c r="B179" t="s">
        <v>233</v>
      </c>
      <c r="C179" t="s">
        <v>139</v>
      </c>
      <c r="D179" t="s">
        <v>152</v>
      </c>
      <c r="F179" s="3" t="str">
        <f t="shared" si="4"/>
        <v/>
      </c>
      <c r="G179" t="e">
        <f t="shared" ca="1" si="5"/>
        <v>#VALUE!</v>
      </c>
    </row>
    <row r="180" spans="1:7" ht="15.75" customHeight="1">
      <c r="A180" t="s">
        <v>234</v>
      </c>
      <c r="B180" t="s">
        <v>235</v>
      </c>
      <c r="C180" t="s">
        <v>64</v>
      </c>
      <c r="D180" t="s">
        <v>152</v>
      </c>
      <c r="F180" s="3" t="str">
        <f t="shared" si="4"/>
        <v/>
      </c>
      <c r="G180" t="e">
        <f t="shared" ca="1" si="5"/>
        <v>#VALUE!</v>
      </c>
    </row>
    <row r="181" spans="1:7" ht="15.75" customHeight="1">
      <c r="A181" t="s">
        <v>236</v>
      </c>
      <c r="B181" t="s">
        <v>237</v>
      </c>
      <c r="C181" t="s">
        <v>64</v>
      </c>
      <c r="D181" t="s">
        <v>152</v>
      </c>
      <c r="F181" s="3" t="str">
        <f t="shared" si="4"/>
        <v/>
      </c>
      <c r="G181" t="e">
        <f t="shared" ca="1" si="5"/>
        <v>#VALUE!</v>
      </c>
    </row>
    <row r="182" spans="1:7" ht="15.75" customHeight="1">
      <c r="A182" t="s">
        <v>238</v>
      </c>
      <c r="B182" t="s">
        <v>239</v>
      </c>
      <c r="C182" t="s">
        <v>240</v>
      </c>
      <c r="D182" t="s">
        <v>152</v>
      </c>
      <c r="F182" s="3" t="str">
        <f t="shared" si="4"/>
        <v/>
      </c>
      <c r="G182" t="e">
        <f t="shared" ca="1" si="5"/>
        <v>#VALUE!</v>
      </c>
    </row>
    <row r="183" spans="1:7" ht="15.75" customHeight="1">
      <c r="A183" t="s">
        <v>241</v>
      </c>
      <c r="B183" t="s">
        <v>242</v>
      </c>
      <c r="C183" t="s">
        <v>11</v>
      </c>
      <c r="D183" t="s">
        <v>152</v>
      </c>
      <c r="F183" s="3" t="str">
        <f t="shared" si="4"/>
        <v/>
      </c>
      <c r="G183" t="e">
        <f t="shared" ca="1" si="5"/>
        <v>#VALUE!</v>
      </c>
    </row>
    <row r="184" spans="1:7" ht="15.75" customHeight="1">
      <c r="A184" t="s">
        <v>243</v>
      </c>
      <c r="B184" t="s">
        <v>244</v>
      </c>
      <c r="C184" t="s">
        <v>11</v>
      </c>
      <c r="D184" t="s">
        <v>152</v>
      </c>
      <c r="F184" s="3" t="str">
        <f t="shared" si="4"/>
        <v/>
      </c>
      <c r="G184" t="e">
        <f t="shared" ca="1" si="5"/>
        <v>#VALUE!</v>
      </c>
    </row>
    <row r="185" spans="1:7" ht="15.75" customHeight="1">
      <c r="A185" t="s">
        <v>245</v>
      </c>
      <c r="B185" t="s">
        <v>246</v>
      </c>
      <c r="C185" t="s">
        <v>11</v>
      </c>
      <c r="D185" t="s">
        <v>152</v>
      </c>
      <c r="F185" s="3" t="str">
        <f t="shared" si="4"/>
        <v/>
      </c>
      <c r="G185" t="e">
        <f t="shared" ca="1" si="5"/>
        <v>#VALUE!</v>
      </c>
    </row>
    <row r="186" spans="1:7" ht="15.75" customHeight="1">
      <c r="A186" t="s">
        <v>247</v>
      </c>
      <c r="B186" t="s">
        <v>248</v>
      </c>
      <c r="C186" t="s">
        <v>11</v>
      </c>
      <c r="D186" t="s">
        <v>152</v>
      </c>
      <c r="F186" s="3" t="str">
        <f t="shared" si="4"/>
        <v/>
      </c>
      <c r="G186" t="e">
        <f t="shared" ca="1" si="5"/>
        <v>#VALUE!</v>
      </c>
    </row>
    <row r="187" spans="1:7" ht="15.75" customHeight="1">
      <c r="A187" t="s">
        <v>249</v>
      </c>
      <c r="B187" t="s">
        <v>250</v>
      </c>
      <c r="C187" t="s">
        <v>11</v>
      </c>
      <c r="D187" t="s">
        <v>152</v>
      </c>
      <c r="F187" s="3" t="str">
        <f t="shared" si="4"/>
        <v/>
      </c>
      <c r="G187" t="e">
        <f t="shared" ca="1" si="5"/>
        <v>#VALUE!</v>
      </c>
    </row>
    <row r="188" spans="1:7" ht="15.75" customHeight="1">
      <c r="A188" t="s">
        <v>251</v>
      </c>
      <c r="B188" t="s">
        <v>252</v>
      </c>
      <c r="C188" t="s">
        <v>11</v>
      </c>
      <c r="D188" t="s">
        <v>152</v>
      </c>
      <c r="F188" s="3" t="str">
        <f t="shared" si="4"/>
        <v/>
      </c>
      <c r="G188" t="e">
        <f t="shared" ca="1" si="5"/>
        <v>#VALUE!</v>
      </c>
    </row>
    <row r="189" spans="1:7" ht="15.75" customHeight="1">
      <c r="A189" t="s">
        <v>253</v>
      </c>
      <c r="B189" t="s">
        <v>254</v>
      </c>
      <c r="C189" t="s">
        <v>82</v>
      </c>
      <c r="D189" t="s">
        <v>152</v>
      </c>
      <c r="F189" s="3" t="str">
        <f t="shared" si="4"/>
        <v/>
      </c>
      <c r="G189" t="e">
        <f t="shared" ca="1" si="5"/>
        <v>#VALUE!</v>
      </c>
    </row>
    <row r="190" spans="1:7" ht="15.75" customHeight="1">
      <c r="A190" t="s">
        <v>255</v>
      </c>
      <c r="B190" t="s">
        <v>256</v>
      </c>
      <c r="C190" t="s">
        <v>82</v>
      </c>
      <c r="D190" t="s">
        <v>152</v>
      </c>
      <c r="F190" s="3" t="str">
        <f t="shared" si="4"/>
        <v/>
      </c>
      <c r="G190" t="e">
        <f t="shared" ca="1" si="5"/>
        <v>#VALUE!</v>
      </c>
    </row>
    <row r="191" spans="1:7" ht="15.75" customHeight="1">
      <c r="A191" t="s">
        <v>257</v>
      </c>
      <c r="B191" t="s">
        <v>258</v>
      </c>
      <c r="C191" t="s">
        <v>171</v>
      </c>
      <c r="D191" t="s">
        <v>152</v>
      </c>
      <c r="F191" s="3" t="str">
        <f t="shared" si="4"/>
        <v/>
      </c>
      <c r="G191" t="e">
        <f t="shared" ca="1" si="5"/>
        <v>#VALUE!</v>
      </c>
    </row>
    <row r="192" spans="1:7" ht="15.75" customHeight="1">
      <c r="A192" t="s">
        <v>259</v>
      </c>
      <c r="B192" t="s">
        <v>260</v>
      </c>
      <c r="C192" t="s">
        <v>261</v>
      </c>
      <c r="D192" t="s">
        <v>152</v>
      </c>
      <c r="F192" s="3" t="str">
        <f t="shared" si="4"/>
        <v/>
      </c>
      <c r="G192" t="e">
        <f t="shared" ca="1" si="5"/>
        <v>#VALUE!</v>
      </c>
    </row>
    <row r="193" spans="1:7" ht="15.75" customHeight="1">
      <c r="A193" t="s">
        <v>262</v>
      </c>
      <c r="B193" t="s">
        <v>263</v>
      </c>
      <c r="C193" t="s">
        <v>67</v>
      </c>
      <c r="D193" t="s">
        <v>152</v>
      </c>
      <c r="F193" s="3" t="str">
        <f t="shared" si="4"/>
        <v/>
      </c>
      <c r="G193" t="e">
        <f t="shared" ca="1" si="5"/>
        <v>#VALUE!</v>
      </c>
    </row>
    <row r="194" spans="1:7" ht="15.75" customHeight="1">
      <c r="A194" t="s">
        <v>264</v>
      </c>
      <c r="B194" t="s">
        <v>265</v>
      </c>
      <c r="C194" t="s">
        <v>144</v>
      </c>
      <c r="D194" t="s">
        <v>152</v>
      </c>
      <c r="F194" s="3" t="str">
        <f t="shared" si="4"/>
        <v/>
      </c>
      <c r="G194" t="e">
        <f t="shared" ca="1" si="5"/>
        <v>#VALUE!</v>
      </c>
    </row>
    <row r="195" spans="1:7" ht="15.75" customHeight="1">
      <c r="A195" t="s">
        <v>266</v>
      </c>
      <c r="B195" t="s">
        <v>267</v>
      </c>
      <c r="C195" t="s">
        <v>268</v>
      </c>
      <c r="D195" t="s">
        <v>152</v>
      </c>
      <c r="F195" s="3" t="str">
        <f t="shared" si="4"/>
        <v/>
      </c>
      <c r="G195" t="e">
        <f t="shared" ca="1" si="5"/>
        <v>#VALUE!</v>
      </c>
    </row>
    <row r="196" spans="1:7" ht="15.75" customHeight="1">
      <c r="A196" t="s">
        <v>269</v>
      </c>
      <c r="B196" t="s">
        <v>270</v>
      </c>
      <c r="C196" t="s">
        <v>268</v>
      </c>
      <c r="D196" t="s">
        <v>152</v>
      </c>
      <c r="F196" s="3" t="str">
        <f t="shared" ref="F196:F259" si="6">IF(ISBLANK(E196), "", EDATE(E196, 12))</f>
        <v/>
      </c>
      <c r="G196" t="e">
        <f t="shared" ref="G196:G259" ca="1" si="7">IF(ISBLANK(F196), "", IF(TODAY()&gt;=EDATE(F196, -1), "Due", "Valid"))</f>
        <v>#VALUE!</v>
      </c>
    </row>
    <row r="197" spans="1:7" ht="15.75" customHeight="1">
      <c r="A197" t="s">
        <v>271</v>
      </c>
      <c r="B197" t="s">
        <v>272</v>
      </c>
      <c r="C197" t="s">
        <v>268</v>
      </c>
      <c r="D197" t="s">
        <v>152</v>
      </c>
      <c r="F197" s="3" t="str">
        <f t="shared" si="6"/>
        <v/>
      </c>
      <c r="G197" t="e">
        <f t="shared" ca="1" si="7"/>
        <v>#VALUE!</v>
      </c>
    </row>
    <row r="198" spans="1:7" ht="15.75" customHeight="1">
      <c r="A198" t="s">
        <v>273</v>
      </c>
      <c r="B198" t="s">
        <v>274</v>
      </c>
      <c r="C198" t="s">
        <v>79</v>
      </c>
      <c r="D198" t="s">
        <v>152</v>
      </c>
      <c r="F198" s="3" t="str">
        <f t="shared" si="6"/>
        <v/>
      </c>
      <c r="G198" t="e">
        <f t="shared" ca="1" si="7"/>
        <v>#VALUE!</v>
      </c>
    </row>
    <row r="199" spans="1:7" ht="15.75" customHeight="1">
      <c r="A199" t="s">
        <v>275</v>
      </c>
      <c r="B199" t="s">
        <v>276</v>
      </c>
      <c r="C199" t="s">
        <v>79</v>
      </c>
      <c r="D199" t="s">
        <v>152</v>
      </c>
      <c r="F199" s="3" t="str">
        <f t="shared" si="6"/>
        <v/>
      </c>
      <c r="G199" t="e">
        <f t="shared" ca="1" si="7"/>
        <v>#VALUE!</v>
      </c>
    </row>
    <row r="200" spans="1:7" ht="15.75" customHeight="1">
      <c r="A200" t="s">
        <v>277</v>
      </c>
      <c r="B200" t="s">
        <v>278</v>
      </c>
      <c r="C200" t="s">
        <v>79</v>
      </c>
      <c r="D200" t="s">
        <v>152</v>
      </c>
      <c r="F200" s="3" t="str">
        <f t="shared" si="6"/>
        <v/>
      </c>
      <c r="G200" t="e">
        <f t="shared" ca="1" si="7"/>
        <v>#VALUE!</v>
      </c>
    </row>
    <row r="201" spans="1:7" ht="15.75" customHeight="1">
      <c r="A201" t="s">
        <v>279</v>
      </c>
      <c r="B201" t="s">
        <v>280</v>
      </c>
      <c r="C201" t="s">
        <v>79</v>
      </c>
      <c r="D201" t="s">
        <v>152</v>
      </c>
      <c r="F201" s="3" t="str">
        <f t="shared" si="6"/>
        <v/>
      </c>
      <c r="G201" t="e">
        <f t="shared" ca="1" si="7"/>
        <v>#VALUE!</v>
      </c>
    </row>
    <row r="202" spans="1:7" ht="15.75" customHeight="1">
      <c r="A202" t="s">
        <v>920</v>
      </c>
      <c r="B202" t="s">
        <v>921</v>
      </c>
      <c r="C202" t="s">
        <v>922</v>
      </c>
      <c r="D202" t="s">
        <v>152</v>
      </c>
      <c r="F202" s="3" t="str">
        <f t="shared" si="6"/>
        <v/>
      </c>
      <c r="G202" t="e">
        <f t="shared" ca="1" si="7"/>
        <v>#VALUE!</v>
      </c>
    </row>
    <row r="203" spans="1:7" ht="15.75" customHeight="1">
      <c r="A203" t="s">
        <v>923</v>
      </c>
      <c r="B203" t="s">
        <v>924</v>
      </c>
      <c r="C203" t="s">
        <v>889</v>
      </c>
      <c r="D203" t="s">
        <v>152</v>
      </c>
      <c r="F203" s="3" t="str">
        <f t="shared" si="6"/>
        <v/>
      </c>
      <c r="G203" t="e">
        <f t="shared" ca="1" si="7"/>
        <v>#VALUE!</v>
      </c>
    </row>
    <row r="204" spans="1:7" ht="15.75" customHeight="1">
      <c r="A204" t="s">
        <v>925</v>
      </c>
      <c r="B204" t="s">
        <v>926</v>
      </c>
      <c r="C204" t="s">
        <v>927</v>
      </c>
      <c r="D204" t="s">
        <v>152</v>
      </c>
      <c r="F204" s="3" t="str">
        <f t="shared" si="6"/>
        <v/>
      </c>
      <c r="G204" t="e">
        <f t="shared" ca="1" si="7"/>
        <v>#VALUE!</v>
      </c>
    </row>
    <row r="205" spans="1:7" ht="15.75" customHeight="1">
      <c r="A205" t="s">
        <v>281</v>
      </c>
      <c r="B205" t="s">
        <v>282</v>
      </c>
      <c r="C205" t="s">
        <v>283</v>
      </c>
      <c r="D205" t="s">
        <v>152</v>
      </c>
      <c r="F205" s="3" t="str">
        <f t="shared" si="6"/>
        <v/>
      </c>
      <c r="G205" t="e">
        <f t="shared" ca="1" si="7"/>
        <v>#VALUE!</v>
      </c>
    </row>
    <row r="206" spans="1:7" ht="15.75" customHeight="1">
      <c r="A206" t="s">
        <v>284</v>
      </c>
      <c r="B206" t="s">
        <v>285</v>
      </c>
      <c r="C206" t="s">
        <v>39</v>
      </c>
      <c r="D206" t="s">
        <v>152</v>
      </c>
      <c r="F206" s="3" t="str">
        <f t="shared" si="6"/>
        <v/>
      </c>
      <c r="G206" t="e">
        <f t="shared" ca="1" si="7"/>
        <v>#VALUE!</v>
      </c>
    </row>
    <row r="207" spans="1:7" ht="15.75" customHeight="1">
      <c r="A207" t="s">
        <v>286</v>
      </c>
      <c r="B207" t="s">
        <v>287</v>
      </c>
      <c r="C207" t="s">
        <v>39</v>
      </c>
      <c r="D207" t="s">
        <v>152</v>
      </c>
      <c r="F207" s="3" t="str">
        <f t="shared" si="6"/>
        <v/>
      </c>
      <c r="G207" t="e">
        <f t="shared" ca="1" si="7"/>
        <v>#VALUE!</v>
      </c>
    </row>
    <row r="208" spans="1:7" ht="15.75" customHeight="1">
      <c r="A208" t="s">
        <v>288</v>
      </c>
      <c r="B208" t="s">
        <v>289</v>
      </c>
      <c r="C208" t="s">
        <v>39</v>
      </c>
      <c r="D208" t="s">
        <v>152</v>
      </c>
      <c r="F208" s="3" t="str">
        <f t="shared" si="6"/>
        <v/>
      </c>
      <c r="G208" t="e">
        <f t="shared" ca="1" si="7"/>
        <v>#VALUE!</v>
      </c>
    </row>
    <row r="209" spans="1:7" ht="15.75" customHeight="1">
      <c r="A209" t="s">
        <v>290</v>
      </c>
      <c r="B209" t="s">
        <v>291</v>
      </c>
      <c r="C209" t="s">
        <v>39</v>
      </c>
      <c r="D209" t="s">
        <v>152</v>
      </c>
      <c r="F209" s="3" t="str">
        <f t="shared" si="6"/>
        <v/>
      </c>
      <c r="G209" t="e">
        <f t="shared" ca="1" si="7"/>
        <v>#VALUE!</v>
      </c>
    </row>
    <row r="210" spans="1:7" ht="15.75" customHeight="1">
      <c r="A210" t="s">
        <v>292</v>
      </c>
      <c r="B210" t="s">
        <v>293</v>
      </c>
      <c r="C210" t="s">
        <v>139</v>
      </c>
      <c r="D210" t="s">
        <v>152</v>
      </c>
      <c r="F210" s="3" t="str">
        <f t="shared" si="6"/>
        <v/>
      </c>
      <c r="G210" t="e">
        <f t="shared" ca="1" si="7"/>
        <v>#VALUE!</v>
      </c>
    </row>
    <row r="211" spans="1:7" ht="15.75" customHeight="1">
      <c r="A211" t="s">
        <v>294</v>
      </c>
      <c r="B211" t="s">
        <v>295</v>
      </c>
      <c r="C211" t="s">
        <v>139</v>
      </c>
      <c r="D211" t="s">
        <v>152</v>
      </c>
      <c r="F211" s="3" t="str">
        <f t="shared" si="6"/>
        <v/>
      </c>
      <c r="G211" t="e">
        <f t="shared" ca="1" si="7"/>
        <v>#VALUE!</v>
      </c>
    </row>
    <row r="212" spans="1:7" ht="15.75" customHeight="1">
      <c r="A212" t="s">
        <v>296</v>
      </c>
      <c r="B212" t="s">
        <v>297</v>
      </c>
      <c r="C212" t="s">
        <v>64</v>
      </c>
      <c r="D212" t="s">
        <v>152</v>
      </c>
      <c r="F212" s="3" t="str">
        <f t="shared" si="6"/>
        <v/>
      </c>
      <c r="G212" t="e">
        <f t="shared" ca="1" si="7"/>
        <v>#VALUE!</v>
      </c>
    </row>
    <row r="213" spans="1:7" ht="15.75" customHeight="1">
      <c r="A213" t="s">
        <v>298</v>
      </c>
      <c r="B213" t="s">
        <v>299</v>
      </c>
      <c r="C213" t="s">
        <v>300</v>
      </c>
      <c r="D213" t="s">
        <v>152</v>
      </c>
      <c r="F213" s="3" t="str">
        <f t="shared" si="6"/>
        <v/>
      </c>
      <c r="G213" t="e">
        <f t="shared" ca="1" si="7"/>
        <v>#VALUE!</v>
      </c>
    </row>
    <row r="214" spans="1:7" ht="15.75" customHeight="1">
      <c r="A214" t="s">
        <v>301</v>
      </c>
      <c r="B214" t="s">
        <v>302</v>
      </c>
      <c r="C214" t="s">
        <v>174</v>
      </c>
      <c r="D214" t="s">
        <v>152</v>
      </c>
      <c r="F214" s="3" t="str">
        <f t="shared" si="6"/>
        <v/>
      </c>
      <c r="G214" t="e">
        <f t="shared" ca="1" si="7"/>
        <v>#VALUE!</v>
      </c>
    </row>
    <row r="215" spans="1:7" ht="15.75" customHeight="1">
      <c r="A215" t="s">
        <v>303</v>
      </c>
      <c r="B215" t="s">
        <v>304</v>
      </c>
      <c r="C215" t="s">
        <v>174</v>
      </c>
      <c r="D215" t="s">
        <v>152</v>
      </c>
      <c r="F215" s="3" t="str">
        <f t="shared" si="6"/>
        <v/>
      </c>
      <c r="G215" t="e">
        <f t="shared" ca="1" si="7"/>
        <v>#VALUE!</v>
      </c>
    </row>
    <row r="216" spans="1:7" ht="15.75" customHeight="1">
      <c r="A216" t="s">
        <v>305</v>
      </c>
      <c r="B216" t="s">
        <v>306</v>
      </c>
      <c r="C216" t="s">
        <v>174</v>
      </c>
      <c r="D216" t="s">
        <v>152</v>
      </c>
      <c r="F216" s="3" t="str">
        <f t="shared" si="6"/>
        <v/>
      </c>
      <c r="G216" t="e">
        <f t="shared" ca="1" si="7"/>
        <v>#VALUE!</v>
      </c>
    </row>
    <row r="217" spans="1:7" ht="15.75" customHeight="1">
      <c r="A217" t="s">
        <v>307</v>
      </c>
      <c r="B217" t="s">
        <v>308</v>
      </c>
      <c r="C217" t="s">
        <v>174</v>
      </c>
      <c r="D217" t="s">
        <v>152</v>
      </c>
      <c r="F217" s="3" t="str">
        <f t="shared" si="6"/>
        <v/>
      </c>
      <c r="G217" t="e">
        <f t="shared" ca="1" si="7"/>
        <v>#VALUE!</v>
      </c>
    </row>
    <row r="218" spans="1:7" ht="15.75" customHeight="1">
      <c r="A218" t="s">
        <v>309</v>
      </c>
      <c r="B218" t="s">
        <v>310</v>
      </c>
      <c r="C218" t="s">
        <v>79</v>
      </c>
      <c r="D218" t="s">
        <v>152</v>
      </c>
      <c r="F218" s="3" t="str">
        <f t="shared" si="6"/>
        <v/>
      </c>
      <c r="G218" t="e">
        <f t="shared" ca="1" si="7"/>
        <v>#VALUE!</v>
      </c>
    </row>
    <row r="219" spans="1:7" ht="15.75" customHeight="1">
      <c r="A219" t="s">
        <v>928</v>
      </c>
      <c r="B219" t="s">
        <v>929</v>
      </c>
      <c r="C219" t="s">
        <v>882</v>
      </c>
      <c r="D219" t="s">
        <v>152</v>
      </c>
      <c r="F219" s="3" t="str">
        <f t="shared" si="6"/>
        <v/>
      </c>
      <c r="G219" t="e">
        <f t="shared" ca="1" si="7"/>
        <v>#VALUE!</v>
      </c>
    </row>
    <row r="220" spans="1:7" ht="15.75" customHeight="1">
      <c r="A220" t="s">
        <v>930</v>
      </c>
      <c r="B220" t="s">
        <v>931</v>
      </c>
      <c r="C220" t="s">
        <v>919</v>
      </c>
      <c r="D220" t="s">
        <v>152</v>
      </c>
      <c r="F220" s="3" t="str">
        <f t="shared" si="6"/>
        <v/>
      </c>
      <c r="G220" t="e">
        <f t="shared" ca="1" si="7"/>
        <v>#VALUE!</v>
      </c>
    </row>
    <row r="221" spans="1:7" ht="15.75" customHeight="1">
      <c r="A221" t="s">
        <v>311</v>
      </c>
      <c r="B221" t="s">
        <v>312</v>
      </c>
      <c r="C221" t="s">
        <v>123</v>
      </c>
      <c r="D221" t="s">
        <v>152</v>
      </c>
      <c r="F221" s="3" t="str">
        <f t="shared" si="6"/>
        <v/>
      </c>
      <c r="G221" t="e">
        <f t="shared" ca="1" si="7"/>
        <v>#VALUE!</v>
      </c>
    </row>
    <row r="222" spans="1:7" ht="15.75" customHeight="1">
      <c r="A222" t="s">
        <v>313</v>
      </c>
      <c r="B222" t="s">
        <v>314</v>
      </c>
      <c r="C222" t="s">
        <v>315</v>
      </c>
      <c r="D222" t="s">
        <v>152</v>
      </c>
      <c r="F222" s="3" t="str">
        <f t="shared" si="6"/>
        <v/>
      </c>
      <c r="G222" t="e">
        <f t="shared" ca="1" si="7"/>
        <v>#VALUE!</v>
      </c>
    </row>
    <row r="223" spans="1:7" ht="15.75" customHeight="1">
      <c r="A223" t="s">
        <v>316</v>
      </c>
      <c r="B223" t="s">
        <v>317</v>
      </c>
      <c r="C223" t="s">
        <v>139</v>
      </c>
      <c r="D223" t="s">
        <v>152</v>
      </c>
      <c r="F223" s="3" t="str">
        <f t="shared" si="6"/>
        <v/>
      </c>
      <c r="G223" t="e">
        <f t="shared" ca="1" si="7"/>
        <v>#VALUE!</v>
      </c>
    </row>
    <row r="224" spans="1:7" ht="15.75" customHeight="1">
      <c r="A224" t="s">
        <v>318</v>
      </c>
      <c r="B224" t="s">
        <v>319</v>
      </c>
      <c r="C224" t="s">
        <v>139</v>
      </c>
      <c r="D224" t="s">
        <v>152</v>
      </c>
      <c r="F224" s="3" t="str">
        <f t="shared" si="6"/>
        <v/>
      </c>
      <c r="G224" t="e">
        <f t="shared" ca="1" si="7"/>
        <v>#VALUE!</v>
      </c>
    </row>
    <row r="225" spans="1:7" ht="15.75" customHeight="1">
      <c r="A225" t="s">
        <v>320</v>
      </c>
      <c r="B225" t="s">
        <v>321</v>
      </c>
      <c r="C225" t="s">
        <v>139</v>
      </c>
      <c r="D225" t="s">
        <v>152</v>
      </c>
      <c r="F225" s="3" t="str">
        <f t="shared" si="6"/>
        <v/>
      </c>
      <c r="G225" t="e">
        <f t="shared" ca="1" si="7"/>
        <v>#VALUE!</v>
      </c>
    </row>
    <row r="226" spans="1:7" ht="15.75" customHeight="1">
      <c r="A226" t="s">
        <v>322</v>
      </c>
      <c r="B226" t="s">
        <v>323</v>
      </c>
      <c r="C226" t="s">
        <v>139</v>
      </c>
      <c r="D226" t="s">
        <v>152</v>
      </c>
      <c r="F226" s="3" t="str">
        <f t="shared" si="6"/>
        <v/>
      </c>
      <c r="G226" t="e">
        <f t="shared" ca="1" si="7"/>
        <v>#VALUE!</v>
      </c>
    </row>
    <row r="227" spans="1:7" ht="15.75" customHeight="1">
      <c r="A227" t="s">
        <v>324</v>
      </c>
      <c r="B227" t="s">
        <v>325</v>
      </c>
      <c r="C227" t="s">
        <v>64</v>
      </c>
      <c r="D227" t="s">
        <v>152</v>
      </c>
      <c r="F227" s="3" t="str">
        <f t="shared" si="6"/>
        <v/>
      </c>
      <c r="G227" t="e">
        <f t="shared" ca="1" si="7"/>
        <v>#VALUE!</v>
      </c>
    </row>
    <row r="228" spans="1:7" ht="15.75" customHeight="1">
      <c r="A228" t="s">
        <v>326</v>
      </c>
      <c r="B228" t="s">
        <v>327</v>
      </c>
      <c r="C228" t="s">
        <v>174</v>
      </c>
      <c r="D228" t="s">
        <v>152</v>
      </c>
      <c r="F228" s="3" t="str">
        <f t="shared" si="6"/>
        <v/>
      </c>
      <c r="G228" t="e">
        <f t="shared" ca="1" si="7"/>
        <v>#VALUE!</v>
      </c>
    </row>
    <row r="229" spans="1:7" ht="15.75" customHeight="1">
      <c r="A229" t="s">
        <v>328</v>
      </c>
      <c r="B229" t="s">
        <v>329</v>
      </c>
      <c r="C229" t="s">
        <v>174</v>
      </c>
      <c r="D229" t="s">
        <v>152</v>
      </c>
      <c r="F229" s="3" t="str">
        <f t="shared" si="6"/>
        <v/>
      </c>
      <c r="G229" t="e">
        <f t="shared" ca="1" si="7"/>
        <v>#VALUE!</v>
      </c>
    </row>
    <row r="230" spans="1:7" ht="15.75" customHeight="1">
      <c r="A230" t="s">
        <v>330</v>
      </c>
      <c r="B230" t="s">
        <v>331</v>
      </c>
      <c r="C230" t="s">
        <v>79</v>
      </c>
      <c r="D230" t="s">
        <v>152</v>
      </c>
      <c r="F230" s="3" t="str">
        <f t="shared" si="6"/>
        <v/>
      </c>
      <c r="G230" t="e">
        <f t="shared" ca="1" si="7"/>
        <v>#VALUE!</v>
      </c>
    </row>
    <row r="231" spans="1:7" ht="15.75" customHeight="1">
      <c r="A231" t="s">
        <v>932</v>
      </c>
      <c r="B231" t="s">
        <v>933</v>
      </c>
      <c r="C231" t="s">
        <v>862</v>
      </c>
      <c r="D231" t="s">
        <v>152</v>
      </c>
      <c r="F231" s="3" t="str">
        <f t="shared" si="6"/>
        <v/>
      </c>
      <c r="G231" t="e">
        <f t="shared" ca="1" si="7"/>
        <v>#VALUE!</v>
      </c>
    </row>
    <row r="232" spans="1:7" ht="15.75" customHeight="1">
      <c r="A232" t="s">
        <v>934</v>
      </c>
      <c r="B232" t="s">
        <v>935</v>
      </c>
      <c r="C232" t="s">
        <v>882</v>
      </c>
      <c r="D232" t="s">
        <v>152</v>
      </c>
      <c r="F232" s="3" t="str">
        <f t="shared" si="6"/>
        <v/>
      </c>
      <c r="G232" t="e">
        <f t="shared" ca="1" si="7"/>
        <v>#VALUE!</v>
      </c>
    </row>
    <row r="233" spans="1:7" ht="15.75" customHeight="1">
      <c r="A233" t="s">
        <v>936</v>
      </c>
      <c r="B233" t="s">
        <v>937</v>
      </c>
      <c r="C233" t="s">
        <v>848</v>
      </c>
      <c r="D233" t="s">
        <v>152</v>
      </c>
      <c r="F233" s="3" t="str">
        <f t="shared" si="6"/>
        <v/>
      </c>
      <c r="G233" t="e">
        <f t="shared" ca="1" si="7"/>
        <v>#VALUE!</v>
      </c>
    </row>
    <row r="234" spans="1:7" ht="15.75" customHeight="1">
      <c r="A234" t="s">
        <v>938</v>
      </c>
      <c r="B234" t="s">
        <v>939</v>
      </c>
      <c r="C234" t="s">
        <v>940</v>
      </c>
      <c r="D234" t="s">
        <v>152</v>
      </c>
      <c r="F234" s="3" t="str">
        <f t="shared" si="6"/>
        <v/>
      </c>
      <c r="G234" t="e">
        <f t="shared" ca="1" si="7"/>
        <v>#VALUE!</v>
      </c>
    </row>
    <row r="235" spans="1:7" ht="15.75" customHeight="1">
      <c r="A235" t="s">
        <v>941</v>
      </c>
      <c r="B235" t="s">
        <v>942</v>
      </c>
      <c r="C235" t="s">
        <v>919</v>
      </c>
      <c r="D235" t="s">
        <v>152</v>
      </c>
      <c r="F235" s="3" t="str">
        <f t="shared" si="6"/>
        <v/>
      </c>
      <c r="G235" t="e">
        <f t="shared" ca="1" si="7"/>
        <v>#VALUE!</v>
      </c>
    </row>
    <row r="236" spans="1:7" ht="15.75" customHeight="1">
      <c r="A236" t="s">
        <v>332</v>
      </c>
      <c r="B236" t="s">
        <v>333</v>
      </c>
      <c r="C236" t="s">
        <v>334</v>
      </c>
      <c r="D236" t="s">
        <v>152</v>
      </c>
      <c r="F236" s="3" t="str">
        <f t="shared" si="6"/>
        <v/>
      </c>
      <c r="G236" t="e">
        <f t="shared" ca="1" si="7"/>
        <v>#VALUE!</v>
      </c>
    </row>
    <row r="237" spans="1:7" ht="15.75" customHeight="1">
      <c r="A237" t="s">
        <v>335</v>
      </c>
      <c r="B237" t="s">
        <v>336</v>
      </c>
      <c r="C237" t="s">
        <v>337</v>
      </c>
      <c r="D237" t="s">
        <v>152</v>
      </c>
      <c r="F237" s="3" t="str">
        <f t="shared" si="6"/>
        <v/>
      </c>
      <c r="G237" t="e">
        <f t="shared" ca="1" si="7"/>
        <v>#VALUE!</v>
      </c>
    </row>
    <row r="238" spans="1:7" ht="15.75" customHeight="1">
      <c r="A238" t="s">
        <v>338</v>
      </c>
      <c r="B238" t="s">
        <v>339</v>
      </c>
      <c r="C238" t="s">
        <v>337</v>
      </c>
      <c r="D238" t="s">
        <v>152</v>
      </c>
      <c r="F238" s="3" t="str">
        <f t="shared" si="6"/>
        <v/>
      </c>
      <c r="G238" t="e">
        <f t="shared" ca="1" si="7"/>
        <v>#VALUE!</v>
      </c>
    </row>
    <row r="239" spans="1:7" ht="15.75" customHeight="1">
      <c r="A239" t="s">
        <v>340</v>
      </c>
      <c r="B239" t="s">
        <v>341</v>
      </c>
      <c r="C239" t="s">
        <v>315</v>
      </c>
      <c r="D239" t="s">
        <v>152</v>
      </c>
      <c r="F239" s="3" t="str">
        <f t="shared" si="6"/>
        <v/>
      </c>
      <c r="G239" t="e">
        <f t="shared" ca="1" si="7"/>
        <v>#VALUE!</v>
      </c>
    </row>
    <row r="240" spans="1:7" ht="15.75" customHeight="1">
      <c r="A240" t="s">
        <v>342</v>
      </c>
      <c r="B240" t="s">
        <v>343</v>
      </c>
      <c r="C240" t="s">
        <v>315</v>
      </c>
      <c r="D240" t="s">
        <v>152</v>
      </c>
      <c r="F240" s="3" t="str">
        <f t="shared" si="6"/>
        <v/>
      </c>
      <c r="G240" t="e">
        <f t="shared" ca="1" si="7"/>
        <v>#VALUE!</v>
      </c>
    </row>
    <row r="241" spans="1:7" ht="15.75" customHeight="1">
      <c r="A241" t="s">
        <v>344</v>
      </c>
      <c r="B241" t="s">
        <v>345</v>
      </c>
      <c r="C241" t="s">
        <v>346</v>
      </c>
      <c r="D241" t="s">
        <v>152</v>
      </c>
      <c r="F241" s="3" t="str">
        <f t="shared" si="6"/>
        <v/>
      </c>
      <c r="G241" t="e">
        <f t="shared" ca="1" si="7"/>
        <v>#VALUE!</v>
      </c>
    </row>
    <row r="242" spans="1:7" ht="15.75" customHeight="1">
      <c r="A242" t="s">
        <v>347</v>
      </c>
      <c r="B242" t="s">
        <v>348</v>
      </c>
      <c r="C242" t="s">
        <v>39</v>
      </c>
      <c r="D242" t="s">
        <v>152</v>
      </c>
      <c r="F242" s="3" t="str">
        <f t="shared" si="6"/>
        <v/>
      </c>
      <c r="G242" t="e">
        <f t="shared" ca="1" si="7"/>
        <v>#VALUE!</v>
      </c>
    </row>
    <row r="243" spans="1:7" ht="15.75" customHeight="1">
      <c r="A243" t="s">
        <v>349</v>
      </c>
      <c r="B243" t="s">
        <v>350</v>
      </c>
      <c r="C243" t="s">
        <v>39</v>
      </c>
      <c r="D243" t="s">
        <v>152</v>
      </c>
      <c r="F243" s="3" t="str">
        <f t="shared" si="6"/>
        <v/>
      </c>
      <c r="G243" t="e">
        <f t="shared" ca="1" si="7"/>
        <v>#VALUE!</v>
      </c>
    </row>
    <row r="244" spans="1:7" ht="15.75" customHeight="1">
      <c r="A244" t="s">
        <v>351</v>
      </c>
      <c r="B244" t="s">
        <v>352</v>
      </c>
      <c r="C244" t="s">
        <v>39</v>
      </c>
      <c r="D244" t="s">
        <v>152</v>
      </c>
      <c r="F244" s="3" t="str">
        <f t="shared" si="6"/>
        <v/>
      </c>
      <c r="G244" t="e">
        <f t="shared" ca="1" si="7"/>
        <v>#VALUE!</v>
      </c>
    </row>
    <row r="245" spans="1:7" ht="15.75" customHeight="1">
      <c r="A245" t="s">
        <v>353</v>
      </c>
      <c r="B245" t="s">
        <v>354</v>
      </c>
      <c r="C245" t="s">
        <v>39</v>
      </c>
      <c r="D245" t="s">
        <v>152</v>
      </c>
      <c r="F245" s="3" t="str">
        <f t="shared" si="6"/>
        <v/>
      </c>
      <c r="G245" t="e">
        <f t="shared" ca="1" si="7"/>
        <v>#VALUE!</v>
      </c>
    </row>
    <row r="246" spans="1:7" ht="15.75" customHeight="1">
      <c r="A246" t="s">
        <v>355</v>
      </c>
      <c r="B246" t="s">
        <v>356</v>
      </c>
      <c r="C246" t="s">
        <v>39</v>
      </c>
      <c r="D246" t="s">
        <v>152</v>
      </c>
      <c r="F246" s="3" t="str">
        <f t="shared" si="6"/>
        <v/>
      </c>
      <c r="G246" t="e">
        <f t="shared" ca="1" si="7"/>
        <v>#VALUE!</v>
      </c>
    </row>
    <row r="247" spans="1:7" ht="15.75" customHeight="1">
      <c r="A247" t="s">
        <v>357</v>
      </c>
      <c r="B247" t="s">
        <v>358</v>
      </c>
      <c r="C247" t="s">
        <v>39</v>
      </c>
      <c r="D247" t="s">
        <v>152</v>
      </c>
      <c r="F247" s="3" t="str">
        <f t="shared" si="6"/>
        <v/>
      </c>
      <c r="G247" t="e">
        <f t="shared" ca="1" si="7"/>
        <v>#VALUE!</v>
      </c>
    </row>
    <row r="248" spans="1:7" ht="15.75" customHeight="1">
      <c r="A248" t="s">
        <v>359</v>
      </c>
      <c r="B248" t="s">
        <v>360</v>
      </c>
      <c r="C248" t="s">
        <v>139</v>
      </c>
      <c r="D248" t="s">
        <v>152</v>
      </c>
      <c r="F248" s="3" t="str">
        <f t="shared" si="6"/>
        <v/>
      </c>
      <c r="G248" t="e">
        <f t="shared" ca="1" si="7"/>
        <v>#VALUE!</v>
      </c>
    </row>
    <row r="249" spans="1:7" ht="15.75" customHeight="1">
      <c r="A249" t="s">
        <v>361</v>
      </c>
      <c r="B249" t="s">
        <v>362</v>
      </c>
      <c r="C249" t="s">
        <v>139</v>
      </c>
      <c r="D249" t="s">
        <v>152</v>
      </c>
      <c r="F249" s="3" t="str">
        <f t="shared" si="6"/>
        <v/>
      </c>
      <c r="G249" t="e">
        <f t="shared" ca="1" si="7"/>
        <v>#VALUE!</v>
      </c>
    </row>
    <row r="250" spans="1:7" ht="15.75" customHeight="1">
      <c r="A250" t="s">
        <v>363</v>
      </c>
      <c r="B250" t="s">
        <v>364</v>
      </c>
      <c r="C250" t="s">
        <v>139</v>
      </c>
      <c r="D250" t="s">
        <v>152</v>
      </c>
      <c r="F250" s="3" t="str">
        <f t="shared" si="6"/>
        <v/>
      </c>
      <c r="G250" t="e">
        <f t="shared" ca="1" si="7"/>
        <v>#VALUE!</v>
      </c>
    </row>
    <row r="251" spans="1:7" ht="15.75" customHeight="1">
      <c r="A251" t="s">
        <v>365</v>
      </c>
      <c r="B251" t="s">
        <v>366</v>
      </c>
      <c r="C251" t="s">
        <v>139</v>
      </c>
      <c r="D251" t="s">
        <v>152</v>
      </c>
      <c r="F251" s="3" t="str">
        <f t="shared" si="6"/>
        <v/>
      </c>
      <c r="G251" t="e">
        <f t="shared" ca="1" si="7"/>
        <v>#VALUE!</v>
      </c>
    </row>
    <row r="252" spans="1:7" ht="15.75" customHeight="1">
      <c r="A252" t="s">
        <v>367</v>
      </c>
      <c r="B252" t="s">
        <v>368</v>
      </c>
      <c r="C252" t="s">
        <v>139</v>
      </c>
      <c r="D252" t="s">
        <v>152</v>
      </c>
      <c r="F252" s="3" t="str">
        <f t="shared" si="6"/>
        <v/>
      </c>
      <c r="G252" t="e">
        <f t="shared" ca="1" si="7"/>
        <v>#VALUE!</v>
      </c>
    </row>
    <row r="253" spans="1:7" ht="15.75" customHeight="1">
      <c r="A253" t="s">
        <v>369</v>
      </c>
      <c r="B253" t="s">
        <v>370</v>
      </c>
      <c r="C253" t="s">
        <v>139</v>
      </c>
      <c r="D253" t="s">
        <v>152</v>
      </c>
      <c r="F253" s="3" t="str">
        <f t="shared" si="6"/>
        <v/>
      </c>
      <c r="G253" t="e">
        <f t="shared" ca="1" si="7"/>
        <v>#VALUE!</v>
      </c>
    </row>
    <row r="254" spans="1:7" ht="15.75" customHeight="1">
      <c r="A254" t="s">
        <v>371</v>
      </c>
      <c r="B254" t="s">
        <v>372</v>
      </c>
      <c r="C254" t="s">
        <v>64</v>
      </c>
      <c r="D254" t="s">
        <v>152</v>
      </c>
      <c r="F254" s="3" t="str">
        <f t="shared" si="6"/>
        <v/>
      </c>
      <c r="G254" t="e">
        <f t="shared" ca="1" si="7"/>
        <v>#VALUE!</v>
      </c>
    </row>
    <row r="255" spans="1:7" ht="15.75" customHeight="1">
      <c r="A255" t="s">
        <v>373</v>
      </c>
      <c r="B255" t="s">
        <v>374</v>
      </c>
      <c r="C255" t="s">
        <v>11</v>
      </c>
      <c r="D255" t="s">
        <v>152</v>
      </c>
      <c r="F255" s="3" t="str">
        <f t="shared" si="6"/>
        <v/>
      </c>
      <c r="G255" t="e">
        <f t="shared" ca="1" si="7"/>
        <v>#VALUE!</v>
      </c>
    </row>
    <row r="256" spans="1:7" ht="15.75" customHeight="1">
      <c r="A256" t="s">
        <v>375</v>
      </c>
      <c r="B256" t="s">
        <v>376</v>
      </c>
      <c r="C256" t="s">
        <v>82</v>
      </c>
      <c r="D256" t="s">
        <v>152</v>
      </c>
      <c r="F256" s="3" t="str">
        <f t="shared" si="6"/>
        <v/>
      </c>
      <c r="G256" t="e">
        <f t="shared" ca="1" si="7"/>
        <v>#VALUE!</v>
      </c>
    </row>
    <row r="257" spans="1:7" ht="15.75" customHeight="1">
      <c r="A257" t="s">
        <v>377</v>
      </c>
      <c r="B257" t="s">
        <v>378</v>
      </c>
      <c r="C257" t="s">
        <v>379</v>
      </c>
      <c r="D257" t="s">
        <v>152</v>
      </c>
      <c r="F257" s="3" t="str">
        <f t="shared" si="6"/>
        <v/>
      </c>
      <c r="G257" t="e">
        <f t="shared" ca="1" si="7"/>
        <v>#VALUE!</v>
      </c>
    </row>
    <row r="258" spans="1:7" ht="15.75" customHeight="1">
      <c r="A258" t="s">
        <v>380</v>
      </c>
      <c r="B258" t="s">
        <v>381</v>
      </c>
      <c r="C258" t="s">
        <v>382</v>
      </c>
      <c r="D258" t="s">
        <v>152</v>
      </c>
      <c r="F258" s="3" t="str">
        <f t="shared" si="6"/>
        <v/>
      </c>
      <c r="G258" t="e">
        <f t="shared" ca="1" si="7"/>
        <v>#VALUE!</v>
      </c>
    </row>
    <row r="259" spans="1:7" ht="15.75" customHeight="1">
      <c r="A259" t="s">
        <v>943</v>
      </c>
      <c r="B259" t="s">
        <v>944</v>
      </c>
      <c r="C259" t="s">
        <v>882</v>
      </c>
      <c r="D259" t="s">
        <v>152</v>
      </c>
      <c r="F259" s="3" t="str">
        <f t="shared" si="6"/>
        <v/>
      </c>
      <c r="G259" t="e">
        <f t="shared" ca="1" si="7"/>
        <v>#VALUE!</v>
      </c>
    </row>
    <row r="260" spans="1:7" ht="15.75" customHeight="1">
      <c r="A260" t="s">
        <v>945</v>
      </c>
      <c r="B260" t="s">
        <v>946</v>
      </c>
      <c r="C260" t="s">
        <v>947</v>
      </c>
      <c r="D260" t="s">
        <v>152</v>
      </c>
      <c r="F260" s="3" t="str">
        <f t="shared" ref="F260:F323" si="8">IF(ISBLANK(E260), "", EDATE(E260, 12))</f>
        <v/>
      </c>
      <c r="G260" t="e">
        <f t="shared" ref="G260:G323" ca="1" si="9">IF(ISBLANK(F260), "", IF(TODAY()&gt;=EDATE(F260, -1), "Due", "Valid"))</f>
        <v>#VALUE!</v>
      </c>
    </row>
    <row r="261" spans="1:7" ht="15.75" customHeight="1">
      <c r="A261" t="s">
        <v>948</v>
      </c>
      <c r="B261" t="s">
        <v>949</v>
      </c>
      <c r="C261" t="s">
        <v>848</v>
      </c>
      <c r="D261" t="s">
        <v>152</v>
      </c>
      <c r="F261" s="3" t="str">
        <f t="shared" si="8"/>
        <v/>
      </c>
      <c r="G261" t="e">
        <f t="shared" ca="1" si="9"/>
        <v>#VALUE!</v>
      </c>
    </row>
    <row r="262" spans="1:7" ht="15.75" customHeight="1">
      <c r="A262" t="s">
        <v>950</v>
      </c>
      <c r="B262" t="s">
        <v>951</v>
      </c>
      <c r="C262" t="s">
        <v>952</v>
      </c>
      <c r="D262" t="s">
        <v>152</v>
      </c>
      <c r="F262" s="3" t="str">
        <f t="shared" si="8"/>
        <v/>
      </c>
      <c r="G262" t="e">
        <f t="shared" ca="1" si="9"/>
        <v>#VALUE!</v>
      </c>
    </row>
    <row r="263" spans="1:7" ht="15.75" customHeight="1">
      <c r="A263" t="s">
        <v>383</v>
      </c>
      <c r="B263" t="s">
        <v>384</v>
      </c>
      <c r="C263" t="s">
        <v>123</v>
      </c>
      <c r="D263" t="s">
        <v>152</v>
      </c>
      <c r="F263" s="3" t="str">
        <f t="shared" si="8"/>
        <v/>
      </c>
      <c r="G263" t="e">
        <f t="shared" ca="1" si="9"/>
        <v>#VALUE!</v>
      </c>
    </row>
    <row r="264" spans="1:7" ht="15.75" customHeight="1">
      <c r="A264" t="s">
        <v>385</v>
      </c>
      <c r="B264" t="s">
        <v>293</v>
      </c>
      <c r="C264" t="s">
        <v>315</v>
      </c>
      <c r="D264" t="s">
        <v>152</v>
      </c>
      <c r="F264" s="3" t="str">
        <f t="shared" si="8"/>
        <v/>
      </c>
      <c r="G264" t="e">
        <f t="shared" ca="1" si="9"/>
        <v>#VALUE!</v>
      </c>
    </row>
    <row r="265" spans="1:7" ht="15.75" customHeight="1">
      <c r="A265" t="s">
        <v>386</v>
      </c>
      <c r="B265" t="s">
        <v>387</v>
      </c>
      <c r="C265" t="s">
        <v>388</v>
      </c>
      <c r="D265" t="s">
        <v>152</v>
      </c>
      <c r="F265" s="3" t="str">
        <f t="shared" si="8"/>
        <v/>
      </c>
      <c r="G265" t="e">
        <f t="shared" ca="1" si="9"/>
        <v>#VALUE!</v>
      </c>
    </row>
    <row r="266" spans="1:7" ht="15.75" customHeight="1">
      <c r="A266" t="s">
        <v>389</v>
      </c>
      <c r="B266" t="s">
        <v>390</v>
      </c>
      <c r="C266" t="s">
        <v>39</v>
      </c>
      <c r="D266" t="s">
        <v>152</v>
      </c>
      <c r="F266" s="3" t="str">
        <f t="shared" si="8"/>
        <v/>
      </c>
      <c r="G266" t="e">
        <f t="shared" ca="1" si="9"/>
        <v>#VALUE!</v>
      </c>
    </row>
    <row r="267" spans="1:7" ht="15.75" customHeight="1">
      <c r="A267" t="s">
        <v>391</v>
      </c>
      <c r="B267" t="s">
        <v>392</v>
      </c>
      <c r="C267" t="s">
        <v>11</v>
      </c>
      <c r="D267" t="s">
        <v>152</v>
      </c>
      <c r="F267" s="3" t="str">
        <f t="shared" si="8"/>
        <v/>
      </c>
      <c r="G267" t="e">
        <f t="shared" ca="1" si="9"/>
        <v>#VALUE!</v>
      </c>
    </row>
    <row r="268" spans="1:7" ht="15.75" customHeight="1">
      <c r="A268" t="s">
        <v>393</v>
      </c>
      <c r="B268" t="s">
        <v>394</v>
      </c>
      <c r="C268" t="s">
        <v>11</v>
      </c>
      <c r="D268" t="s">
        <v>152</v>
      </c>
      <c r="F268" s="3" t="str">
        <f t="shared" si="8"/>
        <v/>
      </c>
      <c r="G268" t="e">
        <f t="shared" ca="1" si="9"/>
        <v>#VALUE!</v>
      </c>
    </row>
    <row r="269" spans="1:7" ht="15.75" customHeight="1">
      <c r="A269" t="s">
        <v>395</v>
      </c>
      <c r="B269" t="s">
        <v>396</v>
      </c>
      <c r="C269" t="s">
        <v>174</v>
      </c>
      <c r="D269" t="s">
        <v>152</v>
      </c>
      <c r="F269" s="3" t="str">
        <f t="shared" si="8"/>
        <v/>
      </c>
      <c r="G269" t="e">
        <f t="shared" ca="1" si="9"/>
        <v>#VALUE!</v>
      </c>
    </row>
    <row r="270" spans="1:7" ht="15.75" customHeight="1">
      <c r="A270" t="s">
        <v>397</v>
      </c>
      <c r="B270" t="s">
        <v>398</v>
      </c>
      <c r="C270" t="s">
        <v>79</v>
      </c>
      <c r="D270" t="s">
        <v>152</v>
      </c>
      <c r="F270" s="3" t="str">
        <f t="shared" si="8"/>
        <v/>
      </c>
      <c r="G270" t="e">
        <f t="shared" ca="1" si="9"/>
        <v>#VALUE!</v>
      </c>
    </row>
    <row r="271" spans="1:7" ht="15.75" customHeight="1">
      <c r="A271" t="s">
        <v>953</v>
      </c>
      <c r="B271" t="s">
        <v>954</v>
      </c>
      <c r="C271" t="s">
        <v>882</v>
      </c>
      <c r="D271" t="s">
        <v>152</v>
      </c>
      <c r="F271" s="3" t="str">
        <f t="shared" si="8"/>
        <v/>
      </c>
      <c r="G271" t="e">
        <f t="shared" ca="1" si="9"/>
        <v>#VALUE!</v>
      </c>
    </row>
    <row r="272" spans="1:7" ht="15.75" customHeight="1">
      <c r="A272" t="s">
        <v>955</v>
      </c>
      <c r="B272" t="s">
        <v>956</v>
      </c>
      <c r="C272" t="s">
        <v>916</v>
      </c>
      <c r="D272" t="s">
        <v>152</v>
      </c>
      <c r="F272" s="3" t="str">
        <f t="shared" si="8"/>
        <v/>
      </c>
      <c r="G272" t="e">
        <f t="shared" ca="1" si="9"/>
        <v>#VALUE!</v>
      </c>
    </row>
    <row r="273" spans="1:7" ht="15.75" customHeight="1">
      <c r="A273" t="s">
        <v>399</v>
      </c>
      <c r="B273" t="s">
        <v>400</v>
      </c>
      <c r="C273" t="s">
        <v>401</v>
      </c>
      <c r="D273" t="s">
        <v>152</v>
      </c>
      <c r="F273" s="3" t="str">
        <f t="shared" si="8"/>
        <v/>
      </c>
      <c r="G273" t="e">
        <f t="shared" ca="1" si="9"/>
        <v>#VALUE!</v>
      </c>
    </row>
    <row r="274" spans="1:7" ht="15.75" customHeight="1">
      <c r="A274" t="s">
        <v>402</v>
      </c>
      <c r="B274" t="s">
        <v>403</v>
      </c>
      <c r="C274" t="s">
        <v>315</v>
      </c>
      <c r="D274" t="s">
        <v>152</v>
      </c>
      <c r="F274" s="3" t="str">
        <f t="shared" si="8"/>
        <v/>
      </c>
      <c r="G274" t="e">
        <f t="shared" ca="1" si="9"/>
        <v>#VALUE!</v>
      </c>
    </row>
    <row r="275" spans="1:7" ht="15.75" customHeight="1">
      <c r="A275" t="s">
        <v>404</v>
      </c>
      <c r="B275" t="s">
        <v>405</v>
      </c>
      <c r="C275" t="s">
        <v>388</v>
      </c>
      <c r="D275" t="s">
        <v>152</v>
      </c>
      <c r="F275" s="3" t="str">
        <f t="shared" si="8"/>
        <v/>
      </c>
      <c r="G275" t="e">
        <f t="shared" ca="1" si="9"/>
        <v>#VALUE!</v>
      </c>
    </row>
    <row r="276" spans="1:7" ht="15.75" customHeight="1">
      <c r="A276" t="s">
        <v>406</v>
      </c>
      <c r="B276" t="s">
        <v>407</v>
      </c>
      <c r="C276" t="s">
        <v>39</v>
      </c>
      <c r="D276" t="s">
        <v>152</v>
      </c>
      <c r="F276" s="3" t="str">
        <f t="shared" si="8"/>
        <v/>
      </c>
      <c r="G276" t="e">
        <f t="shared" ca="1" si="9"/>
        <v>#VALUE!</v>
      </c>
    </row>
    <row r="277" spans="1:7" ht="15.75" customHeight="1">
      <c r="A277" t="s">
        <v>408</v>
      </c>
      <c r="B277" t="s">
        <v>409</v>
      </c>
      <c r="C277" t="s">
        <v>401</v>
      </c>
      <c r="D277" t="s">
        <v>152</v>
      </c>
      <c r="F277" s="3" t="str">
        <f t="shared" si="8"/>
        <v/>
      </c>
      <c r="G277" t="e">
        <f t="shared" ca="1" si="9"/>
        <v>#VALUE!</v>
      </c>
    </row>
    <row r="278" spans="1:7" ht="15.75" customHeight="1">
      <c r="A278" t="s">
        <v>410</v>
      </c>
      <c r="B278" t="s">
        <v>411</v>
      </c>
      <c r="C278" t="s">
        <v>39</v>
      </c>
      <c r="D278" t="s">
        <v>152</v>
      </c>
      <c r="F278" s="3" t="str">
        <f t="shared" si="8"/>
        <v/>
      </c>
      <c r="G278" t="e">
        <f t="shared" ca="1" si="9"/>
        <v>#VALUE!</v>
      </c>
    </row>
    <row r="279" spans="1:7" ht="15.75" customHeight="1">
      <c r="A279" t="s">
        <v>412</v>
      </c>
      <c r="B279" t="s">
        <v>413</v>
      </c>
      <c r="C279" t="s">
        <v>139</v>
      </c>
      <c r="D279" t="s">
        <v>152</v>
      </c>
      <c r="F279" s="3" t="str">
        <f t="shared" si="8"/>
        <v/>
      </c>
      <c r="G279" t="e">
        <f t="shared" ca="1" si="9"/>
        <v>#VALUE!</v>
      </c>
    </row>
    <row r="280" spans="1:7" ht="15.75" customHeight="1">
      <c r="A280" t="s">
        <v>414</v>
      </c>
      <c r="B280" t="s">
        <v>415</v>
      </c>
      <c r="C280" t="s">
        <v>416</v>
      </c>
      <c r="D280" t="s">
        <v>152</v>
      </c>
      <c r="F280" s="3" t="str">
        <f t="shared" si="8"/>
        <v/>
      </c>
      <c r="G280" t="e">
        <f t="shared" ca="1" si="9"/>
        <v>#VALUE!</v>
      </c>
    </row>
    <row r="281" spans="1:7" ht="15.75" customHeight="1">
      <c r="A281" t="s">
        <v>417</v>
      </c>
      <c r="B281" t="s">
        <v>418</v>
      </c>
      <c r="C281" t="s">
        <v>416</v>
      </c>
      <c r="D281" t="s">
        <v>152</v>
      </c>
      <c r="F281" s="3" t="str">
        <f t="shared" si="8"/>
        <v/>
      </c>
      <c r="G281" t="e">
        <f t="shared" ca="1" si="9"/>
        <v>#VALUE!</v>
      </c>
    </row>
    <row r="282" spans="1:7" ht="15.75" customHeight="1">
      <c r="A282" t="s">
        <v>419</v>
      </c>
      <c r="B282" t="s">
        <v>420</v>
      </c>
      <c r="C282" t="s">
        <v>421</v>
      </c>
      <c r="D282" t="s">
        <v>152</v>
      </c>
      <c r="F282" s="3" t="str">
        <f t="shared" si="8"/>
        <v/>
      </c>
      <c r="G282" t="e">
        <f t="shared" ca="1" si="9"/>
        <v>#VALUE!</v>
      </c>
    </row>
    <row r="283" spans="1:7" ht="15.75" customHeight="1">
      <c r="A283" t="s">
        <v>957</v>
      </c>
      <c r="B283" t="s">
        <v>958</v>
      </c>
      <c r="C283" t="s">
        <v>959</v>
      </c>
      <c r="D283" t="s">
        <v>425</v>
      </c>
      <c r="F283" s="3" t="str">
        <f t="shared" si="8"/>
        <v/>
      </c>
      <c r="G283" t="e">
        <f t="shared" ca="1" si="9"/>
        <v>#VALUE!</v>
      </c>
    </row>
    <row r="284" spans="1:7" ht="15.75" customHeight="1">
      <c r="A284" t="s">
        <v>961</v>
      </c>
      <c r="B284" t="s">
        <v>962</v>
      </c>
      <c r="C284" t="s">
        <v>963</v>
      </c>
      <c r="D284" t="s">
        <v>425</v>
      </c>
      <c r="F284" s="3" t="str">
        <f t="shared" si="8"/>
        <v/>
      </c>
      <c r="G284" t="e">
        <f t="shared" ca="1" si="9"/>
        <v>#VALUE!</v>
      </c>
    </row>
    <row r="285" spans="1:7" ht="15.75" customHeight="1">
      <c r="A285" t="s">
        <v>964</v>
      </c>
      <c r="B285" t="s">
        <v>965</v>
      </c>
      <c r="C285" t="s">
        <v>966</v>
      </c>
      <c r="D285" t="s">
        <v>425</v>
      </c>
      <c r="F285" s="3" t="str">
        <f t="shared" si="8"/>
        <v/>
      </c>
      <c r="G285" t="e">
        <f t="shared" ca="1" si="9"/>
        <v>#VALUE!</v>
      </c>
    </row>
    <row r="286" spans="1:7" ht="15.75" customHeight="1">
      <c r="A286" t="s">
        <v>967</v>
      </c>
      <c r="B286" t="s">
        <v>968</v>
      </c>
      <c r="C286" t="s">
        <v>966</v>
      </c>
      <c r="D286" t="s">
        <v>425</v>
      </c>
      <c r="F286" s="3" t="str">
        <f t="shared" si="8"/>
        <v/>
      </c>
      <c r="G286" t="e">
        <f t="shared" ca="1" si="9"/>
        <v>#VALUE!</v>
      </c>
    </row>
    <row r="287" spans="1:7" ht="15.75" customHeight="1">
      <c r="A287" t="s">
        <v>969</v>
      </c>
      <c r="B287" t="s">
        <v>970</v>
      </c>
      <c r="C287" t="s">
        <v>971</v>
      </c>
      <c r="D287" t="s">
        <v>425</v>
      </c>
      <c r="F287" s="3" t="str">
        <f t="shared" si="8"/>
        <v/>
      </c>
      <c r="G287" t="e">
        <f t="shared" ca="1" si="9"/>
        <v>#VALUE!</v>
      </c>
    </row>
    <row r="288" spans="1:7" ht="15.75" customHeight="1">
      <c r="A288" t="s">
        <v>972</v>
      </c>
      <c r="B288" t="s">
        <v>973</v>
      </c>
      <c r="C288" t="s">
        <v>971</v>
      </c>
      <c r="D288" t="s">
        <v>425</v>
      </c>
      <c r="F288" s="3" t="str">
        <f t="shared" si="8"/>
        <v/>
      </c>
      <c r="G288" t="e">
        <f t="shared" ca="1" si="9"/>
        <v>#VALUE!</v>
      </c>
    </row>
    <row r="289" spans="1:7" ht="15.75" customHeight="1">
      <c r="A289" t="s">
        <v>974</v>
      </c>
      <c r="B289" t="s">
        <v>975</v>
      </c>
      <c r="C289" t="s">
        <v>971</v>
      </c>
      <c r="D289" t="s">
        <v>425</v>
      </c>
      <c r="F289" s="3" t="str">
        <f t="shared" si="8"/>
        <v/>
      </c>
      <c r="G289" t="e">
        <f t="shared" ca="1" si="9"/>
        <v>#VALUE!</v>
      </c>
    </row>
    <row r="290" spans="1:7" ht="15.75" customHeight="1">
      <c r="A290" t="s">
        <v>976</v>
      </c>
      <c r="B290" t="s">
        <v>977</v>
      </c>
      <c r="C290" t="s">
        <v>971</v>
      </c>
      <c r="D290" t="s">
        <v>425</v>
      </c>
      <c r="F290" s="3" t="str">
        <f t="shared" si="8"/>
        <v/>
      </c>
      <c r="G290" t="e">
        <f t="shared" ca="1" si="9"/>
        <v>#VALUE!</v>
      </c>
    </row>
    <row r="291" spans="1:7" ht="15.75" customHeight="1">
      <c r="A291" t="s">
        <v>978</v>
      </c>
      <c r="B291" t="s">
        <v>979</v>
      </c>
      <c r="C291" t="s">
        <v>971</v>
      </c>
      <c r="D291" t="s">
        <v>425</v>
      </c>
      <c r="F291" s="3" t="str">
        <f t="shared" si="8"/>
        <v/>
      </c>
      <c r="G291" t="e">
        <f t="shared" ca="1" si="9"/>
        <v>#VALUE!</v>
      </c>
    </row>
    <row r="292" spans="1:7" ht="15.75" customHeight="1">
      <c r="A292" t="s">
        <v>980</v>
      </c>
      <c r="B292" t="s">
        <v>981</v>
      </c>
      <c r="C292" t="s">
        <v>982</v>
      </c>
      <c r="D292" t="s">
        <v>425</v>
      </c>
      <c r="F292" s="3" t="str">
        <f t="shared" si="8"/>
        <v/>
      </c>
      <c r="G292" t="e">
        <f t="shared" ca="1" si="9"/>
        <v>#VALUE!</v>
      </c>
    </row>
    <row r="293" spans="1:7" ht="15.75" customHeight="1">
      <c r="A293" t="s">
        <v>983</v>
      </c>
      <c r="B293" t="s">
        <v>984</v>
      </c>
      <c r="C293" t="s">
        <v>982</v>
      </c>
      <c r="D293" t="s">
        <v>425</v>
      </c>
      <c r="F293" s="3" t="str">
        <f t="shared" si="8"/>
        <v/>
      </c>
      <c r="G293" t="e">
        <f t="shared" ca="1" si="9"/>
        <v>#VALUE!</v>
      </c>
    </row>
    <row r="294" spans="1:7" ht="15.75" customHeight="1">
      <c r="A294" t="s">
        <v>985</v>
      </c>
      <c r="B294" t="s">
        <v>986</v>
      </c>
      <c r="C294" t="s">
        <v>982</v>
      </c>
      <c r="D294" t="s">
        <v>425</v>
      </c>
      <c r="F294" s="3" t="str">
        <f t="shared" si="8"/>
        <v/>
      </c>
      <c r="G294" t="e">
        <f t="shared" ca="1" si="9"/>
        <v>#VALUE!</v>
      </c>
    </row>
    <row r="295" spans="1:7" ht="15.75" customHeight="1">
      <c r="A295" t="s">
        <v>987</v>
      </c>
      <c r="B295" t="s">
        <v>988</v>
      </c>
      <c r="C295" t="s">
        <v>982</v>
      </c>
      <c r="D295" t="s">
        <v>425</v>
      </c>
      <c r="F295" s="3" t="str">
        <f t="shared" si="8"/>
        <v/>
      </c>
      <c r="G295" t="e">
        <f t="shared" ca="1" si="9"/>
        <v>#VALUE!</v>
      </c>
    </row>
    <row r="296" spans="1:7" ht="15.75" customHeight="1">
      <c r="A296" t="s">
        <v>989</v>
      </c>
      <c r="B296" t="s">
        <v>990</v>
      </c>
      <c r="C296" t="s">
        <v>991</v>
      </c>
      <c r="D296" t="s">
        <v>425</v>
      </c>
      <c r="F296" s="3" t="str">
        <f t="shared" si="8"/>
        <v/>
      </c>
      <c r="G296" t="e">
        <f t="shared" ca="1" si="9"/>
        <v>#VALUE!</v>
      </c>
    </row>
    <row r="297" spans="1:7" ht="15.75" customHeight="1">
      <c r="A297" t="s">
        <v>992</v>
      </c>
      <c r="B297" t="s">
        <v>993</v>
      </c>
      <c r="C297" t="s">
        <v>991</v>
      </c>
      <c r="D297" t="s">
        <v>425</v>
      </c>
      <c r="F297" s="3" t="str">
        <f t="shared" si="8"/>
        <v/>
      </c>
      <c r="G297" t="e">
        <f t="shared" ca="1" si="9"/>
        <v>#VALUE!</v>
      </c>
    </row>
    <row r="298" spans="1:7" ht="15.75" customHeight="1">
      <c r="A298" t="s">
        <v>994</v>
      </c>
      <c r="B298" t="s">
        <v>995</v>
      </c>
      <c r="C298" t="s">
        <v>991</v>
      </c>
      <c r="D298" t="s">
        <v>425</v>
      </c>
      <c r="F298" s="3" t="str">
        <f t="shared" si="8"/>
        <v/>
      </c>
      <c r="G298" t="e">
        <f t="shared" ca="1" si="9"/>
        <v>#VALUE!</v>
      </c>
    </row>
    <row r="299" spans="1:7" ht="15.75" customHeight="1">
      <c r="A299" t="s">
        <v>996</v>
      </c>
      <c r="B299" t="s">
        <v>997</v>
      </c>
      <c r="C299" t="s">
        <v>998</v>
      </c>
      <c r="D299" t="s">
        <v>425</v>
      </c>
      <c r="F299" s="3" t="str">
        <f t="shared" si="8"/>
        <v/>
      </c>
      <c r="G299" t="e">
        <f t="shared" ca="1" si="9"/>
        <v>#VALUE!</v>
      </c>
    </row>
    <row r="300" spans="1:7" ht="15.75" customHeight="1">
      <c r="A300" t="s">
        <v>999</v>
      </c>
      <c r="B300" t="s">
        <v>1000</v>
      </c>
      <c r="C300" t="s">
        <v>1001</v>
      </c>
      <c r="D300" t="s">
        <v>425</v>
      </c>
      <c r="F300" s="3" t="str">
        <f t="shared" si="8"/>
        <v/>
      </c>
      <c r="G300" t="e">
        <f t="shared" ca="1" si="9"/>
        <v>#VALUE!</v>
      </c>
    </row>
    <row r="301" spans="1:7" ht="15.75" customHeight="1">
      <c r="A301" t="s">
        <v>1002</v>
      </c>
      <c r="B301" t="s">
        <v>1003</v>
      </c>
      <c r="C301" t="s">
        <v>1004</v>
      </c>
      <c r="D301" t="s">
        <v>425</v>
      </c>
      <c r="F301" s="3" t="str">
        <f t="shared" si="8"/>
        <v/>
      </c>
      <c r="G301" t="e">
        <f t="shared" ca="1" si="9"/>
        <v>#VALUE!</v>
      </c>
    </row>
    <row r="302" spans="1:7" ht="15.75" customHeight="1">
      <c r="A302" t="s">
        <v>1005</v>
      </c>
      <c r="B302" t="s">
        <v>1006</v>
      </c>
      <c r="C302" t="s">
        <v>1007</v>
      </c>
      <c r="D302" t="s">
        <v>425</v>
      </c>
      <c r="F302" s="3" t="str">
        <f t="shared" si="8"/>
        <v/>
      </c>
      <c r="G302" t="e">
        <f t="shared" ca="1" si="9"/>
        <v>#VALUE!</v>
      </c>
    </row>
    <row r="303" spans="1:7" ht="15.75" customHeight="1">
      <c r="A303" t="s">
        <v>1008</v>
      </c>
      <c r="B303" t="s">
        <v>1009</v>
      </c>
      <c r="C303" t="s">
        <v>1010</v>
      </c>
      <c r="D303" t="s">
        <v>425</v>
      </c>
      <c r="F303" s="3" t="str">
        <f t="shared" si="8"/>
        <v/>
      </c>
      <c r="G303" t="e">
        <f t="shared" ca="1" si="9"/>
        <v>#VALUE!</v>
      </c>
    </row>
    <row r="304" spans="1:7" ht="15.75" customHeight="1">
      <c r="A304" t="s">
        <v>1011</v>
      </c>
      <c r="B304" t="s">
        <v>1012</v>
      </c>
      <c r="C304" t="s">
        <v>1013</v>
      </c>
      <c r="D304" t="s">
        <v>1014</v>
      </c>
      <c r="F304" s="3" t="str">
        <f t="shared" si="8"/>
        <v/>
      </c>
      <c r="G304" t="e">
        <f t="shared" ca="1" si="9"/>
        <v>#VALUE!</v>
      </c>
    </row>
    <row r="305" spans="1:7" ht="15.75" customHeight="1">
      <c r="A305" t="s">
        <v>422</v>
      </c>
      <c r="B305" t="s">
        <v>423</v>
      </c>
      <c r="C305" t="s">
        <v>424</v>
      </c>
      <c r="D305" t="s">
        <v>425</v>
      </c>
      <c r="F305" s="3" t="str">
        <f t="shared" si="8"/>
        <v/>
      </c>
      <c r="G305" t="e">
        <f t="shared" ca="1" si="9"/>
        <v>#VALUE!</v>
      </c>
    </row>
    <row r="306" spans="1:7" ht="15.75" customHeight="1">
      <c r="A306" t="s">
        <v>426</v>
      </c>
      <c r="B306" t="s">
        <v>427</v>
      </c>
      <c r="C306" t="s">
        <v>428</v>
      </c>
      <c r="D306" t="s">
        <v>425</v>
      </c>
      <c r="F306" s="3" t="str">
        <f t="shared" si="8"/>
        <v/>
      </c>
      <c r="G306" t="e">
        <f t="shared" ca="1" si="9"/>
        <v>#VALUE!</v>
      </c>
    </row>
    <row r="307" spans="1:7" ht="15.75" customHeight="1">
      <c r="A307" t="s">
        <v>429</v>
      </c>
      <c r="B307" t="s">
        <v>430</v>
      </c>
      <c r="C307" t="s">
        <v>428</v>
      </c>
      <c r="D307" t="s">
        <v>425</v>
      </c>
      <c r="F307" s="3" t="str">
        <f t="shared" si="8"/>
        <v/>
      </c>
      <c r="G307" t="e">
        <f t="shared" ca="1" si="9"/>
        <v>#VALUE!</v>
      </c>
    </row>
    <row r="308" spans="1:7" ht="15.75" customHeight="1">
      <c r="A308" t="s">
        <v>431</v>
      </c>
      <c r="B308" t="s">
        <v>432</v>
      </c>
      <c r="C308" t="s">
        <v>139</v>
      </c>
      <c r="D308" t="s">
        <v>425</v>
      </c>
      <c r="F308" s="3" t="str">
        <f t="shared" si="8"/>
        <v/>
      </c>
      <c r="G308" t="e">
        <f t="shared" ca="1" si="9"/>
        <v>#VALUE!</v>
      </c>
    </row>
    <row r="309" spans="1:7" ht="15.75" customHeight="1">
      <c r="A309" t="s">
        <v>433</v>
      </c>
      <c r="B309" t="s">
        <v>434</v>
      </c>
      <c r="C309" t="s">
        <v>139</v>
      </c>
      <c r="D309" t="s">
        <v>425</v>
      </c>
      <c r="F309" s="3" t="str">
        <f t="shared" si="8"/>
        <v/>
      </c>
      <c r="G309" t="e">
        <f t="shared" ca="1" si="9"/>
        <v>#VALUE!</v>
      </c>
    </row>
    <row r="310" spans="1:7" ht="15.75" customHeight="1">
      <c r="A310" t="s">
        <v>435</v>
      </c>
      <c r="B310" t="s">
        <v>163</v>
      </c>
      <c r="C310" t="s">
        <v>64</v>
      </c>
      <c r="D310" t="s">
        <v>425</v>
      </c>
      <c r="F310" s="3" t="str">
        <f t="shared" si="8"/>
        <v/>
      </c>
      <c r="G310" t="e">
        <f t="shared" ca="1" si="9"/>
        <v>#VALUE!</v>
      </c>
    </row>
    <row r="311" spans="1:7" ht="15.75" customHeight="1">
      <c r="A311" t="s">
        <v>436</v>
      </c>
      <c r="B311" t="s">
        <v>437</v>
      </c>
      <c r="C311" t="s">
        <v>438</v>
      </c>
      <c r="D311" t="s">
        <v>425</v>
      </c>
      <c r="F311" s="3" t="str">
        <f t="shared" si="8"/>
        <v/>
      </c>
      <c r="G311" t="e">
        <f t="shared" ca="1" si="9"/>
        <v>#VALUE!</v>
      </c>
    </row>
    <row r="312" spans="1:7" ht="15.75" customHeight="1">
      <c r="A312" t="s">
        <v>1015</v>
      </c>
      <c r="B312" t="s">
        <v>1016</v>
      </c>
      <c r="C312" t="s">
        <v>1017</v>
      </c>
      <c r="D312" t="s">
        <v>425</v>
      </c>
      <c r="F312" s="3" t="str">
        <f t="shared" si="8"/>
        <v/>
      </c>
      <c r="G312" t="e">
        <f t="shared" ca="1" si="9"/>
        <v>#VALUE!</v>
      </c>
    </row>
    <row r="313" spans="1:7" ht="15.75" customHeight="1">
      <c r="A313" t="s">
        <v>1018</v>
      </c>
      <c r="B313" t="s">
        <v>1019</v>
      </c>
      <c r="C313" t="s">
        <v>1017</v>
      </c>
      <c r="D313" t="s">
        <v>425</v>
      </c>
      <c r="F313" s="3" t="str">
        <f t="shared" si="8"/>
        <v/>
      </c>
      <c r="G313" t="e">
        <f t="shared" ca="1" si="9"/>
        <v>#VALUE!</v>
      </c>
    </row>
    <row r="314" spans="1:7" ht="15.75" customHeight="1">
      <c r="A314" t="s">
        <v>1020</v>
      </c>
      <c r="B314" t="s">
        <v>1021</v>
      </c>
      <c r="C314" t="s">
        <v>1022</v>
      </c>
      <c r="D314" t="s">
        <v>425</v>
      </c>
      <c r="F314" s="3" t="str">
        <f t="shared" si="8"/>
        <v/>
      </c>
      <c r="G314" t="e">
        <f t="shared" ca="1" si="9"/>
        <v>#VALUE!</v>
      </c>
    </row>
    <row r="315" spans="1:7" ht="15.75" customHeight="1">
      <c r="A315" t="s">
        <v>1023</v>
      </c>
      <c r="B315" t="s">
        <v>1024</v>
      </c>
      <c r="C315" t="s">
        <v>1022</v>
      </c>
      <c r="D315" t="s">
        <v>425</v>
      </c>
      <c r="F315" s="3" t="str">
        <f t="shared" si="8"/>
        <v/>
      </c>
      <c r="G315" t="e">
        <f t="shared" ca="1" si="9"/>
        <v>#VALUE!</v>
      </c>
    </row>
    <row r="316" spans="1:7" ht="15.75" customHeight="1">
      <c r="A316" t="s">
        <v>1025</v>
      </c>
      <c r="B316" t="s">
        <v>1026</v>
      </c>
      <c r="C316" t="s">
        <v>913</v>
      </c>
      <c r="D316" t="s">
        <v>425</v>
      </c>
      <c r="F316" s="3" t="str">
        <f t="shared" si="8"/>
        <v/>
      </c>
      <c r="G316" t="e">
        <f t="shared" ca="1" si="9"/>
        <v>#VALUE!</v>
      </c>
    </row>
    <row r="317" spans="1:7" ht="15.75" customHeight="1">
      <c r="A317" t="s">
        <v>1027</v>
      </c>
      <c r="B317" t="s">
        <v>1028</v>
      </c>
      <c r="C317" t="s">
        <v>1029</v>
      </c>
      <c r="D317" t="s">
        <v>425</v>
      </c>
      <c r="F317" s="3" t="str">
        <f t="shared" si="8"/>
        <v/>
      </c>
      <c r="G317" t="e">
        <f t="shared" ca="1" si="9"/>
        <v>#VALUE!</v>
      </c>
    </row>
    <row r="318" spans="1:7" ht="15.75" customHeight="1">
      <c r="A318" t="s">
        <v>439</v>
      </c>
      <c r="B318" t="s">
        <v>440</v>
      </c>
      <c r="C318" t="s">
        <v>441</v>
      </c>
      <c r="D318" t="s">
        <v>425</v>
      </c>
      <c r="F318" s="3" t="str">
        <f t="shared" si="8"/>
        <v/>
      </c>
      <c r="G318" t="e">
        <f t="shared" ca="1" si="9"/>
        <v>#VALUE!</v>
      </c>
    </row>
    <row r="319" spans="1:7" ht="15.75" customHeight="1">
      <c r="A319" t="s">
        <v>442</v>
      </c>
      <c r="B319" t="s">
        <v>443</v>
      </c>
      <c r="C319" t="s">
        <v>444</v>
      </c>
      <c r="D319" t="s">
        <v>425</v>
      </c>
      <c r="F319" s="3" t="str">
        <f t="shared" si="8"/>
        <v/>
      </c>
      <c r="G319" t="e">
        <f t="shared" ca="1" si="9"/>
        <v>#VALUE!</v>
      </c>
    </row>
    <row r="320" spans="1:7" ht="15.75" customHeight="1">
      <c r="A320" t="s">
        <v>445</v>
      </c>
      <c r="B320" t="s">
        <v>446</v>
      </c>
      <c r="C320" t="s">
        <v>444</v>
      </c>
      <c r="D320" t="s">
        <v>425</v>
      </c>
      <c r="F320" s="3" t="str">
        <f t="shared" si="8"/>
        <v/>
      </c>
      <c r="G320" t="e">
        <f t="shared" ca="1" si="9"/>
        <v>#VALUE!</v>
      </c>
    </row>
    <row r="321" spans="1:7" ht="15.75" customHeight="1">
      <c r="A321" t="s">
        <v>447</v>
      </c>
      <c r="B321" t="s">
        <v>448</v>
      </c>
      <c r="C321" t="s">
        <v>444</v>
      </c>
      <c r="D321" t="s">
        <v>425</v>
      </c>
      <c r="F321" s="3" t="str">
        <f t="shared" si="8"/>
        <v/>
      </c>
      <c r="G321" t="e">
        <f t="shared" ca="1" si="9"/>
        <v>#VALUE!</v>
      </c>
    </row>
    <row r="322" spans="1:7" ht="15.75" customHeight="1">
      <c r="A322" t="s">
        <v>449</v>
      </c>
      <c r="B322" t="s">
        <v>450</v>
      </c>
      <c r="C322" t="s">
        <v>444</v>
      </c>
      <c r="D322" t="s">
        <v>425</v>
      </c>
      <c r="F322" s="3" t="str">
        <f t="shared" si="8"/>
        <v/>
      </c>
      <c r="G322" t="e">
        <f t="shared" ca="1" si="9"/>
        <v>#VALUE!</v>
      </c>
    </row>
    <row r="323" spans="1:7" ht="15.75" customHeight="1">
      <c r="A323" t="s">
        <v>451</v>
      </c>
      <c r="B323" t="s">
        <v>452</v>
      </c>
      <c r="C323" t="s">
        <v>444</v>
      </c>
      <c r="D323" t="s">
        <v>425</v>
      </c>
      <c r="F323" s="3" t="str">
        <f t="shared" si="8"/>
        <v/>
      </c>
      <c r="G323" t="e">
        <f t="shared" ca="1" si="9"/>
        <v>#VALUE!</v>
      </c>
    </row>
    <row r="324" spans="1:7" ht="15.75" customHeight="1">
      <c r="A324" t="s">
        <v>453</v>
      </c>
      <c r="B324" t="s">
        <v>454</v>
      </c>
      <c r="C324" t="s">
        <v>93</v>
      </c>
      <c r="D324" t="s">
        <v>425</v>
      </c>
      <c r="F324" s="3" t="str">
        <f t="shared" ref="F324:F387" si="10">IF(ISBLANK(E324), "", EDATE(E324, 12))</f>
        <v/>
      </c>
      <c r="G324" t="e">
        <f t="shared" ref="G324:G387" ca="1" si="11">IF(ISBLANK(F324), "", IF(TODAY()&gt;=EDATE(F324, -1), "Due", "Valid"))</f>
        <v>#VALUE!</v>
      </c>
    </row>
    <row r="325" spans="1:7" ht="15.75" customHeight="1">
      <c r="A325" t="s">
        <v>455</v>
      </c>
      <c r="B325" t="s">
        <v>456</v>
      </c>
      <c r="C325" t="s">
        <v>93</v>
      </c>
      <c r="D325" t="s">
        <v>425</v>
      </c>
      <c r="F325" s="3" t="str">
        <f t="shared" si="10"/>
        <v/>
      </c>
      <c r="G325" t="e">
        <f t="shared" ca="1" si="11"/>
        <v>#VALUE!</v>
      </c>
    </row>
    <row r="326" spans="1:7" ht="15.75" customHeight="1">
      <c r="A326" t="s">
        <v>1030</v>
      </c>
      <c r="B326" t="s">
        <v>1031</v>
      </c>
      <c r="C326" t="s">
        <v>1032</v>
      </c>
      <c r="D326" t="s">
        <v>425</v>
      </c>
      <c r="F326" s="3" t="str">
        <f t="shared" si="10"/>
        <v/>
      </c>
      <c r="G326" t="e">
        <f t="shared" ca="1" si="11"/>
        <v>#VALUE!</v>
      </c>
    </row>
    <row r="327" spans="1:7" ht="15.75" customHeight="1">
      <c r="A327" t="s">
        <v>457</v>
      </c>
      <c r="B327" t="s">
        <v>458</v>
      </c>
      <c r="C327" t="s">
        <v>93</v>
      </c>
      <c r="D327" t="s">
        <v>425</v>
      </c>
      <c r="F327" s="3" t="str">
        <f t="shared" si="10"/>
        <v/>
      </c>
      <c r="G327" t="e">
        <f t="shared" ca="1" si="11"/>
        <v>#VALUE!</v>
      </c>
    </row>
    <row r="328" spans="1:7" ht="15.75" customHeight="1">
      <c r="A328" t="s">
        <v>459</v>
      </c>
      <c r="B328" t="s">
        <v>460</v>
      </c>
      <c r="C328" t="s">
        <v>461</v>
      </c>
      <c r="D328" t="s">
        <v>425</v>
      </c>
      <c r="F328" s="3" t="str">
        <f t="shared" si="10"/>
        <v/>
      </c>
      <c r="G328" t="e">
        <f t="shared" ca="1" si="11"/>
        <v>#VALUE!</v>
      </c>
    </row>
    <row r="329" spans="1:7" ht="15.75" customHeight="1">
      <c r="A329" t="s">
        <v>462</v>
      </c>
      <c r="B329" t="s">
        <v>463</v>
      </c>
      <c r="C329" t="s">
        <v>461</v>
      </c>
      <c r="D329" t="s">
        <v>425</v>
      </c>
      <c r="F329" s="3" t="str">
        <f t="shared" si="10"/>
        <v/>
      </c>
      <c r="G329" t="e">
        <f t="shared" ca="1" si="11"/>
        <v>#VALUE!</v>
      </c>
    </row>
    <row r="330" spans="1:7" ht="15.75" customHeight="1">
      <c r="A330" t="s">
        <v>464</v>
      </c>
      <c r="B330" t="s">
        <v>465</v>
      </c>
      <c r="C330" t="s">
        <v>461</v>
      </c>
      <c r="D330" t="s">
        <v>425</v>
      </c>
      <c r="F330" s="3" t="str">
        <f t="shared" si="10"/>
        <v/>
      </c>
      <c r="G330" t="e">
        <f t="shared" ca="1" si="11"/>
        <v>#VALUE!</v>
      </c>
    </row>
    <row r="331" spans="1:7" ht="15.75" customHeight="1">
      <c r="A331" t="s">
        <v>466</v>
      </c>
      <c r="B331" t="s">
        <v>467</v>
      </c>
      <c r="C331" t="s">
        <v>461</v>
      </c>
      <c r="D331" t="s">
        <v>425</v>
      </c>
      <c r="F331" s="3" t="str">
        <f t="shared" si="10"/>
        <v/>
      </c>
      <c r="G331" t="e">
        <f t="shared" ca="1" si="11"/>
        <v>#VALUE!</v>
      </c>
    </row>
    <row r="332" spans="1:7" ht="15.75" customHeight="1">
      <c r="A332" t="s">
        <v>468</v>
      </c>
      <c r="B332" t="s">
        <v>469</v>
      </c>
      <c r="C332" t="s">
        <v>461</v>
      </c>
      <c r="D332" t="s">
        <v>425</v>
      </c>
      <c r="F332" s="3" t="str">
        <f t="shared" si="10"/>
        <v/>
      </c>
      <c r="G332" t="e">
        <f t="shared" ca="1" si="11"/>
        <v>#VALUE!</v>
      </c>
    </row>
    <row r="333" spans="1:7" ht="15.75" customHeight="1">
      <c r="A333" t="s">
        <v>470</v>
      </c>
      <c r="B333" t="s">
        <v>471</v>
      </c>
      <c r="C333" t="s">
        <v>461</v>
      </c>
      <c r="D333" t="s">
        <v>425</v>
      </c>
      <c r="F333" s="3" t="str">
        <f t="shared" si="10"/>
        <v/>
      </c>
      <c r="G333" t="e">
        <f t="shared" ca="1" si="11"/>
        <v>#VALUE!</v>
      </c>
    </row>
    <row r="334" spans="1:7" ht="15.75" customHeight="1">
      <c r="A334" t="s">
        <v>472</v>
      </c>
      <c r="B334" t="s">
        <v>473</v>
      </c>
      <c r="C334" t="s">
        <v>461</v>
      </c>
      <c r="D334" t="s">
        <v>425</v>
      </c>
      <c r="F334" s="3" t="str">
        <f t="shared" si="10"/>
        <v/>
      </c>
      <c r="G334" t="e">
        <f t="shared" ca="1" si="11"/>
        <v>#VALUE!</v>
      </c>
    </row>
    <row r="335" spans="1:7" ht="15.75" customHeight="1">
      <c r="A335" t="s">
        <v>474</v>
      </c>
      <c r="B335" t="s">
        <v>475</v>
      </c>
      <c r="C335" t="s">
        <v>461</v>
      </c>
      <c r="D335" t="s">
        <v>425</v>
      </c>
      <c r="F335" s="3" t="str">
        <f t="shared" si="10"/>
        <v/>
      </c>
      <c r="G335" t="e">
        <f t="shared" ca="1" si="11"/>
        <v>#VALUE!</v>
      </c>
    </row>
    <row r="336" spans="1:7" ht="15.75" customHeight="1">
      <c r="A336" t="s">
        <v>476</v>
      </c>
      <c r="B336" t="s">
        <v>477</v>
      </c>
      <c r="C336" t="s">
        <v>461</v>
      </c>
      <c r="D336" t="s">
        <v>425</v>
      </c>
      <c r="F336" s="3" t="str">
        <f t="shared" si="10"/>
        <v/>
      </c>
      <c r="G336" t="e">
        <f t="shared" ca="1" si="11"/>
        <v>#VALUE!</v>
      </c>
    </row>
    <row r="337" spans="1:7" ht="15.75" customHeight="1">
      <c r="A337" t="s">
        <v>478</v>
      </c>
      <c r="B337" t="s">
        <v>479</v>
      </c>
      <c r="C337" t="s">
        <v>461</v>
      </c>
      <c r="D337" t="s">
        <v>425</v>
      </c>
      <c r="F337" s="3" t="str">
        <f t="shared" si="10"/>
        <v/>
      </c>
      <c r="G337" t="e">
        <f t="shared" ca="1" si="11"/>
        <v>#VALUE!</v>
      </c>
    </row>
    <row r="338" spans="1:7" ht="15.75" customHeight="1">
      <c r="A338" t="s">
        <v>480</v>
      </c>
      <c r="B338" t="s">
        <v>481</v>
      </c>
      <c r="C338" t="s">
        <v>461</v>
      </c>
      <c r="D338" t="s">
        <v>425</v>
      </c>
      <c r="F338" s="3" t="str">
        <f t="shared" si="10"/>
        <v/>
      </c>
      <c r="G338" t="e">
        <f t="shared" ca="1" si="11"/>
        <v>#VALUE!</v>
      </c>
    </row>
    <row r="339" spans="1:7" ht="15.75" customHeight="1">
      <c r="A339" t="s">
        <v>482</v>
      </c>
      <c r="B339" t="s">
        <v>483</v>
      </c>
      <c r="C339" t="s">
        <v>461</v>
      </c>
      <c r="D339" t="s">
        <v>425</v>
      </c>
      <c r="F339" s="3" t="str">
        <f t="shared" si="10"/>
        <v/>
      </c>
      <c r="G339" t="e">
        <f t="shared" ca="1" si="11"/>
        <v>#VALUE!</v>
      </c>
    </row>
    <row r="340" spans="1:7" ht="15.75" customHeight="1">
      <c r="A340" t="s">
        <v>484</v>
      </c>
      <c r="B340" t="s">
        <v>485</v>
      </c>
      <c r="C340" t="s">
        <v>461</v>
      </c>
      <c r="D340" t="s">
        <v>425</v>
      </c>
      <c r="F340" s="3" t="str">
        <f t="shared" si="10"/>
        <v/>
      </c>
      <c r="G340" t="e">
        <f t="shared" ca="1" si="11"/>
        <v>#VALUE!</v>
      </c>
    </row>
    <row r="341" spans="1:7" ht="15.75" customHeight="1">
      <c r="A341" t="s">
        <v>486</v>
      </c>
      <c r="B341" t="s">
        <v>487</v>
      </c>
      <c r="C341" t="s">
        <v>461</v>
      </c>
      <c r="D341" t="s">
        <v>425</v>
      </c>
      <c r="F341" s="3" t="str">
        <f t="shared" si="10"/>
        <v/>
      </c>
      <c r="G341" t="e">
        <f t="shared" ca="1" si="11"/>
        <v>#VALUE!</v>
      </c>
    </row>
    <row r="342" spans="1:7" ht="15.75" customHeight="1">
      <c r="A342" t="s">
        <v>488</v>
      </c>
      <c r="B342" t="s">
        <v>489</v>
      </c>
      <c r="C342" t="s">
        <v>461</v>
      </c>
      <c r="D342" t="s">
        <v>425</v>
      </c>
      <c r="F342" s="3" t="str">
        <f t="shared" si="10"/>
        <v/>
      </c>
      <c r="G342" t="e">
        <f t="shared" ca="1" si="11"/>
        <v>#VALUE!</v>
      </c>
    </row>
    <row r="343" spans="1:7" ht="15.75" customHeight="1">
      <c r="A343" t="s">
        <v>490</v>
      </c>
      <c r="B343" t="s">
        <v>491</v>
      </c>
      <c r="C343" t="s">
        <v>461</v>
      </c>
      <c r="D343" t="s">
        <v>425</v>
      </c>
      <c r="F343" s="3" t="str">
        <f t="shared" si="10"/>
        <v/>
      </c>
      <c r="G343" t="e">
        <f t="shared" ca="1" si="11"/>
        <v>#VALUE!</v>
      </c>
    </row>
    <row r="344" spans="1:7" ht="15.75" customHeight="1">
      <c r="A344" t="s">
        <v>492</v>
      </c>
      <c r="B344" t="s">
        <v>493</v>
      </c>
      <c r="C344" t="s">
        <v>461</v>
      </c>
      <c r="D344" t="s">
        <v>425</v>
      </c>
      <c r="F344" s="3" t="str">
        <f t="shared" si="10"/>
        <v/>
      </c>
      <c r="G344" t="e">
        <f t="shared" ca="1" si="11"/>
        <v>#VALUE!</v>
      </c>
    </row>
    <row r="345" spans="1:7" ht="15.75" customHeight="1">
      <c r="A345" t="s">
        <v>494</v>
      </c>
      <c r="B345" t="s">
        <v>495</v>
      </c>
      <c r="C345" t="s">
        <v>461</v>
      </c>
      <c r="D345" t="s">
        <v>425</v>
      </c>
      <c r="F345" s="3" t="str">
        <f t="shared" si="10"/>
        <v/>
      </c>
      <c r="G345" t="e">
        <f t="shared" ca="1" si="11"/>
        <v>#VALUE!</v>
      </c>
    </row>
    <row r="346" spans="1:7" ht="15.75" customHeight="1">
      <c r="A346" t="s">
        <v>496</v>
      </c>
      <c r="B346" t="s">
        <v>497</v>
      </c>
      <c r="C346" t="s">
        <v>461</v>
      </c>
      <c r="D346" t="s">
        <v>425</v>
      </c>
      <c r="F346" s="3" t="str">
        <f t="shared" si="10"/>
        <v/>
      </c>
      <c r="G346" t="e">
        <f t="shared" ca="1" si="11"/>
        <v>#VALUE!</v>
      </c>
    </row>
    <row r="347" spans="1:7" ht="15.75" customHeight="1">
      <c r="A347" t="s">
        <v>498</v>
      </c>
      <c r="B347" t="s">
        <v>499</v>
      </c>
      <c r="C347" t="s">
        <v>461</v>
      </c>
      <c r="D347" t="s">
        <v>425</v>
      </c>
      <c r="F347" s="3" t="str">
        <f t="shared" si="10"/>
        <v/>
      </c>
      <c r="G347" t="e">
        <f t="shared" ca="1" si="11"/>
        <v>#VALUE!</v>
      </c>
    </row>
    <row r="348" spans="1:7" ht="15.75" customHeight="1">
      <c r="A348" t="s">
        <v>500</v>
      </c>
      <c r="B348" t="s">
        <v>501</v>
      </c>
      <c r="C348" t="s">
        <v>461</v>
      </c>
      <c r="D348" t="s">
        <v>425</v>
      </c>
      <c r="F348" s="3" t="str">
        <f t="shared" si="10"/>
        <v/>
      </c>
      <c r="G348" t="e">
        <f t="shared" ca="1" si="11"/>
        <v>#VALUE!</v>
      </c>
    </row>
    <row r="349" spans="1:7" ht="15.75" customHeight="1">
      <c r="A349" t="s">
        <v>502</v>
      </c>
      <c r="B349" t="s">
        <v>503</v>
      </c>
      <c r="C349" t="s">
        <v>461</v>
      </c>
      <c r="D349" t="s">
        <v>425</v>
      </c>
      <c r="F349" s="3" t="str">
        <f t="shared" si="10"/>
        <v/>
      </c>
      <c r="G349" t="e">
        <f t="shared" ca="1" si="11"/>
        <v>#VALUE!</v>
      </c>
    </row>
    <row r="350" spans="1:7" ht="15.75" customHeight="1">
      <c r="A350" t="s">
        <v>504</v>
      </c>
      <c r="B350" t="s">
        <v>505</v>
      </c>
      <c r="C350" t="s">
        <v>461</v>
      </c>
      <c r="D350" t="s">
        <v>425</v>
      </c>
      <c r="F350" s="3" t="str">
        <f t="shared" si="10"/>
        <v/>
      </c>
      <c r="G350" t="e">
        <f t="shared" ca="1" si="11"/>
        <v>#VALUE!</v>
      </c>
    </row>
    <row r="351" spans="1:7" ht="15.75" customHeight="1">
      <c r="A351" t="s">
        <v>506</v>
      </c>
      <c r="B351" t="s">
        <v>507</v>
      </c>
      <c r="C351" t="s">
        <v>461</v>
      </c>
      <c r="D351" t="s">
        <v>425</v>
      </c>
      <c r="F351" s="3" t="str">
        <f t="shared" si="10"/>
        <v/>
      </c>
      <c r="G351" t="e">
        <f t="shared" ca="1" si="11"/>
        <v>#VALUE!</v>
      </c>
    </row>
    <row r="352" spans="1:7" ht="15.75" customHeight="1">
      <c r="A352" t="s">
        <v>508</v>
      </c>
      <c r="B352" t="s">
        <v>509</v>
      </c>
      <c r="C352" t="s">
        <v>461</v>
      </c>
      <c r="D352" t="s">
        <v>425</v>
      </c>
      <c r="F352" s="3" t="str">
        <f t="shared" si="10"/>
        <v/>
      </c>
      <c r="G352" t="e">
        <f t="shared" ca="1" si="11"/>
        <v>#VALUE!</v>
      </c>
    </row>
    <row r="353" spans="1:7" ht="15.75" customHeight="1">
      <c r="A353" t="s">
        <v>510</v>
      </c>
      <c r="B353" t="s">
        <v>511</v>
      </c>
      <c r="C353" t="s">
        <v>461</v>
      </c>
      <c r="D353" t="s">
        <v>425</v>
      </c>
      <c r="F353" s="3" t="str">
        <f t="shared" si="10"/>
        <v/>
      </c>
      <c r="G353" t="e">
        <f t="shared" ca="1" si="11"/>
        <v>#VALUE!</v>
      </c>
    </row>
    <row r="354" spans="1:7" ht="15.75" customHeight="1">
      <c r="A354" t="s">
        <v>512</v>
      </c>
      <c r="B354" t="s">
        <v>513</v>
      </c>
      <c r="C354" t="s">
        <v>461</v>
      </c>
      <c r="D354" t="s">
        <v>425</v>
      </c>
      <c r="F354" s="3" t="str">
        <f t="shared" si="10"/>
        <v/>
      </c>
      <c r="G354" t="e">
        <f t="shared" ca="1" si="11"/>
        <v>#VALUE!</v>
      </c>
    </row>
    <row r="355" spans="1:7" ht="15.75" customHeight="1">
      <c r="A355" t="s">
        <v>514</v>
      </c>
      <c r="B355" t="s">
        <v>515</v>
      </c>
      <c r="C355" t="s">
        <v>93</v>
      </c>
      <c r="D355" t="s">
        <v>425</v>
      </c>
      <c r="F355" s="3" t="str">
        <f t="shared" si="10"/>
        <v/>
      </c>
      <c r="G355" t="e">
        <f t="shared" ca="1" si="11"/>
        <v>#VALUE!</v>
      </c>
    </row>
    <row r="356" spans="1:7" ht="15.75" customHeight="1">
      <c r="A356" t="s">
        <v>516</v>
      </c>
      <c r="B356" t="s">
        <v>517</v>
      </c>
      <c r="C356" t="s">
        <v>461</v>
      </c>
      <c r="D356" t="s">
        <v>425</v>
      </c>
      <c r="F356" s="3" t="str">
        <f t="shared" si="10"/>
        <v/>
      </c>
      <c r="G356" t="e">
        <f t="shared" ca="1" si="11"/>
        <v>#VALUE!</v>
      </c>
    </row>
    <row r="357" spans="1:7" ht="15.75" customHeight="1">
      <c r="A357" t="s">
        <v>518</v>
      </c>
      <c r="B357" t="s">
        <v>519</v>
      </c>
      <c r="C357" t="s">
        <v>461</v>
      </c>
      <c r="D357" t="s">
        <v>425</v>
      </c>
      <c r="F357" s="3" t="str">
        <f t="shared" si="10"/>
        <v/>
      </c>
      <c r="G357" t="e">
        <f t="shared" ca="1" si="11"/>
        <v>#VALUE!</v>
      </c>
    </row>
    <row r="358" spans="1:7" ht="15.75" customHeight="1">
      <c r="A358" t="s">
        <v>520</v>
      </c>
      <c r="B358" t="s">
        <v>521</v>
      </c>
      <c r="C358" t="s">
        <v>461</v>
      </c>
      <c r="D358" t="s">
        <v>425</v>
      </c>
      <c r="F358" s="3" t="str">
        <f t="shared" si="10"/>
        <v/>
      </c>
      <c r="G358" t="e">
        <f t="shared" ca="1" si="11"/>
        <v>#VALUE!</v>
      </c>
    </row>
    <row r="359" spans="1:7" ht="15.75" customHeight="1">
      <c r="A359" t="s">
        <v>522</v>
      </c>
      <c r="B359" t="s">
        <v>523</v>
      </c>
      <c r="C359" t="s">
        <v>461</v>
      </c>
      <c r="D359" t="s">
        <v>425</v>
      </c>
      <c r="F359" s="3" t="str">
        <f t="shared" si="10"/>
        <v/>
      </c>
      <c r="G359" t="e">
        <f t="shared" ca="1" si="11"/>
        <v>#VALUE!</v>
      </c>
    </row>
    <row r="360" spans="1:7" ht="15.75" customHeight="1">
      <c r="A360" t="s">
        <v>524</v>
      </c>
      <c r="B360" t="s">
        <v>525</v>
      </c>
      <c r="C360" t="s">
        <v>461</v>
      </c>
      <c r="D360" t="s">
        <v>425</v>
      </c>
      <c r="F360" s="3" t="str">
        <f t="shared" si="10"/>
        <v/>
      </c>
      <c r="G360" t="e">
        <f t="shared" ca="1" si="11"/>
        <v>#VALUE!</v>
      </c>
    </row>
    <row r="361" spans="1:7" ht="15.75" customHeight="1">
      <c r="A361" t="s">
        <v>526</v>
      </c>
      <c r="B361" t="s">
        <v>527</v>
      </c>
      <c r="C361" t="s">
        <v>461</v>
      </c>
      <c r="D361" t="s">
        <v>425</v>
      </c>
      <c r="F361" s="3" t="str">
        <f t="shared" si="10"/>
        <v/>
      </c>
      <c r="G361" t="e">
        <f t="shared" ca="1" si="11"/>
        <v>#VALUE!</v>
      </c>
    </row>
    <row r="362" spans="1:7" ht="15.75" customHeight="1">
      <c r="A362" t="s">
        <v>528</v>
      </c>
      <c r="B362" t="s">
        <v>529</v>
      </c>
      <c r="C362" t="s">
        <v>461</v>
      </c>
      <c r="D362" t="s">
        <v>425</v>
      </c>
      <c r="F362" s="3" t="str">
        <f t="shared" si="10"/>
        <v/>
      </c>
      <c r="G362" t="e">
        <f t="shared" ca="1" si="11"/>
        <v>#VALUE!</v>
      </c>
    </row>
    <row r="363" spans="1:7" ht="15.75" customHeight="1">
      <c r="A363" t="s">
        <v>530</v>
      </c>
      <c r="B363" t="s">
        <v>531</v>
      </c>
      <c r="C363" t="s">
        <v>461</v>
      </c>
      <c r="D363" t="s">
        <v>425</v>
      </c>
      <c r="F363" s="3" t="str">
        <f t="shared" si="10"/>
        <v/>
      </c>
      <c r="G363" t="e">
        <f t="shared" ca="1" si="11"/>
        <v>#VALUE!</v>
      </c>
    </row>
    <row r="364" spans="1:7" ht="15.75" customHeight="1">
      <c r="A364" t="s">
        <v>532</v>
      </c>
      <c r="B364" t="s">
        <v>533</v>
      </c>
      <c r="C364" t="s">
        <v>461</v>
      </c>
      <c r="D364" t="s">
        <v>425</v>
      </c>
      <c r="F364" s="3" t="str">
        <f t="shared" si="10"/>
        <v/>
      </c>
      <c r="G364" t="e">
        <f t="shared" ca="1" si="11"/>
        <v>#VALUE!</v>
      </c>
    </row>
    <row r="365" spans="1:7" ht="15.75" customHeight="1">
      <c r="A365" t="s">
        <v>534</v>
      </c>
      <c r="B365" t="s">
        <v>535</v>
      </c>
      <c r="C365" t="s">
        <v>461</v>
      </c>
      <c r="D365" t="s">
        <v>425</v>
      </c>
      <c r="F365" s="3" t="str">
        <f t="shared" si="10"/>
        <v/>
      </c>
      <c r="G365" t="e">
        <f t="shared" ca="1" si="11"/>
        <v>#VALUE!</v>
      </c>
    </row>
    <row r="366" spans="1:7" ht="15.75" customHeight="1">
      <c r="A366" t="s">
        <v>536</v>
      </c>
      <c r="B366" t="s">
        <v>537</v>
      </c>
      <c r="C366" t="s">
        <v>461</v>
      </c>
      <c r="D366" t="s">
        <v>425</v>
      </c>
      <c r="F366" s="3" t="str">
        <f t="shared" si="10"/>
        <v/>
      </c>
      <c r="G366" t="e">
        <f t="shared" ca="1" si="11"/>
        <v>#VALUE!</v>
      </c>
    </row>
    <row r="367" spans="1:7" ht="15.75" customHeight="1">
      <c r="A367" t="s">
        <v>1033</v>
      </c>
      <c r="B367" t="s">
        <v>1034</v>
      </c>
      <c r="C367" t="s">
        <v>1035</v>
      </c>
      <c r="D367" t="s">
        <v>425</v>
      </c>
      <c r="F367" s="3" t="str">
        <f t="shared" si="10"/>
        <v/>
      </c>
      <c r="G367" t="e">
        <f t="shared" ca="1" si="11"/>
        <v>#VALUE!</v>
      </c>
    </row>
    <row r="368" spans="1:7" ht="15.75" customHeight="1">
      <c r="A368" t="s">
        <v>1036</v>
      </c>
      <c r="B368" t="s">
        <v>1037</v>
      </c>
      <c r="C368" t="s">
        <v>1035</v>
      </c>
      <c r="D368" t="s">
        <v>425</v>
      </c>
      <c r="F368" s="3" t="str">
        <f t="shared" si="10"/>
        <v/>
      </c>
      <c r="G368" t="e">
        <f t="shared" ca="1" si="11"/>
        <v>#VALUE!</v>
      </c>
    </row>
    <row r="369" spans="1:7" ht="15.75" customHeight="1">
      <c r="A369" t="s">
        <v>1038</v>
      </c>
      <c r="B369" t="s">
        <v>1039</v>
      </c>
      <c r="C369" t="s">
        <v>1040</v>
      </c>
      <c r="D369" t="s">
        <v>425</v>
      </c>
      <c r="F369" s="3" t="str">
        <f t="shared" si="10"/>
        <v/>
      </c>
      <c r="G369" t="e">
        <f t="shared" ca="1" si="11"/>
        <v>#VALUE!</v>
      </c>
    </row>
    <row r="370" spans="1:7" ht="15.75" customHeight="1">
      <c r="A370" t="s">
        <v>1041</v>
      </c>
      <c r="B370" t="s">
        <v>1042</v>
      </c>
      <c r="C370" t="s">
        <v>1040</v>
      </c>
      <c r="D370" t="s">
        <v>425</v>
      </c>
      <c r="F370" s="3" t="str">
        <f t="shared" si="10"/>
        <v/>
      </c>
      <c r="G370" t="e">
        <f t="shared" ca="1" si="11"/>
        <v>#VALUE!</v>
      </c>
    </row>
    <row r="371" spans="1:7" ht="15.75" customHeight="1">
      <c r="A371" t="s">
        <v>1043</v>
      </c>
      <c r="B371" t="s">
        <v>1044</v>
      </c>
      <c r="C371" t="s">
        <v>1040</v>
      </c>
      <c r="D371" t="s">
        <v>425</v>
      </c>
      <c r="F371" s="3" t="str">
        <f t="shared" si="10"/>
        <v/>
      </c>
      <c r="G371" t="e">
        <f t="shared" ca="1" si="11"/>
        <v>#VALUE!</v>
      </c>
    </row>
    <row r="372" spans="1:7" ht="15.75" customHeight="1">
      <c r="A372" t="s">
        <v>1045</v>
      </c>
      <c r="B372" t="s">
        <v>1046</v>
      </c>
      <c r="C372" t="s">
        <v>1040</v>
      </c>
      <c r="D372" t="s">
        <v>425</v>
      </c>
      <c r="F372" s="3" t="str">
        <f t="shared" si="10"/>
        <v/>
      </c>
      <c r="G372" t="e">
        <f t="shared" ca="1" si="11"/>
        <v>#VALUE!</v>
      </c>
    </row>
    <row r="373" spans="1:7" ht="15.75" customHeight="1">
      <c r="A373" t="s">
        <v>1047</v>
      </c>
      <c r="B373" t="s">
        <v>1048</v>
      </c>
      <c r="C373" t="s">
        <v>1049</v>
      </c>
      <c r="D373" t="s">
        <v>425</v>
      </c>
      <c r="F373" s="3" t="str">
        <f t="shared" si="10"/>
        <v/>
      </c>
      <c r="G373" t="e">
        <f t="shared" ca="1" si="11"/>
        <v>#VALUE!</v>
      </c>
    </row>
    <row r="374" spans="1:7" ht="15.75" customHeight="1">
      <c r="A374" t="s">
        <v>1050</v>
      </c>
      <c r="B374" t="s">
        <v>1051</v>
      </c>
      <c r="C374" t="s">
        <v>1049</v>
      </c>
      <c r="D374" t="s">
        <v>425</v>
      </c>
      <c r="F374" s="3" t="str">
        <f t="shared" si="10"/>
        <v/>
      </c>
      <c r="G374" t="e">
        <f t="shared" ca="1" si="11"/>
        <v>#VALUE!</v>
      </c>
    </row>
    <row r="375" spans="1:7" ht="15.75" customHeight="1">
      <c r="A375" t="s">
        <v>1052</v>
      </c>
      <c r="B375" t="s">
        <v>1053</v>
      </c>
      <c r="C375" t="s">
        <v>1049</v>
      </c>
      <c r="D375" t="s">
        <v>425</v>
      </c>
      <c r="F375" s="3" t="str">
        <f t="shared" si="10"/>
        <v/>
      </c>
      <c r="G375" t="e">
        <f t="shared" ca="1" si="11"/>
        <v>#VALUE!</v>
      </c>
    </row>
    <row r="376" spans="1:7" ht="15.75" customHeight="1">
      <c r="A376" t="s">
        <v>1054</v>
      </c>
      <c r="B376" t="s">
        <v>1055</v>
      </c>
      <c r="C376" t="s">
        <v>1049</v>
      </c>
      <c r="D376" t="s">
        <v>425</v>
      </c>
      <c r="F376" s="3" t="str">
        <f t="shared" si="10"/>
        <v/>
      </c>
      <c r="G376" t="e">
        <f t="shared" ca="1" si="11"/>
        <v>#VALUE!</v>
      </c>
    </row>
    <row r="377" spans="1:7" ht="15.75" customHeight="1">
      <c r="A377" t="s">
        <v>1056</v>
      </c>
      <c r="B377" t="s">
        <v>1057</v>
      </c>
      <c r="C377" t="s">
        <v>1049</v>
      </c>
      <c r="D377" t="s">
        <v>425</v>
      </c>
      <c r="F377" s="3" t="str">
        <f t="shared" si="10"/>
        <v/>
      </c>
      <c r="G377" t="e">
        <f t="shared" ca="1" si="11"/>
        <v>#VALUE!</v>
      </c>
    </row>
    <row r="378" spans="1:7" ht="15.75" customHeight="1">
      <c r="A378" t="s">
        <v>538</v>
      </c>
      <c r="B378" t="s">
        <v>539</v>
      </c>
      <c r="C378" t="s">
        <v>39</v>
      </c>
      <c r="D378" t="s">
        <v>425</v>
      </c>
      <c r="F378" s="3" t="str">
        <f t="shared" si="10"/>
        <v/>
      </c>
      <c r="G378" t="e">
        <f t="shared" ca="1" si="11"/>
        <v>#VALUE!</v>
      </c>
    </row>
    <row r="379" spans="1:7" ht="15.75" customHeight="1">
      <c r="A379" t="s">
        <v>540</v>
      </c>
      <c r="B379" t="s">
        <v>541</v>
      </c>
      <c r="C379" t="s">
        <v>39</v>
      </c>
      <c r="D379" t="s">
        <v>425</v>
      </c>
      <c r="F379" s="3" t="str">
        <f t="shared" si="10"/>
        <v/>
      </c>
      <c r="G379" t="e">
        <f t="shared" ca="1" si="11"/>
        <v>#VALUE!</v>
      </c>
    </row>
    <row r="380" spans="1:7" ht="15.75" customHeight="1">
      <c r="A380" t="s">
        <v>542</v>
      </c>
      <c r="B380" t="s">
        <v>543</v>
      </c>
      <c r="C380" t="s">
        <v>39</v>
      </c>
      <c r="D380" t="s">
        <v>425</v>
      </c>
      <c r="F380" s="3" t="str">
        <f t="shared" si="10"/>
        <v/>
      </c>
      <c r="G380" t="e">
        <f t="shared" ca="1" si="11"/>
        <v>#VALUE!</v>
      </c>
    </row>
    <row r="381" spans="1:7" ht="15.75" customHeight="1">
      <c r="A381" t="s">
        <v>544</v>
      </c>
      <c r="B381" t="s">
        <v>545</v>
      </c>
      <c r="C381" t="s">
        <v>39</v>
      </c>
      <c r="D381" t="s">
        <v>425</v>
      </c>
      <c r="F381" s="3" t="str">
        <f t="shared" si="10"/>
        <v/>
      </c>
      <c r="G381" t="e">
        <f t="shared" ca="1" si="11"/>
        <v>#VALUE!</v>
      </c>
    </row>
    <row r="382" spans="1:7" ht="15.75" customHeight="1">
      <c r="A382" t="s">
        <v>1058</v>
      </c>
      <c r="B382" t="s">
        <v>1059</v>
      </c>
      <c r="C382" t="s">
        <v>1060</v>
      </c>
      <c r="D382" t="s">
        <v>425</v>
      </c>
      <c r="F382" s="3" t="str">
        <f t="shared" si="10"/>
        <v/>
      </c>
      <c r="G382" t="e">
        <f t="shared" ca="1" si="11"/>
        <v>#VALUE!</v>
      </c>
    </row>
    <row r="383" spans="1:7" ht="15.75" customHeight="1">
      <c r="A383" t="s">
        <v>546</v>
      </c>
      <c r="B383" t="s">
        <v>547</v>
      </c>
      <c r="C383" t="s">
        <v>39</v>
      </c>
      <c r="D383" t="s">
        <v>425</v>
      </c>
      <c r="F383" s="3" t="str">
        <f t="shared" si="10"/>
        <v/>
      </c>
      <c r="G383" t="e">
        <f t="shared" ca="1" si="11"/>
        <v>#VALUE!</v>
      </c>
    </row>
    <row r="384" spans="1:7" ht="15.75" customHeight="1">
      <c r="A384" t="s">
        <v>548</v>
      </c>
      <c r="B384" t="s">
        <v>549</v>
      </c>
      <c r="C384" t="s">
        <v>39</v>
      </c>
      <c r="D384" t="s">
        <v>425</v>
      </c>
      <c r="F384" s="3" t="str">
        <f t="shared" si="10"/>
        <v/>
      </c>
      <c r="G384" t="e">
        <f t="shared" ca="1" si="11"/>
        <v>#VALUE!</v>
      </c>
    </row>
    <row r="385" spans="1:7" ht="15.75" customHeight="1">
      <c r="A385" t="s">
        <v>550</v>
      </c>
      <c r="B385" t="s">
        <v>551</v>
      </c>
      <c r="C385" t="s">
        <v>39</v>
      </c>
      <c r="D385" t="s">
        <v>425</v>
      </c>
      <c r="F385" s="3" t="str">
        <f t="shared" si="10"/>
        <v/>
      </c>
      <c r="G385" t="e">
        <f t="shared" ca="1" si="11"/>
        <v>#VALUE!</v>
      </c>
    </row>
    <row r="386" spans="1:7" ht="15.75" customHeight="1">
      <c r="A386" t="s">
        <v>552</v>
      </c>
      <c r="B386" t="s">
        <v>553</v>
      </c>
      <c r="C386" t="s">
        <v>39</v>
      </c>
      <c r="D386" t="s">
        <v>425</v>
      </c>
      <c r="F386" s="3" t="str">
        <f t="shared" si="10"/>
        <v/>
      </c>
      <c r="G386" t="e">
        <f t="shared" ca="1" si="11"/>
        <v>#VALUE!</v>
      </c>
    </row>
    <row r="387" spans="1:7" ht="15.75" customHeight="1">
      <c r="A387" t="s">
        <v>554</v>
      </c>
      <c r="B387" t="s">
        <v>555</v>
      </c>
      <c r="C387" t="s">
        <v>39</v>
      </c>
      <c r="D387" t="s">
        <v>425</v>
      </c>
      <c r="F387" s="3" t="str">
        <f t="shared" si="10"/>
        <v/>
      </c>
      <c r="G387" t="e">
        <f t="shared" ca="1" si="11"/>
        <v>#VALUE!</v>
      </c>
    </row>
    <row r="388" spans="1:7" ht="15.75" customHeight="1">
      <c r="A388" t="s">
        <v>556</v>
      </c>
      <c r="B388" t="s">
        <v>557</v>
      </c>
      <c r="C388" t="s">
        <v>39</v>
      </c>
      <c r="D388" t="s">
        <v>425</v>
      </c>
      <c r="F388" s="3" t="str">
        <f t="shared" ref="F388:F451" si="12">IF(ISBLANK(E388), "", EDATE(E388, 12))</f>
        <v/>
      </c>
      <c r="G388" t="e">
        <f t="shared" ref="G388:G451" ca="1" si="13">IF(ISBLANK(F388), "", IF(TODAY()&gt;=EDATE(F388, -1), "Due", "Valid"))</f>
        <v>#VALUE!</v>
      </c>
    </row>
    <row r="389" spans="1:7" ht="15.75" customHeight="1">
      <c r="A389" t="s">
        <v>1061</v>
      </c>
      <c r="B389" t="s">
        <v>1062</v>
      </c>
      <c r="C389" t="s">
        <v>1060</v>
      </c>
      <c r="D389" t="s">
        <v>425</v>
      </c>
      <c r="F389" s="3" t="str">
        <f t="shared" si="12"/>
        <v/>
      </c>
      <c r="G389" t="e">
        <f t="shared" ca="1" si="13"/>
        <v>#VALUE!</v>
      </c>
    </row>
    <row r="390" spans="1:7" ht="15.75" customHeight="1">
      <c r="A390" t="s">
        <v>558</v>
      </c>
      <c r="B390" t="s">
        <v>559</v>
      </c>
      <c r="C390" t="s">
        <v>139</v>
      </c>
      <c r="D390" t="s">
        <v>425</v>
      </c>
      <c r="F390" s="3" t="str">
        <f t="shared" si="12"/>
        <v/>
      </c>
      <c r="G390" t="e">
        <f t="shared" ca="1" si="13"/>
        <v>#VALUE!</v>
      </c>
    </row>
    <row r="391" spans="1:7" ht="15.75" customHeight="1">
      <c r="A391" t="s">
        <v>560</v>
      </c>
      <c r="B391" t="s">
        <v>561</v>
      </c>
      <c r="C391" t="s">
        <v>139</v>
      </c>
      <c r="D391" t="s">
        <v>425</v>
      </c>
      <c r="F391" s="3" t="str">
        <f t="shared" si="12"/>
        <v/>
      </c>
      <c r="G391" t="e">
        <f t="shared" ca="1" si="13"/>
        <v>#VALUE!</v>
      </c>
    </row>
    <row r="392" spans="1:7" ht="15.75" customHeight="1">
      <c r="A392" t="s">
        <v>562</v>
      </c>
      <c r="B392" t="s">
        <v>563</v>
      </c>
      <c r="C392" t="s">
        <v>139</v>
      </c>
      <c r="D392" t="s">
        <v>425</v>
      </c>
      <c r="F392" s="3" t="str">
        <f t="shared" si="12"/>
        <v/>
      </c>
      <c r="G392" t="e">
        <f t="shared" ca="1" si="13"/>
        <v>#VALUE!</v>
      </c>
    </row>
    <row r="393" spans="1:7" ht="15.75" customHeight="1">
      <c r="A393" t="s">
        <v>564</v>
      </c>
      <c r="B393" t="s">
        <v>565</v>
      </c>
      <c r="C393" t="s">
        <v>139</v>
      </c>
      <c r="D393" t="s">
        <v>425</v>
      </c>
      <c r="F393" s="3" t="str">
        <f t="shared" si="12"/>
        <v/>
      </c>
      <c r="G393" t="e">
        <f t="shared" ca="1" si="13"/>
        <v>#VALUE!</v>
      </c>
    </row>
    <row r="394" spans="1:7" ht="15.75" customHeight="1">
      <c r="A394" t="s">
        <v>566</v>
      </c>
      <c r="B394" t="s">
        <v>567</v>
      </c>
      <c r="C394" t="s">
        <v>139</v>
      </c>
      <c r="D394" t="s">
        <v>425</v>
      </c>
      <c r="F394" s="3" t="str">
        <f t="shared" si="12"/>
        <v/>
      </c>
      <c r="G394" t="e">
        <f t="shared" ca="1" si="13"/>
        <v>#VALUE!</v>
      </c>
    </row>
    <row r="395" spans="1:7" ht="15.75" customHeight="1">
      <c r="A395" t="s">
        <v>568</v>
      </c>
      <c r="B395" t="s">
        <v>569</v>
      </c>
      <c r="C395" t="s">
        <v>139</v>
      </c>
      <c r="D395" t="s">
        <v>425</v>
      </c>
      <c r="F395" s="3" t="str">
        <f t="shared" si="12"/>
        <v/>
      </c>
      <c r="G395" t="e">
        <f t="shared" ca="1" si="13"/>
        <v>#VALUE!</v>
      </c>
    </row>
    <row r="396" spans="1:7" ht="15.75" customHeight="1">
      <c r="A396" t="s">
        <v>570</v>
      </c>
      <c r="B396" t="s">
        <v>571</v>
      </c>
      <c r="C396" t="s">
        <v>139</v>
      </c>
      <c r="D396" t="s">
        <v>425</v>
      </c>
      <c r="F396" s="3" t="str">
        <f t="shared" si="12"/>
        <v/>
      </c>
      <c r="G396" t="e">
        <f t="shared" ca="1" si="13"/>
        <v>#VALUE!</v>
      </c>
    </row>
    <row r="397" spans="1:7" ht="15.75" customHeight="1">
      <c r="A397" t="s">
        <v>572</v>
      </c>
      <c r="B397" t="s">
        <v>573</v>
      </c>
      <c r="C397" t="s">
        <v>139</v>
      </c>
      <c r="D397" t="s">
        <v>425</v>
      </c>
      <c r="F397" s="3" t="str">
        <f t="shared" si="12"/>
        <v/>
      </c>
      <c r="G397" t="e">
        <f t="shared" ca="1" si="13"/>
        <v>#VALUE!</v>
      </c>
    </row>
    <row r="398" spans="1:7" ht="15.75" customHeight="1">
      <c r="A398" t="s">
        <v>574</v>
      </c>
      <c r="B398" t="s">
        <v>575</v>
      </c>
      <c r="C398" t="s">
        <v>139</v>
      </c>
      <c r="D398" t="s">
        <v>425</v>
      </c>
      <c r="F398" s="3" t="str">
        <f t="shared" si="12"/>
        <v/>
      </c>
      <c r="G398" t="e">
        <f t="shared" ca="1" si="13"/>
        <v>#VALUE!</v>
      </c>
    </row>
    <row r="399" spans="1:7" ht="15.75" customHeight="1">
      <c r="A399" t="s">
        <v>576</v>
      </c>
      <c r="B399" t="s">
        <v>577</v>
      </c>
      <c r="C399" t="s">
        <v>139</v>
      </c>
      <c r="D399" t="s">
        <v>425</v>
      </c>
      <c r="F399" s="3" t="str">
        <f t="shared" si="12"/>
        <v/>
      </c>
      <c r="G399" t="e">
        <f t="shared" ca="1" si="13"/>
        <v>#VALUE!</v>
      </c>
    </row>
    <row r="400" spans="1:7" ht="15.75" customHeight="1">
      <c r="A400" t="s">
        <v>578</v>
      </c>
      <c r="B400" t="s">
        <v>579</v>
      </c>
      <c r="C400" t="s">
        <v>139</v>
      </c>
      <c r="D400" t="s">
        <v>425</v>
      </c>
      <c r="F400" s="3" t="str">
        <f t="shared" si="12"/>
        <v/>
      </c>
      <c r="G400" t="e">
        <f t="shared" ca="1" si="13"/>
        <v>#VALUE!</v>
      </c>
    </row>
    <row r="401" spans="1:7" ht="15.75" customHeight="1">
      <c r="A401" t="s">
        <v>580</v>
      </c>
      <c r="B401" t="s">
        <v>581</v>
      </c>
      <c r="C401" t="s">
        <v>139</v>
      </c>
      <c r="D401" t="s">
        <v>425</v>
      </c>
      <c r="F401" s="3" t="str">
        <f t="shared" si="12"/>
        <v/>
      </c>
      <c r="G401" t="e">
        <f t="shared" ca="1" si="13"/>
        <v>#VALUE!</v>
      </c>
    </row>
    <row r="402" spans="1:7" ht="15.75" customHeight="1">
      <c r="A402" t="s">
        <v>582</v>
      </c>
      <c r="B402" t="s">
        <v>583</v>
      </c>
      <c r="C402" t="s">
        <v>64</v>
      </c>
      <c r="D402" t="s">
        <v>425</v>
      </c>
      <c r="F402" s="3" t="str">
        <f t="shared" si="12"/>
        <v/>
      </c>
      <c r="G402" t="e">
        <f t="shared" ca="1" si="13"/>
        <v>#VALUE!</v>
      </c>
    </row>
    <row r="403" spans="1:7" ht="15.75" customHeight="1">
      <c r="A403" t="s">
        <v>1063</v>
      </c>
      <c r="B403" t="s">
        <v>1064</v>
      </c>
      <c r="C403" t="s">
        <v>1060</v>
      </c>
      <c r="D403" t="s">
        <v>425</v>
      </c>
      <c r="F403" s="3" t="str">
        <f t="shared" si="12"/>
        <v/>
      </c>
      <c r="G403" t="e">
        <f t="shared" ca="1" si="13"/>
        <v>#VALUE!</v>
      </c>
    </row>
    <row r="404" spans="1:7" ht="15.75" customHeight="1">
      <c r="A404" t="s">
        <v>584</v>
      </c>
      <c r="B404" t="s">
        <v>585</v>
      </c>
      <c r="C404" t="s">
        <v>64</v>
      </c>
      <c r="D404" t="s">
        <v>425</v>
      </c>
      <c r="F404" s="3" t="str">
        <f t="shared" si="12"/>
        <v/>
      </c>
      <c r="G404" t="e">
        <f t="shared" ca="1" si="13"/>
        <v>#VALUE!</v>
      </c>
    </row>
    <row r="405" spans="1:7" ht="15.75" customHeight="1">
      <c r="A405" t="s">
        <v>586</v>
      </c>
      <c r="B405" t="s">
        <v>587</v>
      </c>
      <c r="C405" t="s">
        <v>64</v>
      </c>
      <c r="D405" t="s">
        <v>425</v>
      </c>
      <c r="F405" s="3" t="str">
        <f t="shared" si="12"/>
        <v/>
      </c>
      <c r="G405" t="e">
        <f t="shared" ca="1" si="13"/>
        <v>#VALUE!</v>
      </c>
    </row>
    <row r="406" spans="1:7" ht="15.75" customHeight="1">
      <c r="A406" t="s">
        <v>1065</v>
      </c>
      <c r="B406" t="s">
        <v>1066</v>
      </c>
      <c r="C406" t="s">
        <v>1060</v>
      </c>
      <c r="D406" t="s">
        <v>425</v>
      </c>
      <c r="F406" s="3" t="str">
        <f t="shared" si="12"/>
        <v/>
      </c>
      <c r="G406" t="e">
        <f t="shared" ca="1" si="13"/>
        <v>#VALUE!</v>
      </c>
    </row>
    <row r="407" spans="1:7" ht="15.75" customHeight="1">
      <c r="A407" t="s">
        <v>588</v>
      </c>
      <c r="B407" t="s">
        <v>589</v>
      </c>
      <c r="C407" t="s">
        <v>438</v>
      </c>
      <c r="D407" t="s">
        <v>425</v>
      </c>
      <c r="F407" s="3" t="str">
        <f t="shared" si="12"/>
        <v/>
      </c>
      <c r="G407" t="e">
        <f t="shared" ca="1" si="13"/>
        <v>#VALUE!</v>
      </c>
    </row>
    <row r="408" spans="1:7" ht="15.75" customHeight="1">
      <c r="A408" t="s">
        <v>590</v>
      </c>
      <c r="B408" t="s">
        <v>591</v>
      </c>
      <c r="C408" t="s">
        <v>592</v>
      </c>
      <c r="D408" t="s">
        <v>425</v>
      </c>
      <c r="F408" s="3" t="str">
        <f t="shared" si="12"/>
        <v/>
      </c>
      <c r="G408" t="e">
        <f t="shared" ca="1" si="13"/>
        <v>#VALUE!</v>
      </c>
    </row>
    <row r="409" spans="1:7" ht="15.75" customHeight="1">
      <c r="A409" t="s">
        <v>593</v>
      </c>
      <c r="B409" t="s">
        <v>594</v>
      </c>
      <c r="C409" t="s">
        <v>168</v>
      </c>
      <c r="D409" t="s">
        <v>425</v>
      </c>
      <c r="F409" s="3" t="str">
        <f t="shared" si="12"/>
        <v/>
      </c>
      <c r="G409" t="e">
        <f t="shared" ca="1" si="13"/>
        <v>#VALUE!</v>
      </c>
    </row>
    <row r="410" spans="1:7" ht="15.75" customHeight="1">
      <c r="A410" t="s">
        <v>595</v>
      </c>
      <c r="B410" t="s">
        <v>596</v>
      </c>
      <c r="C410" t="s">
        <v>592</v>
      </c>
      <c r="D410" t="s">
        <v>425</v>
      </c>
      <c r="F410" s="3" t="str">
        <f t="shared" si="12"/>
        <v/>
      </c>
      <c r="G410" t="e">
        <f t="shared" ca="1" si="13"/>
        <v>#VALUE!</v>
      </c>
    </row>
    <row r="411" spans="1:7" ht="15.75" customHeight="1">
      <c r="A411" t="s">
        <v>597</v>
      </c>
      <c r="B411" t="s">
        <v>598</v>
      </c>
      <c r="C411" t="s">
        <v>168</v>
      </c>
      <c r="D411" t="s">
        <v>425</v>
      </c>
      <c r="F411" s="3" t="str">
        <f t="shared" si="12"/>
        <v/>
      </c>
      <c r="G411" t="e">
        <f t="shared" ca="1" si="13"/>
        <v>#VALUE!</v>
      </c>
    </row>
    <row r="412" spans="1:7" ht="15.75" customHeight="1">
      <c r="A412" t="s">
        <v>599</v>
      </c>
      <c r="B412" t="s">
        <v>600</v>
      </c>
      <c r="C412" t="s">
        <v>64</v>
      </c>
      <c r="D412" t="s">
        <v>425</v>
      </c>
      <c r="F412" s="3" t="str">
        <f t="shared" si="12"/>
        <v/>
      </c>
      <c r="G412" t="e">
        <f t="shared" ca="1" si="13"/>
        <v>#VALUE!</v>
      </c>
    </row>
    <row r="413" spans="1:7" ht="15.75" customHeight="1">
      <c r="A413" t="s">
        <v>601</v>
      </c>
      <c r="B413" t="s">
        <v>602</v>
      </c>
      <c r="C413" t="s">
        <v>82</v>
      </c>
      <c r="D413" t="s">
        <v>425</v>
      </c>
      <c r="F413" s="3" t="str">
        <f t="shared" si="12"/>
        <v/>
      </c>
      <c r="G413" t="e">
        <f t="shared" ca="1" si="13"/>
        <v>#VALUE!</v>
      </c>
    </row>
    <row r="414" spans="1:7" ht="15.75" customHeight="1">
      <c r="A414" t="s">
        <v>603</v>
      </c>
      <c r="B414" t="s">
        <v>604</v>
      </c>
      <c r="C414" t="s">
        <v>15</v>
      </c>
      <c r="D414" t="s">
        <v>425</v>
      </c>
      <c r="F414" s="3" t="str">
        <f t="shared" si="12"/>
        <v/>
      </c>
      <c r="G414" t="e">
        <f t="shared" ca="1" si="13"/>
        <v>#VALUE!</v>
      </c>
    </row>
    <row r="415" spans="1:7" ht="15.75" customHeight="1">
      <c r="A415" t="s">
        <v>605</v>
      </c>
      <c r="B415" t="s">
        <v>606</v>
      </c>
      <c r="C415" t="s">
        <v>607</v>
      </c>
      <c r="D415" t="s">
        <v>425</v>
      </c>
      <c r="F415" s="3" t="str">
        <f t="shared" si="12"/>
        <v/>
      </c>
      <c r="G415" t="e">
        <f t="shared" ca="1" si="13"/>
        <v>#VALUE!</v>
      </c>
    </row>
    <row r="416" spans="1:7" ht="15.75" customHeight="1">
      <c r="A416" t="s">
        <v>1067</v>
      </c>
      <c r="B416" t="s">
        <v>1068</v>
      </c>
      <c r="C416" t="s">
        <v>1069</v>
      </c>
      <c r="D416" t="s">
        <v>425</v>
      </c>
      <c r="F416" s="3" t="str">
        <f t="shared" si="12"/>
        <v/>
      </c>
      <c r="G416" t="e">
        <f t="shared" ca="1" si="13"/>
        <v>#VALUE!</v>
      </c>
    </row>
    <row r="417" spans="1:7" ht="15.75" customHeight="1">
      <c r="A417" t="s">
        <v>1070</v>
      </c>
      <c r="B417" t="s">
        <v>1071</v>
      </c>
      <c r="C417" t="s">
        <v>1069</v>
      </c>
      <c r="D417" t="s">
        <v>425</v>
      </c>
      <c r="F417" s="3" t="str">
        <f t="shared" si="12"/>
        <v/>
      </c>
      <c r="G417" t="e">
        <f t="shared" ca="1" si="13"/>
        <v>#VALUE!</v>
      </c>
    </row>
    <row r="418" spans="1:7" ht="15.75" customHeight="1">
      <c r="A418" t="s">
        <v>1072</v>
      </c>
      <c r="B418" t="s">
        <v>1073</v>
      </c>
      <c r="C418" t="s">
        <v>959</v>
      </c>
      <c r="D418" t="s">
        <v>425</v>
      </c>
      <c r="F418" s="3" t="str">
        <f t="shared" si="12"/>
        <v/>
      </c>
      <c r="G418" t="e">
        <f t="shared" ca="1" si="13"/>
        <v>#VALUE!</v>
      </c>
    </row>
    <row r="419" spans="1:7" ht="15.75" customHeight="1">
      <c r="A419" t="s">
        <v>1074</v>
      </c>
      <c r="B419" t="s">
        <v>1075</v>
      </c>
      <c r="C419" t="s">
        <v>966</v>
      </c>
      <c r="D419" t="s">
        <v>425</v>
      </c>
      <c r="F419" s="3" t="str">
        <f t="shared" si="12"/>
        <v/>
      </c>
      <c r="G419" t="e">
        <f t="shared" ca="1" si="13"/>
        <v>#VALUE!</v>
      </c>
    </row>
    <row r="420" spans="1:7" ht="15.75" customHeight="1">
      <c r="A420" t="s">
        <v>1076</v>
      </c>
      <c r="B420" t="s">
        <v>1077</v>
      </c>
      <c r="C420" t="s">
        <v>971</v>
      </c>
      <c r="D420" t="s">
        <v>425</v>
      </c>
      <c r="F420" s="3" t="str">
        <f t="shared" si="12"/>
        <v/>
      </c>
      <c r="G420" t="e">
        <f t="shared" ca="1" si="13"/>
        <v>#VALUE!</v>
      </c>
    </row>
    <row r="421" spans="1:7" ht="15.75" customHeight="1">
      <c r="A421" t="s">
        <v>1078</v>
      </c>
      <c r="B421" t="s">
        <v>1079</v>
      </c>
      <c r="C421" t="s">
        <v>982</v>
      </c>
      <c r="D421" t="s">
        <v>425</v>
      </c>
      <c r="F421" s="3" t="str">
        <f t="shared" si="12"/>
        <v/>
      </c>
      <c r="G421" t="e">
        <f t="shared" ca="1" si="13"/>
        <v>#VALUE!</v>
      </c>
    </row>
    <row r="422" spans="1:7" ht="15.75" customHeight="1">
      <c r="A422" t="s">
        <v>1080</v>
      </c>
      <c r="B422" t="s">
        <v>1081</v>
      </c>
      <c r="C422" t="s">
        <v>982</v>
      </c>
      <c r="D422" t="s">
        <v>425</v>
      </c>
      <c r="F422" s="3" t="str">
        <f t="shared" si="12"/>
        <v/>
      </c>
      <c r="G422" t="e">
        <f t="shared" ca="1" si="13"/>
        <v>#VALUE!</v>
      </c>
    </row>
    <row r="423" spans="1:7" ht="15.75" customHeight="1">
      <c r="A423" t="s">
        <v>1082</v>
      </c>
      <c r="B423" t="s">
        <v>1083</v>
      </c>
      <c r="C423" t="s">
        <v>991</v>
      </c>
      <c r="D423" t="s">
        <v>425</v>
      </c>
      <c r="F423" s="3" t="str">
        <f t="shared" si="12"/>
        <v/>
      </c>
      <c r="G423" t="e">
        <f t="shared" ca="1" si="13"/>
        <v>#VALUE!</v>
      </c>
    </row>
    <row r="424" spans="1:7" ht="15.75" customHeight="1">
      <c r="A424" t="s">
        <v>1084</v>
      </c>
      <c r="B424" t="s">
        <v>1085</v>
      </c>
      <c r="C424" t="s">
        <v>1001</v>
      </c>
      <c r="D424" t="s">
        <v>425</v>
      </c>
      <c r="F424" s="3" t="str">
        <f t="shared" si="12"/>
        <v/>
      </c>
      <c r="G424" t="e">
        <f t="shared" ca="1" si="13"/>
        <v>#VALUE!</v>
      </c>
    </row>
    <row r="425" spans="1:7" ht="15.75" customHeight="1">
      <c r="A425" t="s">
        <v>1086</v>
      </c>
      <c r="B425" t="s">
        <v>1087</v>
      </c>
      <c r="C425" t="s">
        <v>1007</v>
      </c>
      <c r="D425" t="s">
        <v>425</v>
      </c>
      <c r="F425" s="3" t="str">
        <f t="shared" si="12"/>
        <v/>
      </c>
      <c r="G425" t="e">
        <f t="shared" ca="1" si="13"/>
        <v>#VALUE!</v>
      </c>
    </row>
    <row r="426" spans="1:7" ht="15.75" customHeight="1">
      <c r="A426" t="s">
        <v>1088</v>
      </c>
      <c r="B426" t="s">
        <v>1089</v>
      </c>
      <c r="C426" t="s">
        <v>1090</v>
      </c>
      <c r="D426" t="s">
        <v>425</v>
      </c>
      <c r="F426" s="3" t="str">
        <f t="shared" si="12"/>
        <v/>
      </c>
      <c r="G426" t="e">
        <f t="shared" ca="1" si="13"/>
        <v>#VALUE!</v>
      </c>
    </row>
    <row r="427" spans="1:7" ht="15.75" customHeight="1">
      <c r="A427" t="s">
        <v>1091</v>
      </c>
      <c r="B427" t="s">
        <v>1092</v>
      </c>
      <c r="C427" t="s">
        <v>1017</v>
      </c>
      <c r="D427" t="s">
        <v>425</v>
      </c>
      <c r="F427" s="3" t="str">
        <f t="shared" si="12"/>
        <v/>
      </c>
      <c r="G427" t="e">
        <f t="shared" ca="1" si="13"/>
        <v>#VALUE!</v>
      </c>
    </row>
    <row r="428" spans="1:7" ht="15.75" customHeight="1">
      <c r="A428" t="s">
        <v>1093</v>
      </c>
      <c r="B428" t="s">
        <v>1094</v>
      </c>
      <c r="C428" t="s">
        <v>1017</v>
      </c>
      <c r="D428" t="s">
        <v>425</v>
      </c>
      <c r="F428" s="3" t="str">
        <f t="shared" si="12"/>
        <v/>
      </c>
      <c r="G428" t="e">
        <f t="shared" ca="1" si="13"/>
        <v>#VALUE!</v>
      </c>
    </row>
    <row r="429" spans="1:7" ht="15.75" customHeight="1">
      <c r="A429" t="s">
        <v>608</v>
      </c>
      <c r="B429" t="s">
        <v>609</v>
      </c>
      <c r="C429" t="s">
        <v>441</v>
      </c>
      <c r="D429" t="s">
        <v>425</v>
      </c>
      <c r="F429" s="3" t="str">
        <f t="shared" si="12"/>
        <v/>
      </c>
      <c r="G429" t="e">
        <f t="shared" ca="1" si="13"/>
        <v>#VALUE!</v>
      </c>
    </row>
    <row r="430" spans="1:7" ht="15.75" customHeight="1">
      <c r="A430" t="s">
        <v>1095</v>
      </c>
      <c r="B430" t="s">
        <v>1096</v>
      </c>
      <c r="C430" t="s">
        <v>1032</v>
      </c>
      <c r="D430" t="s">
        <v>425</v>
      </c>
      <c r="F430" s="3" t="str">
        <f t="shared" si="12"/>
        <v/>
      </c>
      <c r="G430" t="e">
        <f t="shared" ca="1" si="13"/>
        <v>#VALUE!</v>
      </c>
    </row>
    <row r="431" spans="1:7" ht="15.75" customHeight="1">
      <c r="A431" t="s">
        <v>610</v>
      </c>
      <c r="B431" t="s">
        <v>611</v>
      </c>
      <c r="C431" t="s">
        <v>461</v>
      </c>
      <c r="D431" t="s">
        <v>425</v>
      </c>
      <c r="F431" s="3" t="str">
        <f t="shared" si="12"/>
        <v/>
      </c>
      <c r="G431" t="e">
        <f t="shared" ca="1" si="13"/>
        <v>#VALUE!</v>
      </c>
    </row>
    <row r="432" spans="1:7" ht="15.75" customHeight="1">
      <c r="A432" t="s">
        <v>612</v>
      </c>
      <c r="B432" t="s">
        <v>613</v>
      </c>
      <c r="C432" t="s">
        <v>461</v>
      </c>
      <c r="D432" t="s">
        <v>425</v>
      </c>
      <c r="F432" s="3" t="str">
        <f t="shared" si="12"/>
        <v/>
      </c>
      <c r="G432" t="e">
        <f t="shared" ca="1" si="13"/>
        <v>#VALUE!</v>
      </c>
    </row>
    <row r="433" spans="1:7" ht="15.75" customHeight="1">
      <c r="A433" t="s">
        <v>614</v>
      </c>
      <c r="B433" t="s">
        <v>615</v>
      </c>
      <c r="C433" t="s">
        <v>461</v>
      </c>
      <c r="D433" t="s">
        <v>425</v>
      </c>
      <c r="F433" s="3" t="str">
        <f t="shared" si="12"/>
        <v/>
      </c>
      <c r="G433" t="e">
        <f t="shared" ca="1" si="13"/>
        <v>#VALUE!</v>
      </c>
    </row>
    <row r="434" spans="1:7" ht="15.75" customHeight="1">
      <c r="A434" t="s">
        <v>616</v>
      </c>
      <c r="B434" t="s">
        <v>617</v>
      </c>
      <c r="C434" t="s">
        <v>461</v>
      </c>
      <c r="D434" t="s">
        <v>425</v>
      </c>
      <c r="F434" s="3" t="str">
        <f t="shared" si="12"/>
        <v/>
      </c>
      <c r="G434" t="e">
        <f t="shared" ca="1" si="13"/>
        <v>#VALUE!</v>
      </c>
    </row>
    <row r="435" spans="1:7" ht="15.75" customHeight="1">
      <c r="A435" t="s">
        <v>618</v>
      </c>
      <c r="B435" t="s">
        <v>289</v>
      </c>
      <c r="C435" t="s">
        <v>461</v>
      </c>
      <c r="D435" t="s">
        <v>425</v>
      </c>
      <c r="F435" s="3" t="str">
        <f t="shared" si="12"/>
        <v/>
      </c>
      <c r="G435" t="e">
        <f t="shared" ca="1" si="13"/>
        <v>#VALUE!</v>
      </c>
    </row>
    <row r="436" spans="1:7" ht="15.75" customHeight="1">
      <c r="A436" t="s">
        <v>619</v>
      </c>
      <c r="B436" t="s">
        <v>620</v>
      </c>
      <c r="C436" t="s">
        <v>461</v>
      </c>
      <c r="D436" t="s">
        <v>425</v>
      </c>
      <c r="F436" s="3" t="str">
        <f t="shared" si="12"/>
        <v/>
      </c>
      <c r="G436" t="e">
        <f t="shared" ca="1" si="13"/>
        <v>#VALUE!</v>
      </c>
    </row>
    <row r="437" spans="1:7" ht="15.75" customHeight="1">
      <c r="A437" t="s">
        <v>621</v>
      </c>
      <c r="B437" t="s">
        <v>622</v>
      </c>
      <c r="C437" t="s">
        <v>461</v>
      </c>
      <c r="D437" t="s">
        <v>425</v>
      </c>
      <c r="F437" s="3" t="str">
        <f t="shared" si="12"/>
        <v/>
      </c>
      <c r="G437" t="e">
        <f t="shared" ca="1" si="13"/>
        <v>#VALUE!</v>
      </c>
    </row>
    <row r="438" spans="1:7" ht="15.75" customHeight="1">
      <c r="A438" t="s">
        <v>1097</v>
      </c>
      <c r="B438" t="s">
        <v>1098</v>
      </c>
      <c r="C438" t="s">
        <v>1035</v>
      </c>
      <c r="D438" t="s">
        <v>425</v>
      </c>
      <c r="F438" s="3" t="str">
        <f t="shared" si="12"/>
        <v/>
      </c>
      <c r="G438" t="e">
        <f t="shared" ca="1" si="13"/>
        <v>#VALUE!</v>
      </c>
    </row>
    <row r="439" spans="1:7" ht="15.75" customHeight="1">
      <c r="A439" t="s">
        <v>1099</v>
      </c>
      <c r="B439" t="s">
        <v>1100</v>
      </c>
      <c r="C439" t="s">
        <v>1040</v>
      </c>
      <c r="D439" t="s">
        <v>425</v>
      </c>
      <c r="F439" s="3" t="str">
        <f t="shared" si="12"/>
        <v/>
      </c>
      <c r="G439" t="e">
        <f t="shared" ca="1" si="13"/>
        <v>#VALUE!</v>
      </c>
    </row>
    <row r="440" spans="1:7" ht="15.75" customHeight="1">
      <c r="A440" t="s">
        <v>1101</v>
      </c>
      <c r="B440" t="s">
        <v>1102</v>
      </c>
      <c r="C440" t="s">
        <v>1040</v>
      </c>
      <c r="D440" t="s">
        <v>425</v>
      </c>
      <c r="F440" s="3" t="str">
        <f t="shared" si="12"/>
        <v/>
      </c>
      <c r="G440" t="e">
        <f t="shared" ca="1" si="13"/>
        <v>#VALUE!</v>
      </c>
    </row>
    <row r="441" spans="1:7" ht="15.75" customHeight="1">
      <c r="A441" t="s">
        <v>623</v>
      </c>
      <c r="B441" t="s">
        <v>624</v>
      </c>
      <c r="C441" t="s">
        <v>39</v>
      </c>
      <c r="D441" t="s">
        <v>425</v>
      </c>
      <c r="F441" s="3" t="str">
        <f t="shared" si="12"/>
        <v/>
      </c>
      <c r="G441" t="e">
        <f t="shared" ca="1" si="13"/>
        <v>#VALUE!</v>
      </c>
    </row>
    <row r="442" spans="1:7" ht="15.75" customHeight="1">
      <c r="A442" t="s">
        <v>625</v>
      </c>
      <c r="B442" t="s">
        <v>626</v>
      </c>
      <c r="C442" t="s">
        <v>39</v>
      </c>
      <c r="D442" t="s">
        <v>425</v>
      </c>
      <c r="F442" s="3" t="str">
        <f t="shared" si="12"/>
        <v/>
      </c>
      <c r="G442" t="e">
        <f t="shared" ca="1" si="13"/>
        <v>#VALUE!</v>
      </c>
    </row>
    <row r="443" spans="1:7" ht="15.75" customHeight="1">
      <c r="A443" t="s">
        <v>627</v>
      </c>
      <c r="B443" t="s">
        <v>628</v>
      </c>
      <c r="C443" t="s">
        <v>139</v>
      </c>
      <c r="D443" t="s">
        <v>425</v>
      </c>
      <c r="F443" s="3" t="str">
        <f t="shared" si="12"/>
        <v/>
      </c>
      <c r="G443" t="e">
        <f t="shared" ca="1" si="13"/>
        <v>#VALUE!</v>
      </c>
    </row>
    <row r="444" spans="1:7" ht="15.75" customHeight="1">
      <c r="A444" t="s">
        <v>629</v>
      </c>
      <c r="B444" t="s">
        <v>630</v>
      </c>
      <c r="C444" t="s">
        <v>139</v>
      </c>
      <c r="D444" t="s">
        <v>425</v>
      </c>
      <c r="F444" s="3" t="str">
        <f t="shared" si="12"/>
        <v/>
      </c>
      <c r="G444" t="e">
        <f t="shared" ca="1" si="13"/>
        <v>#VALUE!</v>
      </c>
    </row>
    <row r="445" spans="1:7" ht="15.75" customHeight="1">
      <c r="A445" t="s">
        <v>631</v>
      </c>
      <c r="B445" t="s">
        <v>632</v>
      </c>
      <c r="C445" t="s">
        <v>139</v>
      </c>
      <c r="D445" t="s">
        <v>425</v>
      </c>
      <c r="F445" s="3" t="str">
        <f t="shared" si="12"/>
        <v/>
      </c>
      <c r="G445" t="e">
        <f t="shared" ca="1" si="13"/>
        <v>#VALUE!</v>
      </c>
    </row>
    <row r="446" spans="1:7" ht="15.75" customHeight="1">
      <c r="A446" t="s">
        <v>633</v>
      </c>
      <c r="B446" t="s">
        <v>634</v>
      </c>
      <c r="C446" t="s">
        <v>168</v>
      </c>
      <c r="D446" t="s">
        <v>425</v>
      </c>
      <c r="F446" s="3" t="str">
        <f t="shared" si="12"/>
        <v/>
      </c>
      <c r="G446" t="e">
        <f t="shared" ca="1" si="13"/>
        <v>#VALUE!</v>
      </c>
    </row>
    <row r="447" spans="1:7" ht="15.75" customHeight="1">
      <c r="A447" t="s">
        <v>635</v>
      </c>
      <c r="B447" t="s">
        <v>636</v>
      </c>
      <c r="C447" t="s">
        <v>607</v>
      </c>
      <c r="D447" t="s">
        <v>425</v>
      </c>
      <c r="F447" s="3" t="str">
        <f t="shared" si="12"/>
        <v/>
      </c>
      <c r="G447" t="e">
        <f t="shared" ca="1" si="13"/>
        <v>#VALUE!</v>
      </c>
    </row>
    <row r="448" spans="1:7" ht="15.75" customHeight="1">
      <c r="A448" t="s">
        <v>637</v>
      </c>
      <c r="B448" t="s">
        <v>638</v>
      </c>
      <c r="C448" t="s">
        <v>607</v>
      </c>
      <c r="D448" t="s">
        <v>425</v>
      </c>
      <c r="F448" s="3" t="str">
        <f t="shared" si="12"/>
        <v/>
      </c>
      <c r="G448" t="e">
        <f t="shared" ca="1" si="13"/>
        <v>#VALUE!</v>
      </c>
    </row>
    <row r="449" spans="1:7" ht="15.75" customHeight="1">
      <c r="A449" t="s">
        <v>639</v>
      </c>
      <c r="B449" t="s">
        <v>640</v>
      </c>
      <c r="C449" t="s">
        <v>641</v>
      </c>
      <c r="D449" t="s">
        <v>425</v>
      </c>
      <c r="F449" s="3" t="str">
        <f t="shared" si="12"/>
        <v/>
      </c>
      <c r="G449" t="e">
        <f t="shared" ca="1" si="13"/>
        <v>#VALUE!</v>
      </c>
    </row>
    <row r="450" spans="1:7" ht="15.75" customHeight="1">
      <c r="A450" t="s">
        <v>1103</v>
      </c>
      <c r="B450" t="s">
        <v>1104</v>
      </c>
      <c r="C450" t="s">
        <v>998</v>
      </c>
      <c r="D450" t="s">
        <v>425</v>
      </c>
      <c r="F450" s="3" t="str">
        <f t="shared" si="12"/>
        <v/>
      </c>
      <c r="G450" t="e">
        <f t="shared" ca="1" si="13"/>
        <v>#VALUE!</v>
      </c>
    </row>
    <row r="451" spans="1:7" ht="15.75" customHeight="1">
      <c r="A451" t="s">
        <v>1105</v>
      </c>
      <c r="B451" t="s">
        <v>1106</v>
      </c>
      <c r="C451" t="s">
        <v>1107</v>
      </c>
      <c r="D451" t="s">
        <v>425</v>
      </c>
      <c r="F451" s="3" t="str">
        <f t="shared" si="12"/>
        <v/>
      </c>
      <c r="G451" t="e">
        <f t="shared" ca="1" si="13"/>
        <v>#VALUE!</v>
      </c>
    </row>
    <row r="452" spans="1:7" ht="15.75" customHeight="1">
      <c r="A452" t="s">
        <v>1108</v>
      </c>
      <c r="B452" t="s">
        <v>1109</v>
      </c>
      <c r="C452" t="s">
        <v>1029</v>
      </c>
      <c r="D452" t="s">
        <v>425</v>
      </c>
      <c r="F452" s="3" t="str">
        <f t="shared" ref="F452:F479" si="14">IF(ISBLANK(E452), "", EDATE(E452, 12))</f>
        <v/>
      </c>
      <c r="G452" t="e">
        <f t="shared" ref="G452:G479" ca="1" si="15">IF(ISBLANK(F452), "", IF(TODAY()&gt;=EDATE(F452, -1), "Due", "Valid"))</f>
        <v>#VALUE!</v>
      </c>
    </row>
    <row r="453" spans="1:7" ht="15.75" customHeight="1">
      <c r="A453" t="s">
        <v>642</v>
      </c>
      <c r="B453" t="s">
        <v>643</v>
      </c>
      <c r="C453" t="s">
        <v>139</v>
      </c>
      <c r="D453" t="s">
        <v>425</v>
      </c>
      <c r="F453" s="3" t="str">
        <f t="shared" si="14"/>
        <v/>
      </c>
      <c r="G453" t="e">
        <f t="shared" ca="1" si="15"/>
        <v>#VALUE!</v>
      </c>
    </row>
    <row r="454" spans="1:7" ht="15.75" customHeight="1">
      <c r="A454" t="s">
        <v>1110</v>
      </c>
      <c r="B454" t="s">
        <v>1111</v>
      </c>
      <c r="C454" t="s">
        <v>1112</v>
      </c>
      <c r="D454" t="s">
        <v>425</v>
      </c>
      <c r="F454" s="3" t="str">
        <f t="shared" si="14"/>
        <v/>
      </c>
      <c r="G454" t="e">
        <f t="shared" ca="1" si="15"/>
        <v>#VALUE!</v>
      </c>
    </row>
    <row r="455" spans="1:7" ht="15.75" customHeight="1">
      <c r="A455" t="s">
        <v>1113</v>
      </c>
      <c r="B455" t="s">
        <v>1114</v>
      </c>
      <c r="C455" t="s">
        <v>1115</v>
      </c>
      <c r="D455" t="s">
        <v>425</v>
      </c>
      <c r="F455" s="3" t="str">
        <f t="shared" si="14"/>
        <v/>
      </c>
      <c r="G455" t="e">
        <f t="shared" ca="1" si="15"/>
        <v>#VALUE!</v>
      </c>
    </row>
    <row r="456" spans="1:7" ht="15.75" customHeight="1">
      <c r="A456" t="s">
        <v>644</v>
      </c>
      <c r="B456" t="s">
        <v>645</v>
      </c>
      <c r="C456" t="s">
        <v>646</v>
      </c>
      <c r="D456" t="s">
        <v>425</v>
      </c>
      <c r="F456" s="3" t="str">
        <f t="shared" si="14"/>
        <v/>
      </c>
      <c r="G456" t="e">
        <f t="shared" ca="1" si="15"/>
        <v>#VALUE!</v>
      </c>
    </row>
    <row r="457" spans="1:7" ht="15.75" customHeight="1">
      <c r="A457" t="s">
        <v>647</v>
      </c>
      <c r="B457" t="s">
        <v>648</v>
      </c>
      <c r="C457" t="s">
        <v>649</v>
      </c>
      <c r="D457" t="s">
        <v>425</v>
      </c>
      <c r="F457" s="3" t="str">
        <f t="shared" si="14"/>
        <v/>
      </c>
      <c r="G457" t="e">
        <f t="shared" ca="1" si="15"/>
        <v>#VALUE!</v>
      </c>
    </row>
    <row r="458" spans="1:7" ht="15.75" customHeight="1">
      <c r="A458" t="s">
        <v>650</v>
      </c>
      <c r="B458" t="s">
        <v>651</v>
      </c>
      <c r="C458" t="s">
        <v>652</v>
      </c>
      <c r="D458" t="s">
        <v>425</v>
      </c>
      <c r="F458" s="3" t="str">
        <f t="shared" si="14"/>
        <v/>
      </c>
      <c r="G458" t="e">
        <f t="shared" ca="1" si="15"/>
        <v>#VALUE!</v>
      </c>
    </row>
    <row r="459" spans="1:7" ht="15.75" customHeight="1">
      <c r="A459" t="s">
        <v>653</v>
      </c>
      <c r="B459" t="s">
        <v>654</v>
      </c>
      <c r="C459" t="s">
        <v>82</v>
      </c>
      <c r="D459" t="s">
        <v>425</v>
      </c>
      <c r="F459" s="3" t="str">
        <f t="shared" si="14"/>
        <v/>
      </c>
      <c r="G459" t="e">
        <f t="shared" ca="1" si="15"/>
        <v>#VALUE!</v>
      </c>
    </row>
    <row r="460" spans="1:7" ht="15.75" customHeight="1">
      <c r="A460" t="s">
        <v>1116</v>
      </c>
      <c r="B460" t="s">
        <v>1117</v>
      </c>
      <c r="C460" t="s">
        <v>1118</v>
      </c>
      <c r="D460" t="s">
        <v>1119</v>
      </c>
      <c r="F460" s="3" t="str">
        <f t="shared" si="14"/>
        <v/>
      </c>
      <c r="G460" t="e">
        <f t="shared" ca="1" si="15"/>
        <v>#VALUE!</v>
      </c>
    </row>
    <row r="461" spans="1:7" ht="15.75" customHeight="1">
      <c r="A461" t="s">
        <v>1120</v>
      </c>
      <c r="B461" t="s">
        <v>1121</v>
      </c>
      <c r="C461" t="s">
        <v>1122</v>
      </c>
      <c r="D461" t="s">
        <v>1119</v>
      </c>
      <c r="F461" s="3" t="str">
        <f t="shared" si="14"/>
        <v/>
      </c>
      <c r="G461" t="e">
        <f t="shared" ca="1" si="15"/>
        <v>#VALUE!</v>
      </c>
    </row>
    <row r="462" spans="1:7" ht="15.75" customHeight="1">
      <c r="A462" t="s">
        <v>1123</v>
      </c>
      <c r="B462" t="s">
        <v>1124</v>
      </c>
      <c r="C462" t="s">
        <v>740</v>
      </c>
      <c r="D462" t="s">
        <v>772</v>
      </c>
      <c r="F462" s="3" t="str">
        <f t="shared" si="14"/>
        <v/>
      </c>
      <c r="G462" t="e">
        <f t="shared" ca="1" si="15"/>
        <v>#VALUE!</v>
      </c>
    </row>
    <row r="463" spans="1:7" ht="15.75" customHeight="1">
      <c r="A463" t="s">
        <v>1125</v>
      </c>
      <c r="B463" t="s">
        <v>1126</v>
      </c>
      <c r="C463" t="s">
        <v>1115</v>
      </c>
      <c r="D463" t="s">
        <v>772</v>
      </c>
      <c r="F463" s="3" t="str">
        <f t="shared" si="14"/>
        <v/>
      </c>
      <c r="G463" t="e">
        <f t="shared" ca="1" si="15"/>
        <v>#VALUE!</v>
      </c>
    </row>
    <row r="464" spans="1:7" ht="15.75" customHeight="1">
      <c r="A464" t="s">
        <v>1127</v>
      </c>
      <c r="B464" t="s">
        <v>1128</v>
      </c>
      <c r="C464" t="s">
        <v>1129</v>
      </c>
      <c r="D464" t="s">
        <v>772</v>
      </c>
      <c r="F464" s="3" t="str">
        <f t="shared" si="14"/>
        <v/>
      </c>
      <c r="G464" t="e">
        <f t="shared" ca="1" si="15"/>
        <v>#VALUE!</v>
      </c>
    </row>
    <row r="465" spans="1:7" ht="15.75" customHeight="1">
      <c r="A465" t="s">
        <v>1130</v>
      </c>
      <c r="B465" t="s">
        <v>1131</v>
      </c>
      <c r="C465" t="s">
        <v>940</v>
      </c>
      <c r="D465" t="s">
        <v>772</v>
      </c>
      <c r="F465" s="3" t="str">
        <f t="shared" si="14"/>
        <v/>
      </c>
      <c r="G465" t="e">
        <f t="shared" ca="1" si="15"/>
        <v>#VALUE!</v>
      </c>
    </row>
    <row r="466" spans="1:7" ht="15.75" customHeight="1">
      <c r="A466" t="s">
        <v>1132</v>
      </c>
      <c r="B466" t="s">
        <v>1133</v>
      </c>
      <c r="C466" t="s">
        <v>1134</v>
      </c>
      <c r="D466" t="s">
        <v>772</v>
      </c>
      <c r="F466" s="3" t="str">
        <f t="shared" si="14"/>
        <v/>
      </c>
      <c r="G466" t="e">
        <f t="shared" ca="1" si="15"/>
        <v>#VALUE!</v>
      </c>
    </row>
    <row r="467" spans="1:7" ht="15.75" customHeight="1">
      <c r="A467" t="s">
        <v>655</v>
      </c>
      <c r="B467" t="s">
        <v>656</v>
      </c>
      <c r="C467" t="s">
        <v>39</v>
      </c>
      <c r="D467" t="s">
        <v>12</v>
      </c>
      <c r="F467" s="3" t="str">
        <f t="shared" si="14"/>
        <v/>
      </c>
      <c r="G467" t="e">
        <f t="shared" ca="1" si="15"/>
        <v>#VALUE!</v>
      </c>
    </row>
    <row r="468" spans="1:7" ht="15.75" customHeight="1">
      <c r="A468" t="s">
        <v>657</v>
      </c>
      <c r="B468" t="s">
        <v>658</v>
      </c>
      <c r="C468" t="s">
        <v>659</v>
      </c>
      <c r="D468" t="s">
        <v>12</v>
      </c>
      <c r="F468" s="3" t="str">
        <f t="shared" si="14"/>
        <v/>
      </c>
      <c r="G468" t="e">
        <f t="shared" ca="1" si="15"/>
        <v>#VALUE!</v>
      </c>
    </row>
    <row r="469" spans="1:7" ht="15.75" customHeight="1">
      <c r="A469" t="s">
        <v>660</v>
      </c>
      <c r="B469" t="s">
        <v>661</v>
      </c>
      <c r="C469" t="s">
        <v>39</v>
      </c>
      <c r="D469" t="s">
        <v>12</v>
      </c>
      <c r="F469" s="3" t="str">
        <f t="shared" si="14"/>
        <v/>
      </c>
      <c r="G469" t="e">
        <f t="shared" ca="1" si="15"/>
        <v>#VALUE!</v>
      </c>
    </row>
    <row r="470" spans="1:7" ht="15.75" customHeight="1">
      <c r="A470" t="s">
        <v>662</v>
      </c>
      <c r="B470" t="s">
        <v>663</v>
      </c>
      <c r="C470" t="s">
        <v>39</v>
      </c>
      <c r="D470" t="s">
        <v>12</v>
      </c>
      <c r="F470" s="3" t="str">
        <f t="shared" si="14"/>
        <v/>
      </c>
      <c r="G470" t="e">
        <f t="shared" ca="1" si="15"/>
        <v>#VALUE!</v>
      </c>
    </row>
    <row r="471" spans="1:7" ht="15.75" customHeight="1">
      <c r="A471" t="s">
        <v>664</v>
      </c>
      <c r="B471" t="s">
        <v>665</v>
      </c>
      <c r="C471" t="s">
        <v>39</v>
      </c>
      <c r="D471" t="s">
        <v>425</v>
      </c>
      <c r="F471" s="3" t="str">
        <f t="shared" si="14"/>
        <v/>
      </c>
      <c r="G471" t="e">
        <f t="shared" ca="1" si="15"/>
        <v>#VALUE!</v>
      </c>
    </row>
    <row r="472" spans="1:7" ht="15.75" customHeight="1">
      <c r="A472" t="s">
        <v>666</v>
      </c>
      <c r="B472" t="s">
        <v>667</v>
      </c>
      <c r="C472" t="s">
        <v>39</v>
      </c>
      <c r="D472" t="s">
        <v>425</v>
      </c>
      <c r="F472" s="3" t="str">
        <f t="shared" si="14"/>
        <v/>
      </c>
      <c r="G472" t="e">
        <f t="shared" ca="1" si="15"/>
        <v>#VALUE!</v>
      </c>
    </row>
    <row r="473" spans="1:7" ht="15.75" customHeight="1">
      <c r="A473" t="s">
        <v>668</v>
      </c>
      <c r="B473" t="s">
        <v>669</v>
      </c>
      <c r="C473" t="s">
        <v>139</v>
      </c>
      <c r="D473" t="s">
        <v>12</v>
      </c>
      <c r="F473" s="3" t="str">
        <f t="shared" si="14"/>
        <v/>
      </c>
      <c r="G473" t="e">
        <f t="shared" ca="1" si="15"/>
        <v>#VALUE!</v>
      </c>
    </row>
    <row r="474" spans="1:7" ht="15.75" customHeight="1">
      <c r="A474" t="s">
        <v>670</v>
      </c>
      <c r="B474" t="s">
        <v>671</v>
      </c>
      <c r="C474" t="s">
        <v>139</v>
      </c>
      <c r="D474" t="s">
        <v>12</v>
      </c>
      <c r="F474" s="3" t="str">
        <f t="shared" si="14"/>
        <v/>
      </c>
      <c r="G474" t="e">
        <f t="shared" ca="1" si="15"/>
        <v>#VALUE!</v>
      </c>
    </row>
    <row r="475" spans="1:7" ht="15.75" customHeight="1">
      <c r="A475" t="s">
        <v>672</v>
      </c>
      <c r="B475" t="s">
        <v>673</v>
      </c>
      <c r="C475" t="s">
        <v>674</v>
      </c>
      <c r="D475" t="s">
        <v>12</v>
      </c>
      <c r="F475" s="3" t="str">
        <f t="shared" si="14"/>
        <v/>
      </c>
      <c r="G475" t="e">
        <f t="shared" ca="1" si="15"/>
        <v>#VALUE!</v>
      </c>
    </row>
    <row r="476" spans="1:7" ht="15.75" customHeight="1">
      <c r="A476" t="s">
        <v>675</v>
      </c>
      <c r="B476" t="s">
        <v>676</v>
      </c>
      <c r="C476" t="s">
        <v>64</v>
      </c>
      <c r="D476" t="s">
        <v>12</v>
      </c>
      <c r="F476" s="3" t="str">
        <f t="shared" si="14"/>
        <v/>
      </c>
      <c r="G476" t="e">
        <f t="shared" ca="1" si="15"/>
        <v>#VALUE!</v>
      </c>
    </row>
    <row r="477" spans="1:7" ht="15.75" customHeight="1">
      <c r="A477" t="s">
        <v>677</v>
      </c>
      <c r="B477" t="s">
        <v>678</v>
      </c>
      <c r="C477" t="s">
        <v>64</v>
      </c>
      <c r="D477" t="s">
        <v>12</v>
      </c>
      <c r="F477" s="3" t="str">
        <f t="shared" si="14"/>
        <v/>
      </c>
      <c r="G477" t="e">
        <f t="shared" ca="1" si="15"/>
        <v>#VALUE!</v>
      </c>
    </row>
    <row r="478" spans="1:7" ht="15.75" customHeight="1">
      <c r="A478" t="s">
        <v>679</v>
      </c>
      <c r="B478" t="s">
        <v>680</v>
      </c>
      <c r="C478" t="s">
        <v>681</v>
      </c>
      <c r="D478" t="s">
        <v>12</v>
      </c>
      <c r="F478" s="3" t="str">
        <f t="shared" si="14"/>
        <v/>
      </c>
      <c r="G478" t="e">
        <f t="shared" ca="1" si="15"/>
        <v>#VALUE!</v>
      </c>
    </row>
    <row r="479" spans="1:7" ht="15.75" customHeight="1">
      <c r="A479" t="s">
        <v>682</v>
      </c>
      <c r="B479" t="s">
        <v>683</v>
      </c>
      <c r="C479" t="s">
        <v>592</v>
      </c>
      <c r="D479" t="s">
        <v>12</v>
      </c>
      <c r="F479" s="3" t="str">
        <f t="shared" si="14"/>
        <v/>
      </c>
      <c r="G479" t="e">
        <f t="shared" ca="1" si="15"/>
        <v>#VALUE!</v>
      </c>
    </row>
  </sheetData>
  <autoFilter ref="A3:G479" xr:uid="{00000000-0009-0000-0000-000003000000}"/>
  <conditionalFormatting sqref="G4:G479">
    <cfRule type="cellIs" dxfId="1" priority="1" operator="equal">
      <formula>"Due"</formula>
    </cfRule>
  </conditionalFormatting>
  <hyperlinks>
    <hyperlink ref="A1" location="Dashboard!A1" display="&lt;&lt; Back to Dashboard" xr:uid="{00000000-0004-0000-0300-000000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/>
  </sheetViews>
  <sheetFormatPr defaultColWidth="14.44140625" defaultRowHeight="15" customHeight="1"/>
  <cols>
    <col min="1" max="7" width="24.6640625" customWidth="1"/>
    <col min="8" max="11" width="8.6640625" customWidth="1"/>
  </cols>
  <sheetData>
    <row r="1" spans="1:7" ht="30" customHeight="1">
      <c r="A1" s="8" t="s">
        <v>1</v>
      </c>
    </row>
    <row r="3" spans="1:7" ht="24.75" customHeight="1">
      <c r="A3" s="9" t="s">
        <v>2</v>
      </c>
      <c r="B3" s="9" t="s">
        <v>3</v>
      </c>
      <c r="C3" s="9" t="s">
        <v>4</v>
      </c>
      <c r="D3" s="9" t="s">
        <v>5</v>
      </c>
      <c r="E3" s="9" t="s">
        <v>1137</v>
      </c>
      <c r="F3" s="9" t="s">
        <v>1138</v>
      </c>
      <c r="G3" s="9" t="s">
        <v>8</v>
      </c>
    </row>
    <row r="4" spans="1:7" ht="14.4" customHeight="1">
      <c r="A4" t="s">
        <v>760</v>
      </c>
      <c r="B4" t="s">
        <v>761</v>
      </c>
      <c r="C4" t="s">
        <v>762</v>
      </c>
      <c r="D4" t="s">
        <v>28</v>
      </c>
      <c r="F4" s="3" t="str">
        <f t="shared" ref="F4:F47" si="0">IF(ISBLANK(E4), "", EDATE(E4, 24))</f>
        <v/>
      </c>
      <c r="G4" t="e">
        <f t="shared" ref="G4:G47" ca="1" si="1">IF(ISBLANK(F4), "", IF(TODAY()&gt;=EDATE(F4, -1), "Due", "Valid"))</f>
        <v>#VALUE!</v>
      </c>
    </row>
    <row r="5" spans="1:7" ht="14.4" customHeight="1">
      <c r="A5" t="s">
        <v>763</v>
      </c>
      <c r="B5" t="s">
        <v>764</v>
      </c>
      <c r="C5" t="s">
        <v>765</v>
      </c>
      <c r="D5" t="s">
        <v>28</v>
      </c>
      <c r="F5" s="3" t="str">
        <f t="shared" si="0"/>
        <v/>
      </c>
      <c r="G5" t="e">
        <f t="shared" ca="1" si="1"/>
        <v>#VALUE!</v>
      </c>
    </row>
    <row r="6" spans="1:7" ht="14.4" customHeight="1">
      <c r="A6" t="s">
        <v>766</v>
      </c>
      <c r="B6" t="s">
        <v>767</v>
      </c>
      <c r="C6" t="s">
        <v>762</v>
      </c>
      <c r="D6" t="s">
        <v>28</v>
      </c>
      <c r="F6" s="3" t="str">
        <f t="shared" si="0"/>
        <v/>
      </c>
      <c r="G6" t="e">
        <f t="shared" ca="1" si="1"/>
        <v>#VALUE!</v>
      </c>
    </row>
    <row r="7" spans="1:7" ht="14.4" customHeight="1">
      <c r="A7" t="s">
        <v>905</v>
      </c>
      <c r="B7" t="s">
        <v>906</v>
      </c>
      <c r="C7" t="s">
        <v>907</v>
      </c>
      <c r="D7" t="s">
        <v>152</v>
      </c>
      <c r="F7" s="3" t="str">
        <f t="shared" si="0"/>
        <v/>
      </c>
      <c r="G7" t="e">
        <f t="shared" ca="1" si="1"/>
        <v>#VALUE!</v>
      </c>
    </row>
    <row r="8" spans="1:7" ht="14.4" customHeight="1">
      <c r="A8" t="s">
        <v>908</v>
      </c>
      <c r="B8" t="s">
        <v>909</v>
      </c>
      <c r="C8" t="s">
        <v>910</v>
      </c>
      <c r="D8" t="s">
        <v>152</v>
      </c>
      <c r="F8" s="3" t="str">
        <f t="shared" si="0"/>
        <v/>
      </c>
      <c r="G8" t="e">
        <f t="shared" ca="1" si="1"/>
        <v>#VALUE!</v>
      </c>
    </row>
    <row r="9" spans="1:7" ht="14.4" customHeight="1">
      <c r="A9" t="s">
        <v>911</v>
      </c>
      <c r="B9" t="s">
        <v>912</v>
      </c>
      <c r="C9" t="s">
        <v>913</v>
      </c>
      <c r="D9" t="s">
        <v>152</v>
      </c>
      <c r="F9" s="3" t="str">
        <f t="shared" si="0"/>
        <v/>
      </c>
      <c r="G9" t="e">
        <f t="shared" ca="1" si="1"/>
        <v>#VALUE!</v>
      </c>
    </row>
    <row r="10" spans="1:7" ht="14.4" customHeight="1">
      <c r="A10" t="s">
        <v>914</v>
      </c>
      <c r="B10" t="s">
        <v>915</v>
      </c>
      <c r="C10" t="s">
        <v>916</v>
      </c>
      <c r="D10" t="s">
        <v>152</v>
      </c>
      <c r="F10" s="3" t="str">
        <f t="shared" si="0"/>
        <v/>
      </c>
      <c r="G10" t="e">
        <f t="shared" ca="1" si="1"/>
        <v>#VALUE!</v>
      </c>
    </row>
    <row r="11" spans="1:7" ht="14.4" customHeight="1">
      <c r="A11" t="s">
        <v>917</v>
      </c>
      <c r="B11" t="s">
        <v>918</v>
      </c>
      <c r="C11" t="s">
        <v>919</v>
      </c>
      <c r="D11" t="s">
        <v>152</v>
      </c>
      <c r="F11" s="3" t="str">
        <f t="shared" si="0"/>
        <v/>
      </c>
      <c r="G11" t="e">
        <f t="shared" ca="1" si="1"/>
        <v>#VALUE!</v>
      </c>
    </row>
    <row r="12" spans="1:7" ht="14.4" customHeight="1">
      <c r="A12" t="s">
        <v>925</v>
      </c>
      <c r="B12" t="s">
        <v>926</v>
      </c>
      <c r="C12" t="s">
        <v>927</v>
      </c>
      <c r="D12" t="s">
        <v>152</v>
      </c>
      <c r="F12" s="3" t="str">
        <f t="shared" si="0"/>
        <v/>
      </c>
      <c r="G12" t="e">
        <f t="shared" ca="1" si="1"/>
        <v>#VALUE!</v>
      </c>
    </row>
    <row r="13" spans="1:7" ht="14.4" customHeight="1">
      <c r="A13" t="s">
        <v>930</v>
      </c>
      <c r="B13" t="s">
        <v>931</v>
      </c>
      <c r="C13" t="s">
        <v>919</v>
      </c>
      <c r="D13" t="s">
        <v>152</v>
      </c>
      <c r="F13" s="3" t="str">
        <f t="shared" si="0"/>
        <v/>
      </c>
      <c r="G13" t="e">
        <f t="shared" ca="1" si="1"/>
        <v>#VALUE!</v>
      </c>
    </row>
    <row r="14" spans="1:7" ht="14.4" customHeight="1">
      <c r="A14" t="s">
        <v>941</v>
      </c>
      <c r="B14" t="s">
        <v>942</v>
      </c>
      <c r="C14" t="s">
        <v>919</v>
      </c>
      <c r="D14" t="s">
        <v>152</v>
      </c>
      <c r="F14" s="3" t="str">
        <f t="shared" si="0"/>
        <v/>
      </c>
      <c r="G14" t="e">
        <f t="shared" ca="1" si="1"/>
        <v>#VALUE!</v>
      </c>
    </row>
    <row r="15" spans="1:7" ht="14.4" customHeight="1">
      <c r="A15" t="s">
        <v>950</v>
      </c>
      <c r="B15" t="s">
        <v>951</v>
      </c>
      <c r="C15" t="s">
        <v>952</v>
      </c>
      <c r="D15" t="s">
        <v>152</v>
      </c>
      <c r="F15" s="3" t="str">
        <f t="shared" si="0"/>
        <v/>
      </c>
      <c r="G15" t="e">
        <f t="shared" ca="1" si="1"/>
        <v>#VALUE!</v>
      </c>
    </row>
    <row r="16" spans="1:7" ht="14.4" customHeight="1">
      <c r="A16" t="s">
        <v>955</v>
      </c>
      <c r="B16" t="s">
        <v>956</v>
      </c>
      <c r="C16" t="s">
        <v>916</v>
      </c>
      <c r="D16" t="s">
        <v>152</v>
      </c>
      <c r="F16" s="3" t="str">
        <f t="shared" si="0"/>
        <v/>
      </c>
      <c r="G16" t="e">
        <f t="shared" ca="1" si="1"/>
        <v>#VALUE!</v>
      </c>
    </row>
    <row r="17" spans="1:7" ht="14.4" customHeight="1">
      <c r="A17" t="s">
        <v>1015</v>
      </c>
      <c r="B17" t="s">
        <v>1016</v>
      </c>
      <c r="C17" t="s">
        <v>1017</v>
      </c>
      <c r="D17" t="s">
        <v>425</v>
      </c>
      <c r="F17" s="3" t="str">
        <f t="shared" si="0"/>
        <v/>
      </c>
      <c r="G17" t="e">
        <f t="shared" ca="1" si="1"/>
        <v>#VALUE!</v>
      </c>
    </row>
    <row r="18" spans="1:7" ht="14.4" customHeight="1">
      <c r="A18" t="s">
        <v>1018</v>
      </c>
      <c r="B18" t="s">
        <v>1019</v>
      </c>
      <c r="C18" t="s">
        <v>1017</v>
      </c>
      <c r="D18" t="s">
        <v>425</v>
      </c>
      <c r="F18" s="3" t="str">
        <f t="shared" si="0"/>
        <v/>
      </c>
      <c r="G18" t="e">
        <f t="shared" ca="1" si="1"/>
        <v>#VALUE!</v>
      </c>
    </row>
    <row r="19" spans="1:7" ht="14.4" customHeight="1">
      <c r="A19" t="s">
        <v>1020</v>
      </c>
      <c r="B19" t="s">
        <v>1021</v>
      </c>
      <c r="C19" t="s">
        <v>1022</v>
      </c>
      <c r="D19" t="s">
        <v>425</v>
      </c>
      <c r="F19" s="3" t="str">
        <f t="shared" si="0"/>
        <v/>
      </c>
      <c r="G19" t="e">
        <f t="shared" ca="1" si="1"/>
        <v>#VALUE!</v>
      </c>
    </row>
    <row r="20" spans="1:7" ht="14.4" customHeight="1">
      <c r="A20" t="s">
        <v>1023</v>
      </c>
      <c r="B20" t="s">
        <v>1024</v>
      </c>
      <c r="C20" t="s">
        <v>1022</v>
      </c>
      <c r="D20" t="s">
        <v>425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1025</v>
      </c>
      <c r="B21" t="s">
        <v>1026</v>
      </c>
      <c r="C21" t="s">
        <v>913</v>
      </c>
      <c r="D21" t="s">
        <v>425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1027</v>
      </c>
      <c r="B22" t="s">
        <v>1028</v>
      </c>
      <c r="C22" t="s">
        <v>1029</v>
      </c>
      <c r="D22" t="s">
        <v>425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1030</v>
      </c>
      <c r="B23" t="s">
        <v>1031</v>
      </c>
      <c r="C23" t="s">
        <v>1032</v>
      </c>
      <c r="D23" t="s">
        <v>425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1033</v>
      </c>
      <c r="B24" t="s">
        <v>1034</v>
      </c>
      <c r="C24" t="s">
        <v>1035</v>
      </c>
      <c r="D24" t="s">
        <v>425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1036</v>
      </c>
      <c r="B25" t="s">
        <v>1037</v>
      </c>
      <c r="C25" t="s">
        <v>1035</v>
      </c>
      <c r="D25" t="s">
        <v>425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1038</v>
      </c>
      <c r="B26" t="s">
        <v>1039</v>
      </c>
      <c r="C26" t="s">
        <v>1040</v>
      </c>
      <c r="D26" t="s">
        <v>425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1041</v>
      </c>
      <c r="B27" t="s">
        <v>1042</v>
      </c>
      <c r="C27" t="s">
        <v>1040</v>
      </c>
      <c r="D27" t="s">
        <v>425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1043</v>
      </c>
      <c r="B28" t="s">
        <v>1044</v>
      </c>
      <c r="C28" t="s">
        <v>1040</v>
      </c>
      <c r="D28" t="s">
        <v>425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1045</v>
      </c>
      <c r="B29" t="s">
        <v>1046</v>
      </c>
      <c r="C29" t="s">
        <v>1040</v>
      </c>
      <c r="D29" t="s">
        <v>425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1047</v>
      </c>
      <c r="B30" t="s">
        <v>1048</v>
      </c>
      <c r="C30" t="s">
        <v>1049</v>
      </c>
      <c r="D30" t="s">
        <v>425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1050</v>
      </c>
      <c r="B31" t="s">
        <v>1051</v>
      </c>
      <c r="C31" t="s">
        <v>1049</v>
      </c>
      <c r="D31" t="s">
        <v>425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1052</v>
      </c>
      <c r="B32" t="s">
        <v>1053</v>
      </c>
      <c r="C32" t="s">
        <v>1049</v>
      </c>
      <c r="D32" t="s">
        <v>425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1054</v>
      </c>
      <c r="B33" t="s">
        <v>1055</v>
      </c>
      <c r="C33" t="s">
        <v>1049</v>
      </c>
      <c r="D33" t="s">
        <v>425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1056</v>
      </c>
      <c r="B34" t="s">
        <v>1057</v>
      </c>
      <c r="C34" t="s">
        <v>1049</v>
      </c>
      <c r="D34" t="s">
        <v>425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1058</v>
      </c>
      <c r="B35" t="s">
        <v>1059</v>
      </c>
      <c r="C35" t="s">
        <v>1060</v>
      </c>
      <c r="D35" t="s">
        <v>425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1061</v>
      </c>
      <c r="B36" t="s">
        <v>1062</v>
      </c>
      <c r="C36" t="s">
        <v>1060</v>
      </c>
      <c r="D36" t="s">
        <v>425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1063</v>
      </c>
      <c r="B37" t="s">
        <v>1064</v>
      </c>
      <c r="C37" t="s">
        <v>1060</v>
      </c>
      <c r="D37" t="s">
        <v>425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1065</v>
      </c>
      <c r="B38" t="s">
        <v>1066</v>
      </c>
      <c r="C38" t="s">
        <v>1060</v>
      </c>
      <c r="D38" t="s">
        <v>425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1067</v>
      </c>
      <c r="B39" t="s">
        <v>1068</v>
      </c>
      <c r="C39" t="s">
        <v>1069</v>
      </c>
      <c r="D39" t="s">
        <v>425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1070</v>
      </c>
      <c r="B40" t="s">
        <v>1071</v>
      </c>
      <c r="C40" t="s">
        <v>1069</v>
      </c>
      <c r="D40" t="s">
        <v>425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1091</v>
      </c>
      <c r="B41" t="s">
        <v>1092</v>
      </c>
      <c r="C41" t="s">
        <v>1017</v>
      </c>
      <c r="D41" t="s">
        <v>425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1093</v>
      </c>
      <c r="B42" t="s">
        <v>1094</v>
      </c>
      <c r="C42" t="s">
        <v>1017</v>
      </c>
      <c r="D42" t="s">
        <v>425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1095</v>
      </c>
      <c r="B43" t="s">
        <v>1096</v>
      </c>
      <c r="C43" t="s">
        <v>1032</v>
      </c>
      <c r="D43" t="s">
        <v>425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1097</v>
      </c>
      <c r="B44" t="s">
        <v>1098</v>
      </c>
      <c r="C44" t="s">
        <v>1035</v>
      </c>
      <c r="D44" t="s">
        <v>425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1099</v>
      </c>
      <c r="B45" t="s">
        <v>1100</v>
      </c>
      <c r="C45" t="s">
        <v>1040</v>
      </c>
      <c r="D45" t="s">
        <v>425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1101</v>
      </c>
      <c r="B46" t="s">
        <v>1102</v>
      </c>
      <c r="C46" t="s">
        <v>1040</v>
      </c>
      <c r="D46" t="s">
        <v>425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1108</v>
      </c>
      <c r="B47" t="s">
        <v>1109</v>
      </c>
      <c r="C47" t="s">
        <v>1029</v>
      </c>
      <c r="D47" t="s">
        <v>425</v>
      </c>
      <c r="F47" s="3" t="str">
        <f t="shared" si="0"/>
        <v/>
      </c>
      <c r="G47" t="e">
        <f t="shared" ca="1" si="1"/>
        <v>#VALUE!</v>
      </c>
    </row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3:G47" xr:uid="{00000000-0009-0000-0000-000004000000}"/>
  <conditionalFormatting sqref="G4:G47">
    <cfRule type="cellIs" dxfId="0" priority="1" operator="equal">
      <formula>"Due"</formula>
    </cfRule>
  </conditionalFormatting>
  <hyperlinks>
    <hyperlink ref="A1" location="Dashboard!A1" display="&lt;&lt; Back to Dashboard" xr:uid="{00000000-0004-0000-04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55"/>
  <sheetViews>
    <sheetView workbookViewId="0"/>
  </sheetViews>
  <sheetFormatPr defaultColWidth="14.44140625" defaultRowHeight="15" customHeight="1"/>
  <cols>
    <col min="1" max="8" width="24.6640625" customWidth="1"/>
    <col min="9" max="11" width="8.6640625" customWidth="1"/>
  </cols>
  <sheetData>
    <row r="1" spans="1:8" ht="30" customHeight="1">
      <c r="A1" s="10" t="s">
        <v>1</v>
      </c>
    </row>
    <row r="3" spans="1:8" ht="24.75" customHeight="1">
      <c r="A3" s="11" t="s">
        <v>2</v>
      </c>
      <c r="B3" s="11" t="s">
        <v>3</v>
      </c>
      <c r="C3" s="11" t="s">
        <v>4</v>
      </c>
      <c r="D3" s="11" t="s">
        <v>5</v>
      </c>
      <c r="E3" s="11" t="s">
        <v>1139</v>
      </c>
      <c r="F3" s="11" t="s">
        <v>1140</v>
      </c>
      <c r="G3" s="11" t="s">
        <v>1141</v>
      </c>
      <c r="H3" s="11" t="s">
        <v>1142</v>
      </c>
    </row>
    <row r="4" spans="1:8" ht="14.4" customHeight="1">
      <c r="A4" t="s">
        <v>627</v>
      </c>
      <c r="B4" t="s">
        <v>1143</v>
      </c>
      <c r="C4" t="s">
        <v>139</v>
      </c>
      <c r="D4" t="s">
        <v>425</v>
      </c>
      <c r="E4" t="s">
        <v>1144</v>
      </c>
      <c r="F4" s="3">
        <v>45699</v>
      </c>
      <c r="G4" s="3">
        <v>45699</v>
      </c>
      <c r="H4">
        <v>1</v>
      </c>
    </row>
    <row r="5" spans="1:8" ht="14.4" customHeight="1">
      <c r="A5" t="s">
        <v>631</v>
      </c>
      <c r="B5" t="s">
        <v>1145</v>
      </c>
      <c r="C5" t="s">
        <v>139</v>
      </c>
      <c r="D5" t="s">
        <v>425</v>
      </c>
      <c r="E5" t="s">
        <v>1144</v>
      </c>
      <c r="F5" s="3">
        <v>45699</v>
      </c>
      <c r="G5" s="3">
        <v>45699</v>
      </c>
      <c r="H5">
        <v>1</v>
      </c>
    </row>
    <row r="6" spans="1:8" ht="14.4" customHeight="1">
      <c r="A6" t="s">
        <v>568</v>
      </c>
      <c r="B6" t="s">
        <v>1146</v>
      </c>
      <c r="C6" t="s">
        <v>139</v>
      </c>
      <c r="D6" t="s">
        <v>425</v>
      </c>
      <c r="E6" t="s">
        <v>1144</v>
      </c>
      <c r="F6" s="3">
        <v>45699</v>
      </c>
      <c r="G6" s="3">
        <v>45699</v>
      </c>
      <c r="H6">
        <v>1</v>
      </c>
    </row>
    <row r="7" spans="1:8" ht="14.4" customHeight="1">
      <c r="A7" t="s">
        <v>550</v>
      </c>
      <c r="B7" t="s">
        <v>1147</v>
      </c>
      <c r="C7" t="s">
        <v>39</v>
      </c>
      <c r="D7" t="s">
        <v>425</v>
      </c>
      <c r="E7" t="s">
        <v>1144</v>
      </c>
      <c r="F7" s="3">
        <v>45699</v>
      </c>
      <c r="G7" s="3">
        <v>45699</v>
      </c>
      <c r="H7">
        <v>1</v>
      </c>
    </row>
    <row r="8" spans="1:8" ht="14.4" customHeight="1">
      <c r="A8" t="s">
        <v>514</v>
      </c>
      <c r="B8" t="s">
        <v>1148</v>
      </c>
      <c r="C8" t="s">
        <v>93</v>
      </c>
      <c r="D8" t="s">
        <v>425</v>
      </c>
      <c r="E8" t="s">
        <v>1144</v>
      </c>
      <c r="F8" s="3">
        <v>45699</v>
      </c>
      <c r="G8" s="3">
        <v>45699</v>
      </c>
      <c r="H8">
        <v>1</v>
      </c>
    </row>
    <row r="9" spans="1:8" ht="14.4" customHeight="1">
      <c r="A9" t="s">
        <v>530</v>
      </c>
      <c r="B9" t="s">
        <v>1149</v>
      </c>
      <c r="C9" t="s">
        <v>461</v>
      </c>
      <c r="D9" t="s">
        <v>425</v>
      </c>
      <c r="E9" t="s">
        <v>1144</v>
      </c>
      <c r="F9" s="3">
        <v>45699</v>
      </c>
      <c r="G9" s="3">
        <v>45699</v>
      </c>
      <c r="H9">
        <v>1</v>
      </c>
    </row>
    <row r="10" spans="1:8" ht="14.4" customHeight="1">
      <c r="A10" t="s">
        <v>542</v>
      </c>
      <c r="B10" t="s">
        <v>1150</v>
      </c>
      <c r="C10" t="s">
        <v>39</v>
      </c>
      <c r="D10" t="s">
        <v>425</v>
      </c>
      <c r="E10" t="s">
        <v>1144</v>
      </c>
      <c r="F10" s="3">
        <v>45700</v>
      </c>
      <c r="G10" s="3">
        <v>45700</v>
      </c>
      <c r="H10">
        <v>1</v>
      </c>
    </row>
    <row r="11" spans="1:8" ht="14.4" customHeight="1">
      <c r="A11" t="s">
        <v>586</v>
      </c>
      <c r="B11" t="s">
        <v>1151</v>
      </c>
      <c r="C11" t="s">
        <v>64</v>
      </c>
      <c r="D11" t="s">
        <v>425</v>
      </c>
      <c r="E11" t="s">
        <v>1144</v>
      </c>
      <c r="F11" s="3">
        <v>45700</v>
      </c>
      <c r="G11" s="3">
        <v>45700</v>
      </c>
      <c r="H11">
        <v>1</v>
      </c>
    </row>
    <row r="12" spans="1:8" ht="14.4" customHeight="1">
      <c r="A12" t="s">
        <v>566</v>
      </c>
      <c r="B12" t="s">
        <v>1152</v>
      </c>
      <c r="C12" t="s">
        <v>139</v>
      </c>
      <c r="D12" t="s">
        <v>425</v>
      </c>
      <c r="E12" t="s">
        <v>1144</v>
      </c>
      <c r="F12" s="3">
        <v>45700</v>
      </c>
      <c r="G12" s="3">
        <v>45700</v>
      </c>
      <c r="H12">
        <v>1</v>
      </c>
    </row>
    <row r="13" spans="1:8" ht="14.4" customHeight="1">
      <c r="A13" t="s">
        <v>570</v>
      </c>
      <c r="B13" t="s">
        <v>1153</v>
      </c>
      <c r="C13" t="s">
        <v>139</v>
      </c>
      <c r="D13" t="s">
        <v>425</v>
      </c>
      <c r="E13" t="s">
        <v>1144</v>
      </c>
      <c r="F13" s="3">
        <v>45700</v>
      </c>
      <c r="G13" s="3">
        <v>45700</v>
      </c>
      <c r="H13">
        <v>1</v>
      </c>
    </row>
    <row r="14" spans="1:8" ht="14.4" customHeight="1">
      <c r="A14" t="s">
        <v>574</v>
      </c>
      <c r="B14" t="s">
        <v>1154</v>
      </c>
      <c r="C14" t="s">
        <v>139</v>
      </c>
      <c r="D14" t="s">
        <v>425</v>
      </c>
      <c r="E14" t="s">
        <v>1144</v>
      </c>
      <c r="F14" s="3">
        <v>45700</v>
      </c>
      <c r="G14" s="3">
        <v>45700</v>
      </c>
      <c r="H14">
        <v>1</v>
      </c>
    </row>
    <row r="15" spans="1:8" ht="14.4" customHeight="1">
      <c r="A15" t="s">
        <v>603</v>
      </c>
      <c r="B15" t="s">
        <v>1155</v>
      </c>
      <c r="C15" t="s">
        <v>15</v>
      </c>
      <c r="D15" t="s">
        <v>425</v>
      </c>
      <c r="E15" t="s">
        <v>1144</v>
      </c>
      <c r="F15" s="3">
        <v>45700</v>
      </c>
      <c r="G15" s="3">
        <v>45700</v>
      </c>
      <c r="H15">
        <v>1</v>
      </c>
    </row>
    <row r="16" spans="1:8" ht="14.4" customHeight="1">
      <c r="A16" t="s">
        <v>472</v>
      </c>
      <c r="B16" t="s">
        <v>1156</v>
      </c>
      <c r="C16" t="s">
        <v>461</v>
      </c>
      <c r="D16" t="s">
        <v>425</v>
      </c>
      <c r="E16" t="s">
        <v>1144</v>
      </c>
      <c r="F16" s="3">
        <v>45700</v>
      </c>
      <c r="G16" s="3">
        <v>45700</v>
      </c>
      <c r="H16">
        <v>1</v>
      </c>
    </row>
    <row r="17" spans="1:8" ht="14.4" customHeight="1">
      <c r="A17" t="s">
        <v>484</v>
      </c>
      <c r="B17" t="s">
        <v>1157</v>
      </c>
      <c r="C17" t="s">
        <v>461</v>
      </c>
      <c r="D17" t="s">
        <v>425</v>
      </c>
      <c r="E17" t="s">
        <v>1144</v>
      </c>
      <c r="F17" s="3">
        <v>45700</v>
      </c>
      <c r="G17" s="3">
        <v>45700</v>
      </c>
      <c r="H17">
        <v>1</v>
      </c>
    </row>
    <row r="18" spans="1:8" ht="14.4" customHeight="1">
      <c r="A18" t="s">
        <v>508</v>
      </c>
      <c r="B18" t="s">
        <v>1158</v>
      </c>
      <c r="C18" t="s">
        <v>461</v>
      </c>
      <c r="D18" t="s">
        <v>425</v>
      </c>
      <c r="E18" t="s">
        <v>1144</v>
      </c>
      <c r="F18" s="3">
        <v>45700</v>
      </c>
      <c r="G18" s="3">
        <v>45700</v>
      </c>
      <c r="H18">
        <v>1</v>
      </c>
    </row>
    <row r="19" spans="1:8" ht="14.4" customHeight="1">
      <c r="A19" t="s">
        <v>532</v>
      </c>
      <c r="B19" t="s">
        <v>1159</v>
      </c>
      <c r="C19" t="s">
        <v>461</v>
      </c>
      <c r="D19" t="s">
        <v>425</v>
      </c>
      <c r="E19" t="s">
        <v>1144</v>
      </c>
      <c r="F19" s="3">
        <v>45700</v>
      </c>
      <c r="G19" s="3">
        <v>45700</v>
      </c>
      <c r="H19">
        <v>1</v>
      </c>
    </row>
    <row r="20" spans="1:8" ht="14.4" customHeight="1">
      <c r="A20" t="s">
        <v>593</v>
      </c>
      <c r="B20" t="s">
        <v>1160</v>
      </c>
      <c r="C20" t="s">
        <v>168</v>
      </c>
      <c r="D20" t="s">
        <v>425</v>
      </c>
      <c r="E20" t="s">
        <v>1144</v>
      </c>
      <c r="F20" s="3">
        <v>45701</v>
      </c>
      <c r="G20" s="3">
        <v>45701</v>
      </c>
      <c r="H20">
        <v>1</v>
      </c>
    </row>
    <row r="21" spans="1:8" ht="15.75" customHeight="1">
      <c r="A21" t="s">
        <v>580</v>
      </c>
      <c r="B21" t="s">
        <v>1161</v>
      </c>
      <c r="C21" t="s">
        <v>139</v>
      </c>
      <c r="D21" t="s">
        <v>425</v>
      </c>
      <c r="E21" t="s">
        <v>1144</v>
      </c>
      <c r="F21" s="3">
        <v>45701</v>
      </c>
      <c r="G21" s="3">
        <v>45701</v>
      </c>
      <c r="H21">
        <v>1</v>
      </c>
    </row>
    <row r="22" spans="1:8" ht="15.75" customHeight="1">
      <c r="A22" t="s">
        <v>572</v>
      </c>
      <c r="B22" t="s">
        <v>1162</v>
      </c>
      <c r="C22" t="s">
        <v>139</v>
      </c>
      <c r="D22" t="s">
        <v>425</v>
      </c>
      <c r="E22" t="s">
        <v>1144</v>
      </c>
      <c r="F22" s="3">
        <v>45701</v>
      </c>
      <c r="G22" s="3">
        <v>45701</v>
      </c>
      <c r="H22">
        <v>1</v>
      </c>
    </row>
    <row r="23" spans="1:8" ht="15.75" customHeight="1">
      <c r="A23" t="s">
        <v>482</v>
      </c>
      <c r="B23" t="s">
        <v>1163</v>
      </c>
      <c r="C23" t="s">
        <v>461</v>
      </c>
      <c r="D23" t="s">
        <v>425</v>
      </c>
      <c r="E23" t="s">
        <v>1144</v>
      </c>
      <c r="F23" s="3">
        <v>45701</v>
      </c>
      <c r="G23" s="3">
        <v>45701</v>
      </c>
      <c r="H23">
        <v>1</v>
      </c>
    </row>
    <row r="24" spans="1:8" ht="15.75" customHeight="1">
      <c r="A24" t="s">
        <v>496</v>
      </c>
      <c r="B24" t="s">
        <v>1164</v>
      </c>
      <c r="C24" t="s">
        <v>461</v>
      </c>
      <c r="D24" t="s">
        <v>425</v>
      </c>
      <c r="E24" t="s">
        <v>1144</v>
      </c>
      <c r="F24" s="3">
        <v>45701</v>
      </c>
      <c r="G24" s="3">
        <v>45701</v>
      </c>
      <c r="H24">
        <v>1</v>
      </c>
    </row>
    <row r="25" spans="1:8" ht="15.75" customHeight="1">
      <c r="A25" t="s">
        <v>526</v>
      </c>
      <c r="B25" t="s">
        <v>1165</v>
      </c>
      <c r="C25" t="s">
        <v>461</v>
      </c>
      <c r="D25" t="s">
        <v>425</v>
      </c>
      <c r="E25" t="s">
        <v>1144</v>
      </c>
      <c r="F25" s="3">
        <v>45701</v>
      </c>
      <c r="G25" s="3">
        <v>45701</v>
      </c>
      <c r="H25">
        <v>1</v>
      </c>
    </row>
    <row r="26" spans="1:8" ht="15.75" customHeight="1">
      <c r="A26" t="s">
        <v>442</v>
      </c>
      <c r="B26" t="s">
        <v>1166</v>
      </c>
      <c r="C26" t="s">
        <v>444</v>
      </c>
      <c r="D26" t="s">
        <v>425</v>
      </c>
      <c r="E26" t="s">
        <v>1144</v>
      </c>
      <c r="F26" s="3">
        <v>45701</v>
      </c>
      <c r="G26" s="3">
        <v>45701</v>
      </c>
      <c r="H26">
        <v>1</v>
      </c>
    </row>
    <row r="27" spans="1:8" ht="15.75" customHeight="1">
      <c r="A27" t="s">
        <v>633</v>
      </c>
      <c r="B27" t="s">
        <v>1167</v>
      </c>
      <c r="C27" t="s">
        <v>168</v>
      </c>
      <c r="D27" t="s">
        <v>425</v>
      </c>
      <c r="E27" t="s">
        <v>1144</v>
      </c>
      <c r="F27" s="3">
        <v>45701</v>
      </c>
      <c r="G27" s="3">
        <v>45701</v>
      </c>
      <c r="H27">
        <v>1</v>
      </c>
    </row>
    <row r="28" spans="1:8" ht="15.75" customHeight="1">
      <c r="A28" t="s">
        <v>957</v>
      </c>
      <c r="B28" t="s">
        <v>958</v>
      </c>
      <c r="C28" t="s">
        <v>959</v>
      </c>
      <c r="D28" t="s">
        <v>425</v>
      </c>
      <c r="E28" t="s">
        <v>1144</v>
      </c>
      <c r="F28" s="3">
        <v>45701</v>
      </c>
      <c r="G28" s="3">
        <v>45701</v>
      </c>
      <c r="H28">
        <v>1</v>
      </c>
    </row>
    <row r="29" spans="1:8" ht="15.75" customHeight="1">
      <c r="A29" t="s">
        <v>614</v>
      </c>
      <c r="B29" t="s">
        <v>1168</v>
      </c>
      <c r="C29" t="s">
        <v>461</v>
      </c>
      <c r="D29" t="s">
        <v>425</v>
      </c>
      <c r="E29" t="s">
        <v>1144</v>
      </c>
      <c r="F29" s="3">
        <v>45701</v>
      </c>
      <c r="G29" s="3">
        <v>45701</v>
      </c>
      <c r="H29">
        <v>1</v>
      </c>
    </row>
    <row r="30" spans="1:8" ht="15.75" customHeight="1">
      <c r="A30" t="s">
        <v>642</v>
      </c>
      <c r="B30" t="s">
        <v>1169</v>
      </c>
      <c r="C30" t="s">
        <v>139</v>
      </c>
      <c r="D30" t="s">
        <v>425</v>
      </c>
      <c r="E30" t="s">
        <v>1144</v>
      </c>
      <c r="F30" s="3">
        <v>45701</v>
      </c>
      <c r="G30" s="3">
        <v>45701</v>
      </c>
      <c r="H30">
        <v>1</v>
      </c>
    </row>
    <row r="31" spans="1:8" ht="15.75" customHeight="1">
      <c r="A31" t="s">
        <v>1170</v>
      </c>
    </row>
    <row r="32" spans="1:8" ht="15.75" customHeight="1">
      <c r="A32" t="s">
        <v>584</v>
      </c>
      <c r="B32" t="s">
        <v>1171</v>
      </c>
      <c r="C32" t="s">
        <v>64</v>
      </c>
      <c r="D32" t="s">
        <v>425</v>
      </c>
      <c r="E32" t="s">
        <v>1172</v>
      </c>
      <c r="F32" s="3">
        <v>45888</v>
      </c>
      <c r="G32" s="3">
        <v>45888</v>
      </c>
      <c r="H32">
        <v>1</v>
      </c>
    </row>
    <row r="33" spans="1:8" ht="15.75" customHeight="1">
      <c r="A33" t="s">
        <v>552</v>
      </c>
      <c r="B33" t="s">
        <v>1173</v>
      </c>
      <c r="C33" t="s">
        <v>39</v>
      </c>
      <c r="D33" t="s">
        <v>425</v>
      </c>
      <c r="E33" t="s">
        <v>1172</v>
      </c>
      <c r="F33" s="3">
        <v>45888</v>
      </c>
      <c r="G33" s="3">
        <v>45888</v>
      </c>
      <c r="H33">
        <v>1</v>
      </c>
    </row>
    <row r="34" spans="1:8" ht="15.75" customHeight="1">
      <c r="A34" t="s">
        <v>548</v>
      </c>
      <c r="B34" t="s">
        <v>1174</v>
      </c>
      <c r="C34" t="s">
        <v>39</v>
      </c>
      <c r="D34" t="s">
        <v>425</v>
      </c>
      <c r="E34" t="s">
        <v>1172</v>
      </c>
      <c r="F34" s="3">
        <v>45888</v>
      </c>
      <c r="G34" s="3">
        <v>45888</v>
      </c>
      <c r="H34">
        <v>1</v>
      </c>
    </row>
    <row r="35" spans="1:8" ht="15.75" customHeight="1">
      <c r="A35" t="s">
        <v>1061</v>
      </c>
      <c r="B35" t="s">
        <v>1175</v>
      </c>
      <c r="C35" t="s">
        <v>1060</v>
      </c>
      <c r="D35" t="s">
        <v>425</v>
      </c>
      <c r="E35" t="s">
        <v>1172</v>
      </c>
      <c r="F35" s="3">
        <v>45888</v>
      </c>
      <c r="G35" s="3">
        <v>45888</v>
      </c>
      <c r="H35">
        <v>1</v>
      </c>
    </row>
    <row r="36" spans="1:8" ht="15.75" customHeight="1">
      <c r="A36" t="s">
        <v>459</v>
      </c>
      <c r="B36" t="s">
        <v>1176</v>
      </c>
      <c r="C36" t="s">
        <v>461</v>
      </c>
      <c r="D36" t="s">
        <v>425</v>
      </c>
      <c r="E36" t="s">
        <v>1172</v>
      </c>
      <c r="F36" s="3">
        <v>45888</v>
      </c>
      <c r="G36" s="3">
        <v>45888</v>
      </c>
      <c r="H36">
        <v>1</v>
      </c>
    </row>
    <row r="37" spans="1:8" ht="15.75" customHeight="1">
      <c r="A37" t="s">
        <v>1050</v>
      </c>
      <c r="B37" t="s">
        <v>1177</v>
      </c>
      <c r="C37" t="s">
        <v>1049</v>
      </c>
      <c r="D37" t="s">
        <v>425</v>
      </c>
      <c r="E37" t="s">
        <v>1172</v>
      </c>
      <c r="F37" s="3">
        <v>45888</v>
      </c>
      <c r="G37" s="3">
        <v>45888</v>
      </c>
      <c r="H37">
        <v>1</v>
      </c>
    </row>
    <row r="38" spans="1:8" ht="15.75" customHeight="1">
      <c r="A38" t="s">
        <v>478</v>
      </c>
      <c r="B38" t="s">
        <v>1178</v>
      </c>
      <c r="C38" t="s">
        <v>461</v>
      </c>
      <c r="D38" t="s">
        <v>425</v>
      </c>
      <c r="E38" t="s">
        <v>1172</v>
      </c>
      <c r="F38" s="3">
        <v>45888</v>
      </c>
      <c r="G38" s="3">
        <v>45888</v>
      </c>
      <c r="H38">
        <v>1</v>
      </c>
    </row>
    <row r="39" spans="1:8" ht="15.75" customHeight="1">
      <c r="A39" t="s">
        <v>482</v>
      </c>
      <c r="B39" t="s">
        <v>1163</v>
      </c>
      <c r="C39" t="s">
        <v>461</v>
      </c>
      <c r="D39" t="s">
        <v>425</v>
      </c>
      <c r="E39" t="s">
        <v>1172</v>
      </c>
      <c r="F39" s="3">
        <v>45888</v>
      </c>
      <c r="G39" s="3">
        <v>45888</v>
      </c>
      <c r="H39">
        <v>1</v>
      </c>
    </row>
    <row r="40" spans="1:8" ht="15.75" customHeight="1">
      <c r="A40" t="s">
        <v>492</v>
      </c>
      <c r="B40" t="s">
        <v>1179</v>
      </c>
      <c r="C40" t="s">
        <v>461</v>
      </c>
      <c r="D40" t="s">
        <v>425</v>
      </c>
      <c r="E40" t="s">
        <v>1172</v>
      </c>
      <c r="F40" s="3">
        <v>45888</v>
      </c>
      <c r="G40" s="3">
        <v>45888</v>
      </c>
      <c r="H40">
        <v>1</v>
      </c>
    </row>
    <row r="41" spans="1:8" ht="15.75" customHeight="1">
      <c r="A41" t="s">
        <v>500</v>
      </c>
      <c r="B41" t="s">
        <v>1180</v>
      </c>
      <c r="C41" t="s">
        <v>461</v>
      </c>
      <c r="D41" t="s">
        <v>425</v>
      </c>
      <c r="E41" t="s">
        <v>1172</v>
      </c>
      <c r="F41" s="3">
        <v>45888</v>
      </c>
      <c r="G41" s="3">
        <v>45888</v>
      </c>
      <c r="H41">
        <v>1</v>
      </c>
    </row>
    <row r="42" spans="1:8" ht="15.75" customHeight="1">
      <c r="A42" t="s">
        <v>518</v>
      </c>
      <c r="B42" t="s">
        <v>1181</v>
      </c>
      <c r="C42" t="s">
        <v>461</v>
      </c>
      <c r="D42" t="s">
        <v>425</v>
      </c>
      <c r="E42" t="s">
        <v>1172</v>
      </c>
      <c r="F42" s="3">
        <v>45888</v>
      </c>
      <c r="G42" s="3">
        <v>45888</v>
      </c>
      <c r="H42">
        <v>1</v>
      </c>
    </row>
    <row r="43" spans="1:8" ht="15.75" customHeight="1">
      <c r="A43" t="s">
        <v>530</v>
      </c>
      <c r="B43" t="s">
        <v>531</v>
      </c>
      <c r="C43" t="s">
        <v>461</v>
      </c>
      <c r="D43" t="s">
        <v>425</v>
      </c>
      <c r="E43" t="s">
        <v>1172</v>
      </c>
      <c r="F43" s="3">
        <v>45888</v>
      </c>
      <c r="G43" s="3">
        <v>45888</v>
      </c>
      <c r="H43">
        <v>1</v>
      </c>
    </row>
    <row r="44" spans="1:8" ht="15.75" customHeight="1">
      <c r="A44" t="s">
        <v>1182</v>
      </c>
      <c r="B44" t="s">
        <v>1183</v>
      </c>
      <c r="E44" t="s">
        <v>1172</v>
      </c>
      <c r="F44" s="3">
        <v>45888</v>
      </c>
      <c r="G44" s="3">
        <v>45888</v>
      </c>
      <c r="H44">
        <v>1</v>
      </c>
    </row>
    <row r="45" spans="1:8" ht="15.75" customHeight="1">
      <c r="A45" t="s">
        <v>1184</v>
      </c>
      <c r="B45" t="s">
        <v>1185</v>
      </c>
      <c r="E45" t="s">
        <v>1172</v>
      </c>
      <c r="F45" s="3">
        <v>45888</v>
      </c>
      <c r="G45" s="3">
        <v>45888</v>
      </c>
      <c r="H45">
        <v>1</v>
      </c>
    </row>
    <row r="46" spans="1:8" ht="15.75" customHeight="1">
      <c r="A46" t="s">
        <v>1186</v>
      </c>
      <c r="B46" t="s">
        <v>1187</v>
      </c>
      <c r="E46" t="s">
        <v>1172</v>
      </c>
      <c r="F46" s="3">
        <v>45888</v>
      </c>
      <c r="G46" s="3">
        <v>45888</v>
      </c>
      <c r="H46">
        <v>1</v>
      </c>
    </row>
    <row r="47" spans="1:8" ht="15.75" customHeight="1">
      <c r="A47" t="s">
        <v>1095</v>
      </c>
      <c r="B47" t="s">
        <v>1188</v>
      </c>
      <c r="C47" t="s">
        <v>1032</v>
      </c>
      <c r="D47" t="s">
        <v>425</v>
      </c>
      <c r="E47" t="s">
        <v>1172</v>
      </c>
      <c r="F47" s="3">
        <v>45888</v>
      </c>
      <c r="G47" s="3">
        <v>45888</v>
      </c>
      <c r="H47">
        <v>1</v>
      </c>
    </row>
    <row r="48" spans="1:8" ht="15.75" customHeight="1">
      <c r="A48" t="s">
        <v>608</v>
      </c>
      <c r="B48" t="s">
        <v>1189</v>
      </c>
      <c r="C48" t="s">
        <v>441</v>
      </c>
      <c r="D48" t="s">
        <v>425</v>
      </c>
      <c r="E48" t="s">
        <v>1172</v>
      </c>
      <c r="F48" s="3">
        <v>45888</v>
      </c>
      <c r="G48" s="3">
        <v>45888</v>
      </c>
      <c r="H48">
        <v>1</v>
      </c>
    </row>
    <row r="49" spans="1:8" ht="15.75" customHeight="1">
      <c r="A49" t="s">
        <v>1072</v>
      </c>
      <c r="B49" t="s">
        <v>1190</v>
      </c>
      <c r="C49" t="s">
        <v>959</v>
      </c>
      <c r="D49" t="s">
        <v>425</v>
      </c>
      <c r="E49" t="s">
        <v>1172</v>
      </c>
      <c r="F49" s="3">
        <v>45888</v>
      </c>
      <c r="G49" s="3">
        <v>45888</v>
      </c>
      <c r="H49">
        <v>1</v>
      </c>
    </row>
    <row r="50" spans="1:8" ht="15.75" customHeight="1">
      <c r="A50" t="s">
        <v>999</v>
      </c>
      <c r="B50" t="s">
        <v>1000</v>
      </c>
      <c r="C50" t="s">
        <v>1001</v>
      </c>
      <c r="D50" t="s">
        <v>425</v>
      </c>
      <c r="E50" t="s">
        <v>1172</v>
      </c>
      <c r="F50" s="3">
        <v>45888</v>
      </c>
      <c r="G50" s="3">
        <v>45888</v>
      </c>
      <c r="H50">
        <v>1</v>
      </c>
    </row>
    <row r="51" spans="1:8" ht="15.75" customHeight="1">
      <c r="A51" t="s">
        <v>978</v>
      </c>
      <c r="B51" t="s">
        <v>979</v>
      </c>
      <c r="C51" t="s">
        <v>971</v>
      </c>
      <c r="D51" t="s">
        <v>425</v>
      </c>
      <c r="E51" t="s">
        <v>1172</v>
      </c>
      <c r="F51" s="3">
        <v>45888</v>
      </c>
      <c r="G51" s="3">
        <v>45888</v>
      </c>
      <c r="H51">
        <v>1</v>
      </c>
    </row>
    <row r="52" spans="1:8" ht="15.75" customHeight="1">
      <c r="A52" t="s">
        <v>593</v>
      </c>
      <c r="B52" t="s">
        <v>1160</v>
      </c>
      <c r="C52" t="s">
        <v>168</v>
      </c>
      <c r="D52" t="s">
        <v>425</v>
      </c>
      <c r="E52" t="s">
        <v>1172</v>
      </c>
      <c r="F52" s="3">
        <v>45889</v>
      </c>
      <c r="G52" s="3">
        <v>45889</v>
      </c>
      <c r="H52">
        <v>1</v>
      </c>
    </row>
    <row r="53" spans="1:8" ht="15.75" customHeight="1">
      <c r="A53" t="s">
        <v>582</v>
      </c>
      <c r="B53" t="s">
        <v>1191</v>
      </c>
      <c r="C53" t="s">
        <v>64</v>
      </c>
      <c r="D53" t="s">
        <v>425</v>
      </c>
      <c r="E53" t="s">
        <v>1172</v>
      </c>
      <c r="F53" s="3">
        <v>45889</v>
      </c>
      <c r="G53" s="3">
        <v>45889</v>
      </c>
      <c r="H53">
        <v>1</v>
      </c>
    </row>
    <row r="54" spans="1:8" ht="15.75" customHeight="1">
      <c r="A54" t="s">
        <v>574</v>
      </c>
      <c r="B54" t="s">
        <v>1154</v>
      </c>
      <c r="C54" t="s">
        <v>139</v>
      </c>
      <c r="D54" t="s">
        <v>425</v>
      </c>
      <c r="E54" t="s">
        <v>1172</v>
      </c>
      <c r="F54" s="3">
        <v>45889</v>
      </c>
      <c r="G54" s="3">
        <v>45889</v>
      </c>
      <c r="H54">
        <v>1</v>
      </c>
    </row>
    <row r="55" spans="1:8" ht="15.75" customHeight="1">
      <c r="A55" t="s">
        <v>546</v>
      </c>
      <c r="B55" t="s">
        <v>1192</v>
      </c>
      <c r="C55" t="s">
        <v>39</v>
      </c>
      <c r="D55" t="s">
        <v>425</v>
      </c>
      <c r="E55" t="s">
        <v>1172</v>
      </c>
      <c r="F55" s="3">
        <v>45889</v>
      </c>
      <c r="G55" s="3">
        <v>45889</v>
      </c>
      <c r="H55">
        <v>1</v>
      </c>
    </row>
    <row r="56" spans="1:8" ht="15.75" customHeight="1">
      <c r="A56" t="s">
        <v>462</v>
      </c>
      <c r="B56" t="s">
        <v>1193</v>
      </c>
      <c r="C56" t="s">
        <v>461</v>
      </c>
      <c r="D56" t="s">
        <v>425</v>
      </c>
      <c r="E56" t="s">
        <v>1172</v>
      </c>
      <c r="F56" s="3">
        <v>45889</v>
      </c>
      <c r="G56" s="3">
        <v>45889</v>
      </c>
      <c r="H56">
        <v>1</v>
      </c>
    </row>
    <row r="57" spans="1:8" ht="15.75" customHeight="1">
      <c r="A57" t="s">
        <v>502</v>
      </c>
      <c r="B57" t="s">
        <v>1194</v>
      </c>
      <c r="C57" t="s">
        <v>461</v>
      </c>
      <c r="D57" t="s">
        <v>425</v>
      </c>
      <c r="E57" t="s">
        <v>1172</v>
      </c>
      <c r="F57" s="3">
        <v>45889</v>
      </c>
      <c r="G57" s="3">
        <v>45889</v>
      </c>
      <c r="H57">
        <v>1</v>
      </c>
    </row>
    <row r="58" spans="1:8" ht="15.75" customHeight="1">
      <c r="A58" t="s">
        <v>534</v>
      </c>
      <c r="B58" t="s">
        <v>1195</v>
      </c>
      <c r="C58" t="s">
        <v>461</v>
      </c>
      <c r="D58" t="s">
        <v>425</v>
      </c>
      <c r="E58" t="s">
        <v>1172</v>
      </c>
      <c r="F58" s="3">
        <v>45889</v>
      </c>
      <c r="G58" s="3">
        <v>45889</v>
      </c>
      <c r="H58">
        <v>1</v>
      </c>
    </row>
    <row r="59" spans="1:8" ht="15.75" customHeight="1">
      <c r="A59" t="s">
        <v>453</v>
      </c>
      <c r="B59" t="s">
        <v>1196</v>
      </c>
      <c r="C59" t="s">
        <v>93</v>
      </c>
      <c r="D59" t="s">
        <v>425</v>
      </c>
      <c r="E59" t="s">
        <v>1172</v>
      </c>
      <c r="F59" s="3">
        <v>45889</v>
      </c>
      <c r="G59" s="3">
        <v>45889</v>
      </c>
      <c r="H59">
        <v>1</v>
      </c>
    </row>
    <row r="60" spans="1:8" ht="15.75" customHeight="1">
      <c r="A60" t="s">
        <v>1015</v>
      </c>
      <c r="B60" t="s">
        <v>1197</v>
      </c>
      <c r="C60" t="s">
        <v>1017</v>
      </c>
      <c r="D60" t="s">
        <v>425</v>
      </c>
      <c r="E60" t="s">
        <v>1172</v>
      </c>
      <c r="F60" s="3">
        <v>45889</v>
      </c>
      <c r="G60" s="3">
        <v>45889</v>
      </c>
      <c r="H60">
        <v>1</v>
      </c>
    </row>
    <row r="61" spans="1:8" ht="15.75" customHeight="1">
      <c r="A61" t="s">
        <v>1033</v>
      </c>
      <c r="B61" t="s">
        <v>1198</v>
      </c>
      <c r="C61" t="s">
        <v>1035</v>
      </c>
      <c r="D61" t="s">
        <v>425</v>
      </c>
      <c r="E61" t="s">
        <v>1172</v>
      </c>
      <c r="F61" s="3">
        <v>45889</v>
      </c>
      <c r="G61" s="3">
        <v>45889</v>
      </c>
      <c r="H61">
        <v>1</v>
      </c>
    </row>
    <row r="62" spans="1:8" ht="15.75" customHeight="1">
      <c r="A62" t="s">
        <v>449</v>
      </c>
      <c r="B62" t="s">
        <v>1199</v>
      </c>
      <c r="C62" t="s">
        <v>444</v>
      </c>
      <c r="D62" t="s">
        <v>425</v>
      </c>
      <c r="E62" t="s">
        <v>1172</v>
      </c>
      <c r="F62" s="3">
        <v>45889</v>
      </c>
      <c r="G62" s="3">
        <v>45889</v>
      </c>
      <c r="H62">
        <v>1</v>
      </c>
    </row>
    <row r="63" spans="1:8" ht="15.75" customHeight="1">
      <c r="A63" t="s">
        <v>1200</v>
      </c>
      <c r="B63" t="s">
        <v>1201</v>
      </c>
      <c r="E63" t="s">
        <v>1172</v>
      </c>
      <c r="F63" s="3">
        <v>45889</v>
      </c>
      <c r="G63" s="3">
        <v>45889</v>
      </c>
      <c r="H63">
        <v>1</v>
      </c>
    </row>
    <row r="64" spans="1:8" ht="15.75" customHeight="1">
      <c r="A64" t="s">
        <v>1202</v>
      </c>
      <c r="B64" t="s">
        <v>1203</v>
      </c>
      <c r="E64" t="s">
        <v>1172</v>
      </c>
      <c r="F64" s="3">
        <v>45889</v>
      </c>
      <c r="G64" s="3">
        <v>45889</v>
      </c>
      <c r="H64">
        <v>1</v>
      </c>
    </row>
    <row r="65" spans="1:8" ht="15.75" customHeight="1">
      <c r="A65" t="s">
        <v>1204</v>
      </c>
      <c r="B65" t="s">
        <v>1205</v>
      </c>
      <c r="E65" t="s">
        <v>1172</v>
      </c>
      <c r="F65" s="3">
        <v>45889</v>
      </c>
      <c r="G65" s="3">
        <v>45889</v>
      </c>
      <c r="H65">
        <v>1</v>
      </c>
    </row>
    <row r="66" spans="1:8" ht="15.75" customHeight="1">
      <c r="A66" t="s">
        <v>629</v>
      </c>
      <c r="B66" t="s">
        <v>1206</v>
      </c>
      <c r="C66" t="s">
        <v>139</v>
      </c>
      <c r="D66" t="s">
        <v>425</v>
      </c>
      <c r="E66" t="s">
        <v>1172</v>
      </c>
      <c r="F66" s="3">
        <v>45889</v>
      </c>
      <c r="G66" s="3">
        <v>45889</v>
      </c>
      <c r="H66">
        <v>1</v>
      </c>
    </row>
    <row r="67" spans="1:8" ht="15.75" customHeight="1">
      <c r="A67" t="s">
        <v>994</v>
      </c>
      <c r="B67" t="s">
        <v>995</v>
      </c>
      <c r="C67" t="s">
        <v>991</v>
      </c>
      <c r="D67" t="s">
        <v>425</v>
      </c>
      <c r="E67" t="s">
        <v>1172</v>
      </c>
      <c r="F67" s="3">
        <v>45889</v>
      </c>
      <c r="G67" s="3">
        <v>45889</v>
      </c>
      <c r="H67">
        <v>1</v>
      </c>
    </row>
    <row r="68" spans="1:8" ht="15.75" customHeight="1">
      <c r="A68" t="s">
        <v>974</v>
      </c>
      <c r="B68" t="s">
        <v>975</v>
      </c>
      <c r="C68" t="s">
        <v>971</v>
      </c>
      <c r="D68" t="s">
        <v>425</v>
      </c>
      <c r="E68" t="s">
        <v>1172</v>
      </c>
      <c r="F68" s="3">
        <v>45889</v>
      </c>
      <c r="G68" s="3">
        <v>45889</v>
      </c>
      <c r="H68">
        <v>1</v>
      </c>
    </row>
    <row r="69" spans="1:8" ht="15.75" customHeight="1">
      <c r="A69" t="s">
        <v>961</v>
      </c>
      <c r="B69" t="s">
        <v>1207</v>
      </c>
      <c r="C69" t="s">
        <v>963</v>
      </c>
      <c r="D69" t="s">
        <v>425</v>
      </c>
      <c r="E69" t="s">
        <v>1172</v>
      </c>
      <c r="F69" s="3">
        <v>45889</v>
      </c>
      <c r="G69" s="3">
        <v>45889</v>
      </c>
      <c r="H69">
        <v>1</v>
      </c>
    </row>
    <row r="70" spans="1:8" ht="15.75" customHeight="1">
      <c r="A70" t="s">
        <v>1074</v>
      </c>
      <c r="B70" t="s">
        <v>1208</v>
      </c>
      <c r="C70" t="s">
        <v>966</v>
      </c>
      <c r="D70" t="s">
        <v>425</v>
      </c>
      <c r="E70" t="s">
        <v>1172</v>
      </c>
      <c r="F70" s="3">
        <v>45889</v>
      </c>
      <c r="G70" s="3">
        <v>45889</v>
      </c>
      <c r="H70">
        <v>1</v>
      </c>
    </row>
    <row r="71" spans="1:8" ht="15.75" customHeight="1">
      <c r="A71" t="s">
        <v>588</v>
      </c>
      <c r="B71" t="s">
        <v>1209</v>
      </c>
      <c r="C71" t="s">
        <v>438</v>
      </c>
      <c r="D71" t="s">
        <v>425</v>
      </c>
      <c r="E71" t="s">
        <v>1172</v>
      </c>
      <c r="F71" s="3">
        <v>45890</v>
      </c>
      <c r="G71" s="3">
        <v>45890</v>
      </c>
      <c r="H71">
        <v>1</v>
      </c>
    </row>
    <row r="72" spans="1:8" ht="15.75" customHeight="1">
      <c r="A72" t="s">
        <v>560</v>
      </c>
      <c r="B72" t="s">
        <v>1210</v>
      </c>
      <c r="C72" t="s">
        <v>139</v>
      </c>
      <c r="D72" t="s">
        <v>425</v>
      </c>
      <c r="E72" t="s">
        <v>1172</v>
      </c>
      <c r="F72" s="3">
        <v>45890</v>
      </c>
      <c r="G72" s="3">
        <v>45890</v>
      </c>
      <c r="H72">
        <v>1</v>
      </c>
    </row>
    <row r="73" spans="1:8" ht="15.75" customHeight="1">
      <c r="A73" t="s">
        <v>564</v>
      </c>
      <c r="B73" t="s">
        <v>1211</v>
      </c>
      <c r="C73" t="s">
        <v>139</v>
      </c>
      <c r="D73" t="s">
        <v>425</v>
      </c>
      <c r="E73" t="s">
        <v>1172</v>
      </c>
      <c r="F73" s="3">
        <v>45890</v>
      </c>
      <c r="G73" s="3">
        <v>45890</v>
      </c>
      <c r="H73">
        <v>1</v>
      </c>
    </row>
    <row r="74" spans="1:8" ht="15.75" customHeight="1">
      <c r="A74" t="s">
        <v>566</v>
      </c>
      <c r="B74" t="s">
        <v>1152</v>
      </c>
      <c r="C74" t="s">
        <v>139</v>
      </c>
      <c r="D74" t="s">
        <v>425</v>
      </c>
      <c r="E74" t="s">
        <v>1172</v>
      </c>
      <c r="F74" s="3">
        <v>45890</v>
      </c>
      <c r="G74" s="3">
        <v>45890</v>
      </c>
      <c r="H74">
        <v>1</v>
      </c>
    </row>
    <row r="75" spans="1:8" ht="15.75" customHeight="1">
      <c r="A75" t="s">
        <v>570</v>
      </c>
      <c r="B75" t="s">
        <v>1153</v>
      </c>
      <c r="C75" t="s">
        <v>139</v>
      </c>
      <c r="D75" t="s">
        <v>425</v>
      </c>
      <c r="E75" t="s">
        <v>1172</v>
      </c>
      <c r="F75" s="3">
        <v>45890</v>
      </c>
      <c r="G75" s="3">
        <v>45890</v>
      </c>
      <c r="H75">
        <v>1</v>
      </c>
    </row>
    <row r="76" spans="1:8" ht="15.75" customHeight="1">
      <c r="A76" t="s">
        <v>666</v>
      </c>
      <c r="B76" t="s">
        <v>1212</v>
      </c>
      <c r="C76" t="s">
        <v>39</v>
      </c>
      <c r="D76" t="s">
        <v>425</v>
      </c>
      <c r="E76" t="s">
        <v>1172</v>
      </c>
      <c r="F76" s="3">
        <v>45890</v>
      </c>
      <c r="G76" s="3">
        <v>45890</v>
      </c>
      <c r="H76">
        <v>1</v>
      </c>
    </row>
    <row r="77" spans="1:8" ht="15.75" customHeight="1">
      <c r="A77" t="s">
        <v>1054</v>
      </c>
      <c r="B77" t="s">
        <v>1213</v>
      </c>
      <c r="C77" t="s">
        <v>1049</v>
      </c>
      <c r="D77" t="s">
        <v>425</v>
      </c>
      <c r="E77" t="s">
        <v>1172</v>
      </c>
      <c r="F77" s="3">
        <v>45890</v>
      </c>
      <c r="G77" s="3">
        <v>45890</v>
      </c>
      <c r="H77">
        <v>1</v>
      </c>
    </row>
    <row r="78" spans="1:8" ht="15.75" customHeight="1">
      <c r="A78" t="s">
        <v>490</v>
      </c>
      <c r="B78" t="s">
        <v>1214</v>
      </c>
      <c r="C78" t="s">
        <v>461</v>
      </c>
      <c r="D78" t="s">
        <v>425</v>
      </c>
      <c r="E78" t="s">
        <v>1172</v>
      </c>
      <c r="F78" s="3">
        <v>45890</v>
      </c>
      <c r="G78" s="3">
        <v>45890</v>
      </c>
      <c r="H78">
        <v>1</v>
      </c>
    </row>
    <row r="79" spans="1:8" ht="15.75" customHeight="1">
      <c r="A79" t="s">
        <v>498</v>
      </c>
      <c r="B79" t="s">
        <v>1215</v>
      </c>
      <c r="C79" t="s">
        <v>461</v>
      </c>
      <c r="D79" t="s">
        <v>425</v>
      </c>
      <c r="E79" t="s">
        <v>1172</v>
      </c>
      <c r="F79" s="3">
        <v>45890</v>
      </c>
      <c r="G79" s="3">
        <v>45890</v>
      </c>
      <c r="H79">
        <v>1</v>
      </c>
    </row>
    <row r="80" spans="1:8" ht="15.75" customHeight="1">
      <c r="A80" t="s">
        <v>445</v>
      </c>
      <c r="B80" t="s">
        <v>1216</v>
      </c>
      <c r="C80" t="s">
        <v>444</v>
      </c>
      <c r="D80" t="s">
        <v>425</v>
      </c>
      <c r="E80" t="s">
        <v>1172</v>
      </c>
      <c r="F80" s="3">
        <v>45890</v>
      </c>
      <c r="G80" s="3">
        <v>45890</v>
      </c>
      <c r="H80">
        <v>1</v>
      </c>
    </row>
    <row r="81" spans="1:8" ht="15.75" customHeight="1">
      <c r="A81" t="s">
        <v>1217</v>
      </c>
      <c r="B81" t="s">
        <v>1218</v>
      </c>
      <c r="E81" t="s">
        <v>1172</v>
      </c>
      <c r="F81" s="3">
        <v>45890</v>
      </c>
      <c r="G81" s="3">
        <v>45890</v>
      </c>
      <c r="H81">
        <v>1</v>
      </c>
    </row>
    <row r="82" spans="1:8" ht="15.75" customHeight="1">
      <c r="A82" t="s">
        <v>1219</v>
      </c>
      <c r="B82" t="s">
        <v>1220</v>
      </c>
      <c r="E82" t="s">
        <v>1172</v>
      </c>
      <c r="F82" s="3">
        <v>45890</v>
      </c>
      <c r="G82" s="3">
        <v>45890</v>
      </c>
      <c r="H82">
        <v>1</v>
      </c>
    </row>
    <row r="83" spans="1:8" ht="15.75" customHeight="1">
      <c r="A83" t="s">
        <v>1221</v>
      </c>
      <c r="B83" t="s">
        <v>1222</v>
      </c>
      <c r="E83" t="s">
        <v>1172</v>
      </c>
      <c r="F83" s="3">
        <v>45890</v>
      </c>
      <c r="G83" s="3">
        <v>45890</v>
      </c>
      <c r="H83">
        <v>1</v>
      </c>
    </row>
    <row r="84" spans="1:8" ht="15.75" customHeight="1">
      <c r="A84" t="s">
        <v>621</v>
      </c>
      <c r="B84" t="s">
        <v>1223</v>
      </c>
      <c r="C84" t="s">
        <v>461</v>
      </c>
      <c r="D84" t="s">
        <v>425</v>
      </c>
      <c r="E84" t="s">
        <v>1172</v>
      </c>
      <c r="F84" s="3">
        <v>45890</v>
      </c>
      <c r="G84" s="3">
        <v>45890</v>
      </c>
      <c r="H84">
        <v>1</v>
      </c>
    </row>
    <row r="85" spans="1:8" ht="15.75" customHeight="1">
      <c r="A85" t="s">
        <v>1101</v>
      </c>
      <c r="B85" t="s">
        <v>1224</v>
      </c>
      <c r="C85" t="s">
        <v>1040</v>
      </c>
      <c r="D85" t="s">
        <v>425</v>
      </c>
      <c r="E85" t="s">
        <v>1172</v>
      </c>
      <c r="F85" s="3">
        <v>45890</v>
      </c>
      <c r="G85" s="3">
        <v>45890</v>
      </c>
      <c r="H85">
        <v>1</v>
      </c>
    </row>
    <row r="86" spans="1:8" ht="15.75" customHeight="1">
      <c r="A86" t="s">
        <v>976</v>
      </c>
      <c r="B86" t="s">
        <v>1225</v>
      </c>
      <c r="C86" t="s">
        <v>971</v>
      </c>
      <c r="D86" t="s">
        <v>425</v>
      </c>
      <c r="E86" t="s">
        <v>1172</v>
      </c>
      <c r="F86" s="3">
        <v>45890</v>
      </c>
      <c r="G86" s="3">
        <v>45890</v>
      </c>
      <c r="H86">
        <v>1</v>
      </c>
    </row>
    <row r="87" spans="1:8" ht="15.75" customHeight="1">
      <c r="A87" t="s">
        <v>972</v>
      </c>
      <c r="B87" t="s">
        <v>973</v>
      </c>
      <c r="C87" t="s">
        <v>971</v>
      </c>
      <c r="D87" t="s">
        <v>425</v>
      </c>
      <c r="E87" t="s">
        <v>1172</v>
      </c>
      <c r="F87" s="3">
        <v>45890</v>
      </c>
      <c r="G87" s="3">
        <v>45890</v>
      </c>
      <c r="H87">
        <v>1</v>
      </c>
    </row>
    <row r="88" spans="1:8" ht="15.75" customHeight="1">
      <c r="A88" t="s">
        <v>595</v>
      </c>
      <c r="B88" t="s">
        <v>1226</v>
      </c>
      <c r="C88" t="s">
        <v>592</v>
      </c>
      <c r="D88" t="s">
        <v>425</v>
      </c>
      <c r="E88" t="s">
        <v>1172</v>
      </c>
      <c r="F88" s="3">
        <v>45891</v>
      </c>
      <c r="G88" s="3">
        <v>45891</v>
      </c>
      <c r="H88">
        <v>1</v>
      </c>
    </row>
    <row r="89" spans="1:8" ht="15.75" customHeight="1">
      <c r="A89" t="s">
        <v>542</v>
      </c>
      <c r="B89" t="s">
        <v>1150</v>
      </c>
      <c r="C89" t="s">
        <v>39</v>
      </c>
      <c r="D89" t="s">
        <v>425</v>
      </c>
      <c r="E89" t="s">
        <v>1172</v>
      </c>
      <c r="F89" s="3">
        <v>45891</v>
      </c>
      <c r="G89" s="3">
        <v>45891</v>
      </c>
      <c r="H89">
        <v>1</v>
      </c>
    </row>
    <row r="90" spans="1:8" ht="15.75" customHeight="1">
      <c r="A90" t="s">
        <v>1227</v>
      </c>
      <c r="B90" t="s">
        <v>1228</v>
      </c>
      <c r="E90" t="s">
        <v>1172</v>
      </c>
      <c r="F90" s="3">
        <v>45891</v>
      </c>
      <c r="G90" s="3">
        <v>45891</v>
      </c>
      <c r="H90">
        <v>1</v>
      </c>
    </row>
    <row r="91" spans="1:8" ht="15.75" customHeight="1">
      <c r="A91" t="s">
        <v>558</v>
      </c>
      <c r="B91" t="s">
        <v>1229</v>
      </c>
      <c r="C91" t="s">
        <v>139</v>
      </c>
      <c r="D91" t="s">
        <v>425</v>
      </c>
      <c r="E91" t="s">
        <v>1172</v>
      </c>
      <c r="F91" s="3">
        <v>45891</v>
      </c>
      <c r="G91" s="3">
        <v>45891</v>
      </c>
      <c r="H91">
        <v>1</v>
      </c>
    </row>
    <row r="92" spans="1:8" ht="15.75" customHeight="1">
      <c r="A92" t="s">
        <v>578</v>
      </c>
      <c r="B92" t="s">
        <v>1230</v>
      </c>
      <c r="C92" t="s">
        <v>139</v>
      </c>
      <c r="D92" t="s">
        <v>425</v>
      </c>
      <c r="E92" t="s">
        <v>1172</v>
      </c>
      <c r="F92" s="3">
        <v>45891</v>
      </c>
      <c r="G92" s="3">
        <v>45891</v>
      </c>
      <c r="H92">
        <v>1</v>
      </c>
    </row>
    <row r="93" spans="1:8" ht="15.75" customHeight="1">
      <c r="A93" t="s">
        <v>572</v>
      </c>
      <c r="B93" t="s">
        <v>1162</v>
      </c>
      <c r="C93" t="s">
        <v>139</v>
      </c>
      <c r="D93" t="s">
        <v>425</v>
      </c>
      <c r="E93" t="s">
        <v>1172</v>
      </c>
      <c r="F93" s="3">
        <v>45891</v>
      </c>
      <c r="G93" s="3">
        <v>45891</v>
      </c>
      <c r="H93">
        <v>1</v>
      </c>
    </row>
    <row r="94" spans="1:8" ht="15.75" customHeight="1">
      <c r="A94" t="s">
        <v>554</v>
      </c>
      <c r="B94" t="s">
        <v>1231</v>
      </c>
      <c r="C94" t="s">
        <v>39</v>
      </c>
      <c r="D94" t="s">
        <v>425</v>
      </c>
      <c r="E94" t="s">
        <v>1172</v>
      </c>
      <c r="F94" s="3">
        <v>45891</v>
      </c>
      <c r="G94" s="3">
        <v>45891</v>
      </c>
      <c r="H94">
        <v>1</v>
      </c>
    </row>
    <row r="95" spans="1:8" ht="15.75" customHeight="1">
      <c r="A95" t="s">
        <v>466</v>
      </c>
      <c r="B95" t="s">
        <v>1232</v>
      </c>
      <c r="C95" t="s">
        <v>461</v>
      </c>
      <c r="D95" t="s">
        <v>425</v>
      </c>
      <c r="E95" t="s">
        <v>1172</v>
      </c>
      <c r="F95" s="3">
        <v>45891</v>
      </c>
      <c r="G95" s="3">
        <v>45891</v>
      </c>
      <c r="H95">
        <v>1</v>
      </c>
    </row>
    <row r="96" spans="1:8" ht="15.75" customHeight="1">
      <c r="A96" t="s">
        <v>522</v>
      </c>
      <c r="B96" t="s">
        <v>1233</v>
      </c>
      <c r="C96" t="s">
        <v>461</v>
      </c>
      <c r="D96" t="s">
        <v>425</v>
      </c>
      <c r="E96" t="s">
        <v>1172</v>
      </c>
      <c r="F96" s="3">
        <v>45891</v>
      </c>
      <c r="G96" s="3">
        <v>45891</v>
      </c>
      <c r="H96">
        <v>1</v>
      </c>
    </row>
    <row r="97" spans="1:8" ht="15.75" customHeight="1">
      <c r="A97" t="s">
        <v>526</v>
      </c>
      <c r="B97" t="s">
        <v>1165</v>
      </c>
      <c r="C97" t="s">
        <v>461</v>
      </c>
      <c r="D97" t="s">
        <v>425</v>
      </c>
      <c r="E97" t="s">
        <v>1172</v>
      </c>
      <c r="F97" s="3">
        <v>45891</v>
      </c>
      <c r="G97" s="3">
        <v>45891</v>
      </c>
      <c r="H97">
        <v>1</v>
      </c>
    </row>
    <row r="98" spans="1:8" ht="15.75" customHeight="1">
      <c r="A98" t="s">
        <v>1023</v>
      </c>
      <c r="B98" t="s">
        <v>1234</v>
      </c>
      <c r="C98" t="s">
        <v>1022</v>
      </c>
      <c r="D98" t="s">
        <v>425</v>
      </c>
      <c r="E98" t="s">
        <v>1172</v>
      </c>
      <c r="F98" s="3">
        <v>45891</v>
      </c>
      <c r="G98" s="3">
        <v>45891</v>
      </c>
      <c r="H98">
        <v>1</v>
      </c>
    </row>
    <row r="99" spans="1:8" ht="15.75" customHeight="1">
      <c r="A99" t="s">
        <v>447</v>
      </c>
      <c r="B99" t="s">
        <v>1235</v>
      </c>
      <c r="C99" t="s">
        <v>444</v>
      </c>
      <c r="D99" t="s">
        <v>425</v>
      </c>
      <c r="E99" t="s">
        <v>1172</v>
      </c>
      <c r="F99" s="3">
        <v>45891</v>
      </c>
      <c r="G99" s="3">
        <v>45891</v>
      </c>
      <c r="H99">
        <v>1</v>
      </c>
    </row>
    <row r="100" spans="1:8" ht="15.75" customHeight="1">
      <c r="A100" t="s">
        <v>1236</v>
      </c>
      <c r="B100" t="s">
        <v>1237</v>
      </c>
      <c r="E100" t="s">
        <v>1172</v>
      </c>
      <c r="F100" s="3">
        <v>45891</v>
      </c>
      <c r="G100" s="3">
        <v>45891</v>
      </c>
      <c r="H100">
        <v>1</v>
      </c>
    </row>
    <row r="101" spans="1:8" ht="15.75" customHeight="1">
      <c r="A101" t="s">
        <v>1238</v>
      </c>
      <c r="B101" t="s">
        <v>1239</v>
      </c>
      <c r="E101" t="s">
        <v>1172</v>
      </c>
      <c r="F101" s="3">
        <v>45891</v>
      </c>
      <c r="G101" s="3">
        <v>45891</v>
      </c>
      <c r="H101">
        <v>1</v>
      </c>
    </row>
    <row r="102" spans="1:8" ht="15.75" customHeight="1">
      <c r="A102" t="s">
        <v>1240</v>
      </c>
      <c r="B102" t="s">
        <v>1241</v>
      </c>
      <c r="E102" t="s">
        <v>1172</v>
      </c>
      <c r="F102" s="3">
        <v>45891</v>
      </c>
      <c r="G102" s="3">
        <v>45891</v>
      </c>
      <c r="H102">
        <v>1</v>
      </c>
    </row>
    <row r="103" spans="1:8" ht="15.75" customHeight="1">
      <c r="A103" t="s">
        <v>1093</v>
      </c>
      <c r="B103" t="s">
        <v>1242</v>
      </c>
      <c r="C103" t="s">
        <v>1017</v>
      </c>
      <c r="D103" t="s">
        <v>425</v>
      </c>
      <c r="E103" t="s">
        <v>1172</v>
      </c>
      <c r="F103" s="3">
        <v>45891</v>
      </c>
      <c r="G103" s="3">
        <v>45891</v>
      </c>
      <c r="H103">
        <v>1</v>
      </c>
    </row>
    <row r="104" spans="1:8" ht="15.75" customHeight="1">
      <c r="A104" t="s">
        <v>969</v>
      </c>
      <c r="B104" t="s">
        <v>970</v>
      </c>
      <c r="C104" t="s">
        <v>971</v>
      </c>
      <c r="D104" t="s">
        <v>425</v>
      </c>
      <c r="E104" t="s">
        <v>1172</v>
      </c>
      <c r="F104" s="3">
        <v>45891</v>
      </c>
      <c r="G104" s="3">
        <v>45891</v>
      </c>
      <c r="H104">
        <v>1</v>
      </c>
    </row>
    <row r="105" spans="1:8" ht="15.75" customHeight="1">
      <c r="A105" t="s">
        <v>957</v>
      </c>
      <c r="B105" t="s">
        <v>1243</v>
      </c>
      <c r="C105" t="s">
        <v>959</v>
      </c>
      <c r="D105" t="s">
        <v>425</v>
      </c>
      <c r="E105" t="s">
        <v>1172</v>
      </c>
      <c r="F105" s="3">
        <v>45891</v>
      </c>
      <c r="G105" s="3">
        <v>45891</v>
      </c>
      <c r="H105">
        <v>1</v>
      </c>
    </row>
    <row r="106" spans="1:8" ht="15.75" customHeight="1">
      <c r="A106" t="s">
        <v>1076</v>
      </c>
      <c r="B106" t="s">
        <v>1244</v>
      </c>
      <c r="C106" t="s">
        <v>971</v>
      </c>
      <c r="D106" t="s">
        <v>425</v>
      </c>
      <c r="E106" t="s">
        <v>1172</v>
      </c>
      <c r="F106" s="3">
        <v>45891</v>
      </c>
      <c r="G106" s="3">
        <v>45891</v>
      </c>
      <c r="H106">
        <v>1</v>
      </c>
    </row>
    <row r="107" spans="1:8" ht="15.75" customHeight="1">
      <c r="A107" t="s">
        <v>590</v>
      </c>
      <c r="B107" t="s">
        <v>1245</v>
      </c>
      <c r="C107" t="s">
        <v>592</v>
      </c>
      <c r="D107" t="s">
        <v>425</v>
      </c>
      <c r="E107" t="s">
        <v>1172</v>
      </c>
      <c r="F107" s="3">
        <v>45892</v>
      </c>
      <c r="G107" s="3">
        <v>45892</v>
      </c>
      <c r="H107">
        <v>1</v>
      </c>
    </row>
    <row r="108" spans="1:8" ht="15.75" customHeight="1">
      <c r="A108" t="s">
        <v>540</v>
      </c>
      <c r="B108" t="s">
        <v>1246</v>
      </c>
      <c r="C108" t="s">
        <v>39</v>
      </c>
      <c r="D108" t="s">
        <v>425</v>
      </c>
      <c r="E108" t="s">
        <v>1172</v>
      </c>
      <c r="F108" s="3">
        <v>45892</v>
      </c>
      <c r="G108" s="3">
        <v>45892</v>
      </c>
      <c r="H108">
        <v>1</v>
      </c>
    </row>
    <row r="109" spans="1:8" ht="15.75" customHeight="1">
      <c r="A109" t="s">
        <v>627</v>
      </c>
      <c r="B109" t="s">
        <v>1143</v>
      </c>
      <c r="C109" t="s">
        <v>139</v>
      </c>
      <c r="D109" t="s">
        <v>425</v>
      </c>
      <c r="E109" t="s">
        <v>1172</v>
      </c>
      <c r="F109" s="3">
        <v>45892</v>
      </c>
      <c r="G109" s="3">
        <v>45892</v>
      </c>
      <c r="H109">
        <v>1</v>
      </c>
    </row>
    <row r="110" spans="1:8" ht="15.75" customHeight="1">
      <c r="A110" t="s">
        <v>119</v>
      </c>
      <c r="B110" t="s">
        <v>1247</v>
      </c>
      <c r="C110" t="s">
        <v>64</v>
      </c>
      <c r="D110" t="s">
        <v>12</v>
      </c>
      <c r="E110" t="s">
        <v>1172</v>
      </c>
      <c r="F110" s="3">
        <v>45892</v>
      </c>
      <c r="G110" s="3">
        <v>45892</v>
      </c>
      <c r="H110">
        <v>1</v>
      </c>
    </row>
    <row r="111" spans="1:8" ht="15.75" customHeight="1">
      <c r="A111" t="s">
        <v>544</v>
      </c>
      <c r="B111" t="s">
        <v>1248</v>
      </c>
      <c r="C111" t="s">
        <v>39</v>
      </c>
      <c r="D111" t="s">
        <v>425</v>
      </c>
      <c r="E111" t="s">
        <v>1172</v>
      </c>
      <c r="F111" s="3">
        <v>45892</v>
      </c>
      <c r="G111" s="3">
        <v>45892</v>
      </c>
      <c r="H111">
        <v>1</v>
      </c>
    </row>
    <row r="112" spans="1:8" ht="15.75" customHeight="1">
      <c r="A112" t="s">
        <v>476</v>
      </c>
      <c r="B112" t="s">
        <v>1249</v>
      </c>
      <c r="C112" t="s">
        <v>461</v>
      </c>
      <c r="D112" t="s">
        <v>425</v>
      </c>
      <c r="E112" t="s">
        <v>1172</v>
      </c>
      <c r="F112" s="3">
        <v>45892</v>
      </c>
      <c r="G112" s="3">
        <v>45892</v>
      </c>
      <c r="H112">
        <v>1</v>
      </c>
    </row>
    <row r="113" spans="1:8" ht="15.75" customHeight="1">
      <c r="A113" t="s">
        <v>486</v>
      </c>
      <c r="B113" t="s">
        <v>1250</v>
      </c>
      <c r="C113" t="s">
        <v>461</v>
      </c>
      <c r="D113" t="s">
        <v>425</v>
      </c>
      <c r="E113" t="s">
        <v>1172</v>
      </c>
      <c r="F113" s="3">
        <v>45892</v>
      </c>
      <c r="G113" s="3">
        <v>45892</v>
      </c>
      <c r="H113">
        <v>1</v>
      </c>
    </row>
    <row r="114" spans="1:8" ht="15.75" customHeight="1">
      <c r="A114" t="s">
        <v>488</v>
      </c>
      <c r="B114" t="s">
        <v>1251</v>
      </c>
      <c r="C114" t="s">
        <v>461</v>
      </c>
      <c r="D114" t="s">
        <v>425</v>
      </c>
      <c r="E114" t="s">
        <v>1172</v>
      </c>
      <c r="F114" s="3">
        <v>45892</v>
      </c>
      <c r="G114" s="3">
        <v>45892</v>
      </c>
      <c r="H114">
        <v>1</v>
      </c>
    </row>
    <row r="115" spans="1:8" ht="15.75" customHeight="1">
      <c r="A115" t="s">
        <v>512</v>
      </c>
      <c r="B115" t="s">
        <v>1252</v>
      </c>
      <c r="C115" t="s">
        <v>461</v>
      </c>
      <c r="D115" t="s">
        <v>425</v>
      </c>
      <c r="E115" t="s">
        <v>1172</v>
      </c>
      <c r="F115" s="3">
        <v>45892</v>
      </c>
      <c r="G115" s="3">
        <v>45892</v>
      </c>
      <c r="H115">
        <v>1</v>
      </c>
    </row>
    <row r="116" spans="1:8" ht="15.75" customHeight="1">
      <c r="A116" t="s">
        <v>524</v>
      </c>
      <c r="B116" t="s">
        <v>1253</v>
      </c>
      <c r="C116" t="s">
        <v>461</v>
      </c>
      <c r="D116" t="s">
        <v>425</v>
      </c>
      <c r="E116" t="s">
        <v>1172</v>
      </c>
      <c r="F116" s="3">
        <v>45892</v>
      </c>
      <c r="G116" s="3">
        <v>45892</v>
      </c>
      <c r="H116">
        <v>1</v>
      </c>
    </row>
    <row r="117" spans="1:8" ht="15.75" customHeight="1">
      <c r="A117" t="s">
        <v>1041</v>
      </c>
      <c r="B117" t="s">
        <v>1254</v>
      </c>
      <c r="C117" t="s">
        <v>1040</v>
      </c>
      <c r="D117" t="s">
        <v>425</v>
      </c>
      <c r="E117" t="s">
        <v>1172</v>
      </c>
      <c r="F117" s="3">
        <v>45892</v>
      </c>
      <c r="G117" s="3">
        <v>45892</v>
      </c>
      <c r="H117">
        <v>1</v>
      </c>
    </row>
    <row r="118" spans="1:8" ht="15.75" customHeight="1">
      <c r="A118" t="s">
        <v>1255</v>
      </c>
      <c r="B118" t="s">
        <v>1256</v>
      </c>
      <c r="E118" t="s">
        <v>1172</v>
      </c>
      <c r="F118" s="3">
        <v>45892</v>
      </c>
      <c r="G118" s="3">
        <v>45892</v>
      </c>
      <c r="H118">
        <v>1</v>
      </c>
    </row>
    <row r="119" spans="1:8" ht="15.75" customHeight="1">
      <c r="A119" t="s">
        <v>1257</v>
      </c>
      <c r="B119" t="s">
        <v>1258</v>
      </c>
      <c r="E119" t="s">
        <v>1172</v>
      </c>
      <c r="F119" s="3">
        <v>45892</v>
      </c>
      <c r="G119" s="3">
        <v>45892</v>
      </c>
      <c r="H119">
        <v>1</v>
      </c>
    </row>
    <row r="120" spans="1:8" ht="15.75" customHeight="1">
      <c r="A120" t="s">
        <v>1259</v>
      </c>
      <c r="B120" t="s">
        <v>1260</v>
      </c>
      <c r="E120" t="s">
        <v>1172</v>
      </c>
      <c r="F120" s="3">
        <v>45892</v>
      </c>
      <c r="G120" s="3">
        <v>45892</v>
      </c>
      <c r="H120">
        <v>1</v>
      </c>
    </row>
    <row r="121" spans="1:8" ht="15.75" customHeight="1">
      <c r="A121" t="s">
        <v>619</v>
      </c>
      <c r="B121" t="s">
        <v>620</v>
      </c>
      <c r="C121" t="s">
        <v>461</v>
      </c>
      <c r="D121" t="s">
        <v>425</v>
      </c>
      <c r="E121" t="s">
        <v>1172</v>
      </c>
      <c r="F121" s="3">
        <v>45892</v>
      </c>
      <c r="G121" s="3">
        <v>45892</v>
      </c>
      <c r="H121">
        <v>1</v>
      </c>
    </row>
    <row r="122" spans="1:8" ht="15.75" customHeight="1">
      <c r="A122" t="s">
        <v>1091</v>
      </c>
      <c r="B122" t="s">
        <v>1261</v>
      </c>
      <c r="C122" t="s">
        <v>1017</v>
      </c>
      <c r="D122" t="s">
        <v>425</v>
      </c>
      <c r="E122" t="s">
        <v>1172</v>
      </c>
      <c r="F122" s="3">
        <v>45892</v>
      </c>
      <c r="G122" s="3">
        <v>45892</v>
      </c>
      <c r="H122">
        <v>1</v>
      </c>
    </row>
    <row r="123" spans="1:8" ht="15.75" customHeight="1">
      <c r="A123" t="s">
        <v>980</v>
      </c>
      <c r="B123" t="s">
        <v>1262</v>
      </c>
      <c r="C123" t="s">
        <v>982</v>
      </c>
      <c r="D123" t="s">
        <v>425</v>
      </c>
      <c r="E123" t="s">
        <v>1172</v>
      </c>
      <c r="F123" s="3">
        <v>45892</v>
      </c>
      <c r="G123" s="3">
        <v>45892</v>
      </c>
      <c r="H123">
        <v>1</v>
      </c>
    </row>
    <row r="124" spans="1:8" ht="15.75" customHeight="1">
      <c r="A124" t="s">
        <v>992</v>
      </c>
      <c r="B124" t="s">
        <v>1263</v>
      </c>
      <c r="C124" t="s">
        <v>991</v>
      </c>
      <c r="D124" t="s">
        <v>425</v>
      </c>
      <c r="E124" t="s">
        <v>1172</v>
      </c>
      <c r="F124" s="3">
        <v>45892</v>
      </c>
      <c r="G124" s="3">
        <v>45892</v>
      </c>
      <c r="H124">
        <v>1</v>
      </c>
    </row>
    <row r="125" spans="1:8" ht="15.75" customHeight="1">
      <c r="A125" t="s">
        <v>964</v>
      </c>
      <c r="B125" t="s">
        <v>1264</v>
      </c>
      <c r="C125" t="s">
        <v>966</v>
      </c>
      <c r="D125" t="s">
        <v>425</v>
      </c>
      <c r="E125" t="s">
        <v>1172</v>
      </c>
      <c r="F125" s="3">
        <v>45892</v>
      </c>
      <c r="G125" s="3">
        <v>45892</v>
      </c>
      <c r="H125">
        <v>1</v>
      </c>
    </row>
    <row r="126" spans="1:8" ht="15.75" customHeight="1">
      <c r="A126" t="s">
        <v>1027</v>
      </c>
      <c r="B126" t="s">
        <v>1265</v>
      </c>
      <c r="C126" t="s">
        <v>1029</v>
      </c>
      <c r="D126" t="s">
        <v>425</v>
      </c>
      <c r="E126" t="s">
        <v>1172</v>
      </c>
      <c r="F126" s="3">
        <v>45902</v>
      </c>
      <c r="G126" s="3">
        <v>45902</v>
      </c>
      <c r="H126">
        <v>1</v>
      </c>
    </row>
    <row r="127" spans="1:8" ht="15.75" customHeight="1">
      <c r="A127" t="s">
        <v>1025</v>
      </c>
      <c r="B127" t="s">
        <v>1266</v>
      </c>
      <c r="C127" t="s">
        <v>913</v>
      </c>
      <c r="D127" t="s">
        <v>425</v>
      </c>
      <c r="E127" t="s">
        <v>1172</v>
      </c>
      <c r="F127" s="3">
        <v>45902</v>
      </c>
      <c r="G127" s="3">
        <v>45902</v>
      </c>
      <c r="H127">
        <v>1</v>
      </c>
    </row>
    <row r="128" spans="1:8" ht="15.75" customHeight="1">
      <c r="A128" t="s">
        <v>586</v>
      </c>
      <c r="B128" t="s">
        <v>1151</v>
      </c>
      <c r="C128" t="s">
        <v>64</v>
      </c>
      <c r="D128" t="s">
        <v>425</v>
      </c>
      <c r="E128" t="s">
        <v>1172</v>
      </c>
      <c r="F128" s="3">
        <v>45902</v>
      </c>
      <c r="G128" s="3">
        <v>45902</v>
      </c>
      <c r="H128">
        <v>1</v>
      </c>
    </row>
    <row r="129" spans="1:8" ht="15.75" customHeight="1">
      <c r="A129" t="s">
        <v>431</v>
      </c>
      <c r="B129" t="s">
        <v>1267</v>
      </c>
      <c r="C129" t="s">
        <v>139</v>
      </c>
      <c r="D129" t="s">
        <v>425</v>
      </c>
      <c r="E129" t="s">
        <v>1172</v>
      </c>
      <c r="F129" s="3">
        <v>45902</v>
      </c>
      <c r="G129" s="3">
        <v>45902</v>
      </c>
      <c r="H129">
        <v>1</v>
      </c>
    </row>
    <row r="130" spans="1:8" ht="15.75" customHeight="1">
      <c r="A130" t="s">
        <v>568</v>
      </c>
      <c r="B130" t="s">
        <v>1146</v>
      </c>
      <c r="C130" t="s">
        <v>139</v>
      </c>
      <c r="D130" t="s">
        <v>425</v>
      </c>
      <c r="E130" t="s">
        <v>1172</v>
      </c>
      <c r="F130" s="3">
        <v>45902</v>
      </c>
      <c r="G130" s="3">
        <v>45902</v>
      </c>
      <c r="H130">
        <v>1</v>
      </c>
    </row>
    <row r="131" spans="1:8" ht="15.75" customHeight="1">
      <c r="A131" t="s">
        <v>556</v>
      </c>
      <c r="B131" t="s">
        <v>1268</v>
      </c>
      <c r="C131" t="s">
        <v>39</v>
      </c>
      <c r="D131" t="s">
        <v>425</v>
      </c>
      <c r="E131" t="s">
        <v>1172</v>
      </c>
      <c r="F131" s="3">
        <v>45902</v>
      </c>
      <c r="G131" s="3">
        <v>45902</v>
      </c>
      <c r="H131">
        <v>1</v>
      </c>
    </row>
    <row r="132" spans="1:8" ht="15.75" customHeight="1">
      <c r="A132" t="s">
        <v>1020</v>
      </c>
      <c r="B132" t="s">
        <v>1269</v>
      </c>
      <c r="C132" t="s">
        <v>1022</v>
      </c>
      <c r="D132" t="s">
        <v>425</v>
      </c>
      <c r="E132" t="s">
        <v>1172</v>
      </c>
      <c r="F132" s="3">
        <v>45902</v>
      </c>
      <c r="G132" s="3">
        <v>45902</v>
      </c>
      <c r="H132">
        <v>1</v>
      </c>
    </row>
    <row r="133" spans="1:8" ht="15.75" customHeight="1">
      <c r="A133" t="s">
        <v>516</v>
      </c>
      <c r="B133" t="s">
        <v>1270</v>
      </c>
      <c r="C133" t="s">
        <v>461</v>
      </c>
      <c r="D133" t="s">
        <v>425</v>
      </c>
      <c r="E133" t="s">
        <v>1172</v>
      </c>
      <c r="F133" s="3">
        <v>45902</v>
      </c>
      <c r="G133" s="3">
        <v>45902</v>
      </c>
      <c r="H133">
        <v>1</v>
      </c>
    </row>
    <row r="134" spans="1:8" ht="15.75" customHeight="1">
      <c r="A134" t="s">
        <v>532</v>
      </c>
      <c r="B134" t="s">
        <v>1159</v>
      </c>
      <c r="C134" t="s">
        <v>461</v>
      </c>
      <c r="D134" t="s">
        <v>425</v>
      </c>
      <c r="E134" t="s">
        <v>1172</v>
      </c>
      <c r="F134" s="3">
        <v>45902</v>
      </c>
      <c r="G134" s="3">
        <v>45902</v>
      </c>
      <c r="H134">
        <v>1</v>
      </c>
    </row>
    <row r="135" spans="1:8" ht="15.75" customHeight="1">
      <c r="A135" t="s">
        <v>536</v>
      </c>
      <c r="B135" t="s">
        <v>1271</v>
      </c>
      <c r="C135" t="s">
        <v>461</v>
      </c>
      <c r="D135" t="s">
        <v>425</v>
      </c>
      <c r="E135" t="s">
        <v>1172</v>
      </c>
      <c r="F135" s="3">
        <v>45902</v>
      </c>
      <c r="G135" s="3">
        <v>45902</v>
      </c>
      <c r="H135">
        <v>1</v>
      </c>
    </row>
    <row r="136" spans="1:8" ht="15.75" customHeight="1">
      <c r="A136" t="s">
        <v>1257</v>
      </c>
      <c r="B136" t="s">
        <v>1272</v>
      </c>
      <c r="E136" t="s">
        <v>1172</v>
      </c>
      <c r="F136" s="3">
        <v>45902</v>
      </c>
      <c r="G136" s="3">
        <v>45902</v>
      </c>
      <c r="H136">
        <v>1</v>
      </c>
    </row>
    <row r="137" spans="1:8" ht="15.75" customHeight="1">
      <c r="A137" t="s">
        <v>1257</v>
      </c>
      <c r="B137" t="s">
        <v>1273</v>
      </c>
      <c r="E137" t="s">
        <v>1172</v>
      </c>
      <c r="F137" s="3">
        <v>45902</v>
      </c>
      <c r="G137" s="3">
        <v>45902</v>
      </c>
      <c r="H137">
        <v>1</v>
      </c>
    </row>
    <row r="138" spans="1:8" ht="15.75" customHeight="1">
      <c r="A138" t="s">
        <v>1257</v>
      </c>
      <c r="B138" t="s">
        <v>609</v>
      </c>
      <c r="E138" t="s">
        <v>1172</v>
      </c>
      <c r="F138" s="3">
        <v>45902</v>
      </c>
      <c r="G138" s="3">
        <v>45902</v>
      </c>
      <c r="H138">
        <v>1</v>
      </c>
    </row>
    <row r="139" spans="1:8" ht="15.75" customHeight="1">
      <c r="A139" t="s">
        <v>1257</v>
      </c>
      <c r="B139" t="s">
        <v>1274</v>
      </c>
      <c r="E139" t="s">
        <v>1172</v>
      </c>
      <c r="F139" s="3">
        <v>45902</v>
      </c>
      <c r="G139" s="3">
        <v>45902</v>
      </c>
      <c r="H139">
        <v>1</v>
      </c>
    </row>
    <row r="140" spans="1:8" ht="15.75" customHeight="1">
      <c r="A140" t="s">
        <v>625</v>
      </c>
      <c r="B140" t="s">
        <v>1275</v>
      </c>
      <c r="C140" t="s">
        <v>39</v>
      </c>
      <c r="D140" t="s">
        <v>425</v>
      </c>
      <c r="E140" t="s">
        <v>1172</v>
      </c>
      <c r="F140" s="3">
        <v>45902</v>
      </c>
      <c r="G140" s="3">
        <v>45902</v>
      </c>
      <c r="H140">
        <v>1</v>
      </c>
    </row>
    <row r="141" spans="1:8" ht="15.75" customHeight="1">
      <c r="A141" t="s">
        <v>633</v>
      </c>
      <c r="B141" t="s">
        <v>1167</v>
      </c>
      <c r="C141" t="s">
        <v>168</v>
      </c>
      <c r="D141" t="s">
        <v>425</v>
      </c>
      <c r="E141" t="s">
        <v>1172</v>
      </c>
      <c r="F141" s="3">
        <v>45902</v>
      </c>
      <c r="G141" s="3">
        <v>45902</v>
      </c>
      <c r="H141">
        <v>1</v>
      </c>
    </row>
    <row r="142" spans="1:8" ht="15.75" customHeight="1">
      <c r="A142" t="s">
        <v>599</v>
      </c>
      <c r="B142" t="s">
        <v>1276</v>
      </c>
      <c r="C142" t="s">
        <v>64</v>
      </c>
      <c r="D142" t="s">
        <v>425</v>
      </c>
      <c r="E142" t="s">
        <v>1172</v>
      </c>
      <c r="F142" s="3">
        <v>45903</v>
      </c>
      <c r="G142" s="3">
        <v>45903</v>
      </c>
      <c r="H142">
        <v>1</v>
      </c>
    </row>
    <row r="143" spans="1:8" ht="15.75" customHeight="1">
      <c r="A143" t="s">
        <v>1063</v>
      </c>
      <c r="B143" t="s">
        <v>1277</v>
      </c>
      <c r="C143" t="s">
        <v>1060</v>
      </c>
      <c r="D143" t="s">
        <v>425</v>
      </c>
      <c r="E143" t="s">
        <v>1172</v>
      </c>
      <c r="F143" s="3">
        <v>45903</v>
      </c>
      <c r="G143" s="3">
        <v>45903</v>
      </c>
      <c r="H143">
        <v>1</v>
      </c>
    </row>
    <row r="144" spans="1:8" ht="15.75" customHeight="1">
      <c r="A144" t="s">
        <v>562</v>
      </c>
      <c r="B144" t="s">
        <v>1278</v>
      </c>
      <c r="C144" t="s">
        <v>139</v>
      </c>
      <c r="D144" t="s">
        <v>425</v>
      </c>
      <c r="E144" t="s">
        <v>1172</v>
      </c>
      <c r="F144" s="3">
        <v>45903</v>
      </c>
      <c r="G144" s="3">
        <v>45903</v>
      </c>
      <c r="H144">
        <v>1</v>
      </c>
    </row>
    <row r="145" spans="1:8" ht="15.75" customHeight="1">
      <c r="A145" t="s">
        <v>664</v>
      </c>
      <c r="B145" t="s">
        <v>1279</v>
      </c>
      <c r="C145" t="s">
        <v>39</v>
      </c>
      <c r="D145" t="s">
        <v>425</v>
      </c>
      <c r="E145" t="s">
        <v>1172</v>
      </c>
      <c r="F145" s="3">
        <v>45903</v>
      </c>
      <c r="G145" s="3">
        <v>45903</v>
      </c>
      <c r="H145">
        <v>1</v>
      </c>
    </row>
    <row r="146" spans="1:8" ht="15.75" customHeight="1">
      <c r="A146" t="s">
        <v>603</v>
      </c>
      <c r="B146" t="s">
        <v>1155</v>
      </c>
      <c r="C146" t="s">
        <v>15</v>
      </c>
      <c r="D146" t="s">
        <v>425</v>
      </c>
      <c r="E146" t="s">
        <v>1172</v>
      </c>
      <c r="F146" s="3">
        <v>45903</v>
      </c>
      <c r="G146" s="3">
        <v>45903</v>
      </c>
      <c r="H146">
        <v>1</v>
      </c>
    </row>
    <row r="147" spans="1:8" ht="15.75" customHeight="1">
      <c r="A147" t="s">
        <v>464</v>
      </c>
      <c r="B147" t="s">
        <v>1280</v>
      </c>
      <c r="C147" t="s">
        <v>461</v>
      </c>
      <c r="D147" t="s">
        <v>425</v>
      </c>
      <c r="E147" t="s">
        <v>1172</v>
      </c>
      <c r="F147" s="3">
        <v>45903</v>
      </c>
      <c r="G147" s="3">
        <v>45903</v>
      </c>
      <c r="H147">
        <v>1</v>
      </c>
    </row>
    <row r="148" spans="1:8" ht="15.75" customHeight="1">
      <c r="A148" t="s">
        <v>1047</v>
      </c>
      <c r="B148" t="s">
        <v>1281</v>
      </c>
      <c r="C148" t="s">
        <v>1049</v>
      </c>
      <c r="D148" t="s">
        <v>425</v>
      </c>
      <c r="E148" t="s">
        <v>1172</v>
      </c>
      <c r="F148" s="3">
        <v>45903</v>
      </c>
      <c r="G148" s="3">
        <v>45903</v>
      </c>
      <c r="H148">
        <v>1</v>
      </c>
    </row>
    <row r="149" spans="1:8" ht="15.75" customHeight="1">
      <c r="A149" t="s">
        <v>468</v>
      </c>
      <c r="B149" t="s">
        <v>1282</v>
      </c>
      <c r="C149" t="s">
        <v>461</v>
      </c>
      <c r="D149" t="s">
        <v>425</v>
      </c>
      <c r="E149" t="s">
        <v>1172</v>
      </c>
      <c r="F149" s="3">
        <v>45903</v>
      </c>
      <c r="G149" s="3">
        <v>45903</v>
      </c>
      <c r="H149">
        <v>1</v>
      </c>
    </row>
    <row r="150" spans="1:8" ht="15.75" customHeight="1">
      <c r="A150" t="s">
        <v>474</v>
      </c>
      <c r="B150" t="s">
        <v>1283</v>
      </c>
      <c r="C150" t="s">
        <v>461</v>
      </c>
      <c r="D150" t="s">
        <v>425</v>
      </c>
      <c r="E150" t="s">
        <v>1172</v>
      </c>
      <c r="F150" s="3">
        <v>45903</v>
      </c>
      <c r="G150" s="3">
        <v>45903</v>
      </c>
      <c r="H150">
        <v>1</v>
      </c>
    </row>
    <row r="151" spans="1:8" ht="15.75" customHeight="1">
      <c r="A151" t="s">
        <v>528</v>
      </c>
      <c r="B151" t="s">
        <v>1284</v>
      </c>
      <c r="C151" t="s">
        <v>461</v>
      </c>
      <c r="D151" t="s">
        <v>425</v>
      </c>
      <c r="E151" t="s">
        <v>1172</v>
      </c>
      <c r="F151" s="3">
        <v>45903</v>
      </c>
      <c r="G151" s="3">
        <v>45903</v>
      </c>
      <c r="H151">
        <v>1</v>
      </c>
    </row>
    <row r="152" spans="1:8" ht="15.75" customHeight="1">
      <c r="A152" t="s">
        <v>1043</v>
      </c>
      <c r="B152" t="s">
        <v>1285</v>
      </c>
      <c r="C152" t="s">
        <v>1040</v>
      </c>
      <c r="D152" t="s">
        <v>425</v>
      </c>
      <c r="E152" t="s">
        <v>1172</v>
      </c>
      <c r="F152" s="3">
        <v>45903</v>
      </c>
      <c r="G152" s="3">
        <v>45903</v>
      </c>
      <c r="H152">
        <v>1</v>
      </c>
    </row>
    <row r="153" spans="1:8" ht="15.75" customHeight="1">
      <c r="A153" t="s">
        <v>457</v>
      </c>
      <c r="B153" t="s">
        <v>1286</v>
      </c>
      <c r="C153" t="s">
        <v>93</v>
      </c>
      <c r="D153" t="s">
        <v>425</v>
      </c>
      <c r="E153" t="s">
        <v>1172</v>
      </c>
      <c r="F153" s="3">
        <v>45903</v>
      </c>
      <c r="G153" s="3">
        <v>45903</v>
      </c>
      <c r="H153">
        <v>1</v>
      </c>
    </row>
    <row r="154" spans="1:8" ht="15.75" customHeight="1">
      <c r="A154" t="s">
        <v>1287</v>
      </c>
      <c r="B154" t="s">
        <v>1288</v>
      </c>
      <c r="E154" t="s">
        <v>1172</v>
      </c>
      <c r="F154" s="3">
        <v>45903</v>
      </c>
      <c r="G154" s="3">
        <v>45903</v>
      </c>
      <c r="H154">
        <v>1</v>
      </c>
    </row>
    <row r="155" spans="1:8" ht="15.75" customHeight="1">
      <c r="A155" t="s">
        <v>1289</v>
      </c>
      <c r="B155" t="s">
        <v>1290</v>
      </c>
      <c r="E155" t="s">
        <v>1172</v>
      </c>
      <c r="F155" s="3">
        <v>45903</v>
      </c>
      <c r="G155" s="3">
        <v>45903</v>
      </c>
      <c r="H155">
        <v>1</v>
      </c>
    </row>
    <row r="156" spans="1:8" ht="15.75" customHeight="1">
      <c r="A156" t="s">
        <v>1291</v>
      </c>
      <c r="B156" t="s">
        <v>1292</v>
      </c>
      <c r="E156" t="s">
        <v>1172</v>
      </c>
      <c r="F156" s="3">
        <v>45903</v>
      </c>
      <c r="G156" s="3">
        <v>45903</v>
      </c>
      <c r="H156">
        <v>1</v>
      </c>
    </row>
    <row r="157" spans="1:8" ht="15.75" customHeight="1">
      <c r="A157" t="s">
        <v>1257</v>
      </c>
      <c r="B157" t="s">
        <v>1293</v>
      </c>
      <c r="E157" t="s">
        <v>1172</v>
      </c>
      <c r="F157" s="3">
        <v>45903</v>
      </c>
      <c r="G157" s="3">
        <v>45903</v>
      </c>
      <c r="H157">
        <v>1</v>
      </c>
    </row>
    <row r="158" spans="1:8" ht="15.75" customHeight="1">
      <c r="A158" t="s">
        <v>1099</v>
      </c>
      <c r="B158" t="s">
        <v>1294</v>
      </c>
      <c r="C158" t="s">
        <v>1040</v>
      </c>
      <c r="D158" t="s">
        <v>425</v>
      </c>
      <c r="E158" t="s">
        <v>1172</v>
      </c>
      <c r="F158" s="3">
        <v>45903</v>
      </c>
      <c r="G158" s="3">
        <v>45903</v>
      </c>
      <c r="H158">
        <v>1</v>
      </c>
    </row>
    <row r="159" spans="1:8" ht="15.75" customHeight="1">
      <c r="A159" t="s">
        <v>1065</v>
      </c>
      <c r="B159" t="s">
        <v>1295</v>
      </c>
      <c r="C159" t="s">
        <v>1060</v>
      </c>
      <c r="D159" t="s">
        <v>425</v>
      </c>
      <c r="E159" t="s">
        <v>1172</v>
      </c>
      <c r="F159" s="3">
        <v>45904</v>
      </c>
      <c r="G159" s="3">
        <v>45904</v>
      </c>
      <c r="H159">
        <v>1</v>
      </c>
    </row>
    <row r="160" spans="1:8" ht="15.75" customHeight="1">
      <c r="A160" t="s">
        <v>550</v>
      </c>
      <c r="B160" t="s">
        <v>1147</v>
      </c>
      <c r="C160" t="s">
        <v>39</v>
      </c>
      <c r="D160" t="s">
        <v>425</v>
      </c>
      <c r="E160" t="s">
        <v>1172</v>
      </c>
      <c r="F160" s="3">
        <v>45904</v>
      </c>
      <c r="G160" s="3">
        <v>45904</v>
      </c>
      <c r="H160">
        <v>1</v>
      </c>
    </row>
    <row r="161" spans="1:8" ht="15.75" customHeight="1">
      <c r="A161" t="s">
        <v>1058</v>
      </c>
      <c r="B161" t="s">
        <v>1296</v>
      </c>
      <c r="C161" t="s">
        <v>1060</v>
      </c>
      <c r="D161" t="s">
        <v>425</v>
      </c>
      <c r="E161" t="s">
        <v>1172</v>
      </c>
      <c r="F161" s="3">
        <v>45904</v>
      </c>
      <c r="G161" s="3">
        <v>45904</v>
      </c>
      <c r="H161">
        <v>1</v>
      </c>
    </row>
    <row r="162" spans="1:8" ht="15.75" customHeight="1">
      <c r="A162" t="s">
        <v>494</v>
      </c>
      <c r="B162" t="s">
        <v>1297</v>
      </c>
      <c r="C162" t="s">
        <v>461</v>
      </c>
      <c r="D162" t="s">
        <v>425</v>
      </c>
      <c r="E162" t="s">
        <v>1172</v>
      </c>
      <c r="F162" s="3">
        <v>45904</v>
      </c>
      <c r="G162" s="3">
        <v>45904</v>
      </c>
      <c r="H162">
        <v>1</v>
      </c>
    </row>
    <row r="163" spans="1:8" ht="15.75" customHeight="1">
      <c r="A163" t="s">
        <v>1298</v>
      </c>
      <c r="B163" t="s">
        <v>1299</v>
      </c>
      <c r="E163" t="s">
        <v>1172</v>
      </c>
      <c r="F163" s="3">
        <v>45904</v>
      </c>
      <c r="G163" s="3">
        <v>45904</v>
      </c>
      <c r="H163">
        <v>1</v>
      </c>
    </row>
    <row r="164" spans="1:8" ht="15.75" customHeight="1">
      <c r="A164" t="s">
        <v>508</v>
      </c>
      <c r="B164" t="s">
        <v>1158</v>
      </c>
      <c r="C164" t="s">
        <v>461</v>
      </c>
      <c r="D164" t="s">
        <v>425</v>
      </c>
      <c r="E164" t="s">
        <v>1172</v>
      </c>
      <c r="F164" s="3">
        <v>45904</v>
      </c>
      <c r="G164" s="3">
        <v>45904</v>
      </c>
      <c r="H164">
        <v>1</v>
      </c>
    </row>
    <row r="165" spans="1:8" ht="15.75" customHeight="1">
      <c r="A165" t="s">
        <v>510</v>
      </c>
      <c r="B165" t="s">
        <v>1300</v>
      </c>
      <c r="C165" t="s">
        <v>461</v>
      </c>
      <c r="D165" t="s">
        <v>425</v>
      </c>
      <c r="E165" t="s">
        <v>1172</v>
      </c>
      <c r="F165" s="3">
        <v>45904</v>
      </c>
      <c r="G165" s="3">
        <v>45904</v>
      </c>
      <c r="H165">
        <v>1</v>
      </c>
    </row>
    <row r="166" spans="1:8" ht="15.75" customHeight="1">
      <c r="A166" t="s">
        <v>520</v>
      </c>
      <c r="B166" t="s">
        <v>1301</v>
      </c>
      <c r="C166" t="s">
        <v>461</v>
      </c>
      <c r="D166" t="s">
        <v>425</v>
      </c>
      <c r="E166" t="s">
        <v>1172</v>
      </c>
      <c r="F166" s="3">
        <v>45904</v>
      </c>
      <c r="G166" s="3">
        <v>45904</v>
      </c>
      <c r="H166">
        <v>1</v>
      </c>
    </row>
    <row r="167" spans="1:8" ht="15.75" customHeight="1">
      <c r="A167" t="s">
        <v>1045</v>
      </c>
      <c r="B167" t="s">
        <v>1302</v>
      </c>
      <c r="C167" t="s">
        <v>1040</v>
      </c>
      <c r="D167" t="s">
        <v>425</v>
      </c>
      <c r="E167" t="s">
        <v>1172</v>
      </c>
      <c r="F167" s="3">
        <v>45904</v>
      </c>
      <c r="G167" s="3">
        <v>45904</v>
      </c>
      <c r="H167">
        <v>1</v>
      </c>
    </row>
    <row r="168" spans="1:8" ht="15.75" customHeight="1">
      <c r="A168" t="s">
        <v>442</v>
      </c>
      <c r="B168" t="s">
        <v>1166</v>
      </c>
      <c r="C168" t="s">
        <v>444</v>
      </c>
      <c r="D168" t="s">
        <v>425</v>
      </c>
      <c r="E168" t="s">
        <v>1172</v>
      </c>
      <c r="F168" s="3">
        <v>45904</v>
      </c>
      <c r="G168" s="3">
        <v>45904</v>
      </c>
      <c r="H168">
        <v>1</v>
      </c>
    </row>
    <row r="169" spans="1:8" ht="15.75" customHeight="1">
      <c r="A169" t="s">
        <v>1303</v>
      </c>
      <c r="B169" t="s">
        <v>1304</v>
      </c>
      <c r="E169" t="s">
        <v>1172</v>
      </c>
      <c r="F169" s="3">
        <v>45904</v>
      </c>
      <c r="G169" s="3">
        <v>45904</v>
      </c>
      <c r="H169">
        <v>1</v>
      </c>
    </row>
    <row r="170" spans="1:8" ht="15.75" customHeight="1">
      <c r="A170" t="s">
        <v>1305</v>
      </c>
      <c r="B170" t="s">
        <v>1306</v>
      </c>
      <c r="E170" t="s">
        <v>1172</v>
      </c>
      <c r="F170" s="3">
        <v>45904</v>
      </c>
      <c r="G170" s="3">
        <v>45904</v>
      </c>
      <c r="H170">
        <v>1</v>
      </c>
    </row>
    <row r="171" spans="1:8" ht="15.75" customHeight="1">
      <c r="A171" t="s">
        <v>1307</v>
      </c>
      <c r="B171" t="s">
        <v>1308</v>
      </c>
      <c r="E171" t="s">
        <v>1172</v>
      </c>
      <c r="F171" s="3">
        <v>45904</v>
      </c>
      <c r="G171" s="3">
        <v>45904</v>
      </c>
      <c r="H171">
        <v>1</v>
      </c>
    </row>
    <row r="172" spans="1:8" ht="15.75" customHeight="1">
      <c r="A172" t="s">
        <v>616</v>
      </c>
      <c r="B172" t="s">
        <v>1309</v>
      </c>
      <c r="C172" t="s">
        <v>461</v>
      </c>
      <c r="D172" t="s">
        <v>425</v>
      </c>
      <c r="E172" t="s">
        <v>1172</v>
      </c>
      <c r="F172" s="3">
        <v>45904</v>
      </c>
      <c r="G172" s="3">
        <v>45904</v>
      </c>
      <c r="H172">
        <v>1</v>
      </c>
    </row>
    <row r="173" spans="1:8" ht="15.75" customHeight="1">
      <c r="A173" t="s">
        <v>472</v>
      </c>
      <c r="B173" t="s">
        <v>473</v>
      </c>
      <c r="C173" t="s">
        <v>461</v>
      </c>
      <c r="D173" t="s">
        <v>425</v>
      </c>
      <c r="E173" t="s">
        <v>1172</v>
      </c>
      <c r="F173" s="3">
        <v>45904</v>
      </c>
      <c r="G173" s="3">
        <v>45904</v>
      </c>
      <c r="H173">
        <v>1</v>
      </c>
    </row>
    <row r="174" spans="1:8" ht="15.75" customHeight="1">
      <c r="A174" t="s">
        <v>614</v>
      </c>
      <c r="B174" t="s">
        <v>1310</v>
      </c>
      <c r="C174" t="s">
        <v>461</v>
      </c>
      <c r="D174" t="s">
        <v>425</v>
      </c>
      <c r="E174" t="s">
        <v>1172</v>
      </c>
      <c r="F174" s="3">
        <v>45904</v>
      </c>
      <c r="G174" s="3">
        <v>45904</v>
      </c>
      <c r="H174">
        <v>1</v>
      </c>
    </row>
    <row r="175" spans="1:8" ht="15.75" customHeight="1">
      <c r="A175" t="s">
        <v>612</v>
      </c>
      <c r="B175" t="s">
        <v>1311</v>
      </c>
      <c r="C175" t="s">
        <v>461</v>
      </c>
      <c r="D175" t="s">
        <v>425</v>
      </c>
      <c r="E175" t="s">
        <v>1172</v>
      </c>
      <c r="F175" s="3">
        <v>45904</v>
      </c>
      <c r="G175" s="3">
        <v>45904</v>
      </c>
      <c r="H175">
        <v>1</v>
      </c>
    </row>
    <row r="176" spans="1:8" ht="15.75" customHeight="1">
      <c r="A176" t="s">
        <v>580</v>
      </c>
      <c r="B176" t="s">
        <v>1161</v>
      </c>
      <c r="C176" t="s">
        <v>139</v>
      </c>
      <c r="D176" t="s">
        <v>425</v>
      </c>
      <c r="E176" t="s">
        <v>1172</v>
      </c>
      <c r="F176" s="3">
        <v>45905</v>
      </c>
      <c r="G176" s="3">
        <v>45905</v>
      </c>
      <c r="H176">
        <v>1</v>
      </c>
    </row>
    <row r="177" spans="1:8" ht="15.75" customHeight="1">
      <c r="A177" t="s">
        <v>576</v>
      </c>
      <c r="B177" t="s">
        <v>1312</v>
      </c>
      <c r="C177" t="s">
        <v>139</v>
      </c>
      <c r="D177" t="s">
        <v>425</v>
      </c>
      <c r="E177" t="s">
        <v>1172</v>
      </c>
      <c r="F177" s="3">
        <v>45905</v>
      </c>
      <c r="G177" s="3">
        <v>45905</v>
      </c>
      <c r="H177">
        <v>1</v>
      </c>
    </row>
    <row r="178" spans="1:8" ht="15.75" customHeight="1">
      <c r="A178" t="s">
        <v>1052</v>
      </c>
      <c r="B178" t="s">
        <v>1313</v>
      </c>
      <c r="C178" t="s">
        <v>1049</v>
      </c>
      <c r="D178" t="s">
        <v>425</v>
      </c>
      <c r="E178" t="s">
        <v>1172</v>
      </c>
      <c r="F178" s="3">
        <v>45905</v>
      </c>
      <c r="G178" s="3">
        <v>45905</v>
      </c>
      <c r="H178">
        <v>1</v>
      </c>
    </row>
    <row r="179" spans="1:8" ht="15.75" customHeight="1">
      <c r="A179" t="s">
        <v>484</v>
      </c>
      <c r="B179" t="s">
        <v>1157</v>
      </c>
      <c r="C179" t="s">
        <v>461</v>
      </c>
      <c r="D179" t="s">
        <v>425</v>
      </c>
      <c r="E179" t="s">
        <v>1172</v>
      </c>
      <c r="F179" s="3">
        <v>45905</v>
      </c>
      <c r="G179" s="3">
        <v>45905</v>
      </c>
      <c r="H179">
        <v>1</v>
      </c>
    </row>
    <row r="180" spans="1:8" ht="15.75" customHeight="1">
      <c r="A180" t="s">
        <v>506</v>
      </c>
      <c r="B180" t="s">
        <v>1314</v>
      </c>
      <c r="C180" t="s">
        <v>461</v>
      </c>
      <c r="D180" t="s">
        <v>425</v>
      </c>
      <c r="E180" t="s">
        <v>1172</v>
      </c>
      <c r="F180" s="3">
        <v>45905</v>
      </c>
      <c r="G180" s="3">
        <v>45905</v>
      </c>
      <c r="H180">
        <v>1</v>
      </c>
    </row>
    <row r="181" spans="1:8" ht="15.75" customHeight="1">
      <c r="A181" t="s">
        <v>514</v>
      </c>
      <c r="B181" t="s">
        <v>1148</v>
      </c>
      <c r="C181" t="s">
        <v>93</v>
      </c>
      <c r="D181" t="s">
        <v>425</v>
      </c>
      <c r="E181" t="s">
        <v>1172</v>
      </c>
      <c r="F181" s="3">
        <v>45905</v>
      </c>
      <c r="G181" s="3">
        <v>45905</v>
      </c>
      <c r="H181">
        <v>1</v>
      </c>
    </row>
    <row r="182" spans="1:8" ht="15.75" customHeight="1">
      <c r="A182" t="s">
        <v>455</v>
      </c>
      <c r="B182" t="s">
        <v>1315</v>
      </c>
      <c r="C182" t="s">
        <v>93</v>
      </c>
      <c r="D182" t="s">
        <v>425</v>
      </c>
      <c r="E182" t="s">
        <v>1172</v>
      </c>
      <c r="F182" s="3">
        <v>45905</v>
      </c>
      <c r="G182" s="3">
        <v>45905</v>
      </c>
      <c r="H182">
        <v>1</v>
      </c>
    </row>
    <row r="183" spans="1:8" ht="15.75" customHeight="1">
      <c r="A183" t="s">
        <v>1018</v>
      </c>
      <c r="B183" t="s">
        <v>1316</v>
      </c>
      <c r="C183" t="s">
        <v>1017</v>
      </c>
      <c r="D183" t="s">
        <v>425</v>
      </c>
      <c r="E183" t="s">
        <v>1172</v>
      </c>
      <c r="F183" s="3">
        <v>45905</v>
      </c>
      <c r="G183" s="3">
        <v>45905</v>
      </c>
      <c r="H183">
        <v>1</v>
      </c>
    </row>
    <row r="184" spans="1:8" ht="15.75" customHeight="1">
      <c r="A184" t="s">
        <v>1038</v>
      </c>
      <c r="B184" t="s">
        <v>1317</v>
      </c>
      <c r="C184" t="s">
        <v>1040</v>
      </c>
      <c r="D184" t="s">
        <v>425</v>
      </c>
      <c r="E184" t="s">
        <v>1172</v>
      </c>
      <c r="F184" s="3">
        <v>45905</v>
      </c>
      <c r="G184" s="3">
        <v>45905</v>
      </c>
      <c r="H184">
        <v>1</v>
      </c>
    </row>
    <row r="185" spans="1:8" ht="15.75" customHeight="1">
      <c r="A185" t="s">
        <v>451</v>
      </c>
      <c r="B185" t="s">
        <v>1318</v>
      </c>
      <c r="C185" t="s">
        <v>444</v>
      </c>
      <c r="D185" t="s">
        <v>425</v>
      </c>
      <c r="E185" t="s">
        <v>1172</v>
      </c>
      <c r="F185" s="3">
        <v>45905</v>
      </c>
      <c r="G185" s="3">
        <v>45905</v>
      </c>
      <c r="H185">
        <v>1</v>
      </c>
    </row>
    <row r="186" spans="1:8" ht="15.75" customHeight="1">
      <c r="A186" t="s">
        <v>1319</v>
      </c>
      <c r="B186" t="s">
        <v>1320</v>
      </c>
      <c r="E186" t="s">
        <v>1172</v>
      </c>
      <c r="F186" s="3">
        <v>45905</v>
      </c>
      <c r="G186" s="3">
        <v>45905</v>
      </c>
      <c r="H186">
        <v>1</v>
      </c>
    </row>
    <row r="187" spans="1:8" ht="15.75" customHeight="1">
      <c r="A187" t="s">
        <v>1257</v>
      </c>
      <c r="B187" t="s">
        <v>1321</v>
      </c>
      <c r="E187" t="s">
        <v>1172</v>
      </c>
      <c r="F187" s="3">
        <v>45905</v>
      </c>
      <c r="G187" s="3">
        <v>45905</v>
      </c>
      <c r="H187">
        <v>1</v>
      </c>
    </row>
    <row r="188" spans="1:8" ht="15.75" customHeight="1">
      <c r="A188" t="s">
        <v>1322</v>
      </c>
      <c r="B188" t="s">
        <v>1323</v>
      </c>
      <c r="E188" t="s">
        <v>1172</v>
      </c>
      <c r="F188" s="3">
        <v>45905</v>
      </c>
      <c r="G188" s="3">
        <v>45905</v>
      </c>
      <c r="H188">
        <v>1</v>
      </c>
    </row>
    <row r="189" spans="1:8" ht="15.75" customHeight="1">
      <c r="A189" t="s">
        <v>1324</v>
      </c>
      <c r="B189" t="s">
        <v>1325</v>
      </c>
      <c r="E189" t="s">
        <v>1172</v>
      </c>
      <c r="F189" s="3">
        <v>45905</v>
      </c>
      <c r="G189" s="3">
        <v>45905</v>
      </c>
      <c r="H189">
        <v>1</v>
      </c>
    </row>
    <row r="190" spans="1:8" ht="15.75" customHeight="1">
      <c r="A190" t="s">
        <v>610</v>
      </c>
      <c r="B190" t="s">
        <v>1326</v>
      </c>
      <c r="C190" t="s">
        <v>461</v>
      </c>
      <c r="D190" t="s">
        <v>425</v>
      </c>
      <c r="E190" t="s">
        <v>1172</v>
      </c>
      <c r="F190" s="3">
        <v>45905</v>
      </c>
      <c r="G190" s="3">
        <v>45905</v>
      </c>
      <c r="H190">
        <v>1</v>
      </c>
    </row>
    <row r="191" spans="1:8" ht="15.75" customHeight="1">
      <c r="A191" t="s">
        <v>1097</v>
      </c>
      <c r="B191" t="s">
        <v>1327</v>
      </c>
      <c r="C191" t="s">
        <v>1035</v>
      </c>
      <c r="D191" t="s">
        <v>425</v>
      </c>
      <c r="E191" t="s">
        <v>1172</v>
      </c>
      <c r="F191" s="3">
        <v>45905</v>
      </c>
      <c r="G191" s="3">
        <v>45905</v>
      </c>
      <c r="H191">
        <v>1</v>
      </c>
    </row>
    <row r="192" spans="1:8" ht="15.75" customHeight="1">
      <c r="A192" t="s">
        <v>1056</v>
      </c>
      <c r="B192" t="s">
        <v>1328</v>
      </c>
      <c r="C192" t="s">
        <v>1049</v>
      </c>
      <c r="D192" t="s">
        <v>425</v>
      </c>
      <c r="E192" t="s">
        <v>1172</v>
      </c>
      <c r="F192" s="3">
        <v>45906</v>
      </c>
      <c r="G192" s="3">
        <v>45906</v>
      </c>
      <c r="H192">
        <v>1</v>
      </c>
    </row>
    <row r="193" spans="1:8" ht="15.75" customHeight="1">
      <c r="A193" t="s">
        <v>470</v>
      </c>
      <c r="B193" t="s">
        <v>1329</v>
      </c>
      <c r="C193" t="s">
        <v>461</v>
      </c>
      <c r="D193" t="s">
        <v>425</v>
      </c>
      <c r="E193" t="s">
        <v>1172</v>
      </c>
      <c r="F193" s="3">
        <v>45906</v>
      </c>
      <c r="G193" s="3">
        <v>45906</v>
      </c>
      <c r="H193">
        <v>1</v>
      </c>
    </row>
    <row r="194" spans="1:8" ht="15.75" customHeight="1">
      <c r="A194" t="s">
        <v>480</v>
      </c>
      <c r="B194" t="s">
        <v>1330</v>
      </c>
      <c r="C194" t="s">
        <v>461</v>
      </c>
      <c r="D194" t="s">
        <v>425</v>
      </c>
      <c r="E194" t="s">
        <v>1172</v>
      </c>
      <c r="F194" s="3">
        <v>45906</v>
      </c>
      <c r="G194" s="3">
        <v>45906</v>
      </c>
      <c r="H194">
        <v>1</v>
      </c>
    </row>
    <row r="195" spans="1:8" ht="15.75" customHeight="1">
      <c r="A195" t="s">
        <v>1331</v>
      </c>
      <c r="B195" t="s">
        <v>1332</v>
      </c>
      <c r="E195" t="s">
        <v>1172</v>
      </c>
      <c r="F195" s="3">
        <v>45906</v>
      </c>
      <c r="G195" s="3">
        <v>45906</v>
      </c>
      <c r="H195">
        <v>1</v>
      </c>
    </row>
    <row r="196" spans="1:8" ht="15.75" customHeight="1">
      <c r="A196" t="s">
        <v>496</v>
      </c>
      <c r="B196" t="s">
        <v>1164</v>
      </c>
      <c r="C196" t="s">
        <v>461</v>
      </c>
      <c r="D196" t="s">
        <v>425</v>
      </c>
      <c r="E196" t="s">
        <v>1172</v>
      </c>
      <c r="F196" s="3">
        <v>45906</v>
      </c>
      <c r="G196" s="3">
        <v>45906</v>
      </c>
      <c r="H196">
        <v>1</v>
      </c>
    </row>
    <row r="197" spans="1:8" ht="15.75" customHeight="1">
      <c r="A197" t="s">
        <v>439</v>
      </c>
      <c r="B197" t="s">
        <v>1333</v>
      </c>
      <c r="C197" t="s">
        <v>441</v>
      </c>
      <c r="D197" t="s">
        <v>425</v>
      </c>
      <c r="E197" t="s">
        <v>1172</v>
      </c>
      <c r="F197" s="3">
        <v>45906</v>
      </c>
      <c r="G197" s="3">
        <v>45906</v>
      </c>
      <c r="H197">
        <v>1</v>
      </c>
    </row>
    <row r="198" spans="1:8" ht="15.75" customHeight="1">
      <c r="A198" t="s">
        <v>1036</v>
      </c>
      <c r="B198" t="s">
        <v>1334</v>
      </c>
      <c r="C198" t="s">
        <v>1035</v>
      </c>
      <c r="D198" t="s">
        <v>425</v>
      </c>
      <c r="E198" t="s">
        <v>1172</v>
      </c>
      <c r="F198" s="3">
        <v>45906</v>
      </c>
      <c r="G198" s="3">
        <v>45906</v>
      </c>
      <c r="H198">
        <v>1</v>
      </c>
    </row>
    <row r="199" spans="1:8" ht="15.75" customHeight="1">
      <c r="A199" t="s">
        <v>1030</v>
      </c>
      <c r="B199" t="s">
        <v>1335</v>
      </c>
      <c r="C199" t="s">
        <v>1032</v>
      </c>
      <c r="D199" t="s">
        <v>425</v>
      </c>
      <c r="E199" t="s">
        <v>1172</v>
      </c>
      <c r="F199" s="3">
        <v>45906</v>
      </c>
      <c r="G199" s="3">
        <v>45906</v>
      </c>
      <c r="H199">
        <v>1</v>
      </c>
    </row>
    <row r="200" spans="1:8" ht="15.75" customHeight="1">
      <c r="A200" t="s">
        <v>1257</v>
      </c>
      <c r="B200" t="s">
        <v>1336</v>
      </c>
      <c r="E200" t="s">
        <v>1172</v>
      </c>
      <c r="F200" s="3">
        <v>45906</v>
      </c>
      <c r="G200" s="3">
        <v>45906</v>
      </c>
      <c r="H200">
        <v>1</v>
      </c>
    </row>
    <row r="201" spans="1:8" ht="15.75" customHeight="1">
      <c r="A201" t="s">
        <v>1257</v>
      </c>
      <c r="B201" t="s">
        <v>1337</v>
      </c>
      <c r="E201" t="s">
        <v>1172</v>
      </c>
      <c r="F201" s="3">
        <v>45906</v>
      </c>
      <c r="G201" s="3">
        <v>45906</v>
      </c>
      <c r="H201">
        <v>1</v>
      </c>
    </row>
    <row r="202" spans="1:8" ht="15.75" customHeight="1">
      <c r="A202" t="s">
        <v>1257</v>
      </c>
      <c r="B202" t="s">
        <v>1338</v>
      </c>
      <c r="E202" t="s">
        <v>1172</v>
      </c>
      <c r="F202" s="3">
        <v>45906</v>
      </c>
      <c r="G202" s="3">
        <v>45906</v>
      </c>
      <c r="H202">
        <v>1</v>
      </c>
    </row>
    <row r="203" spans="1:8" ht="15.75" customHeight="1">
      <c r="A203" t="s">
        <v>1257</v>
      </c>
      <c r="B203" t="s">
        <v>1339</v>
      </c>
      <c r="E203" t="s">
        <v>1172</v>
      </c>
      <c r="F203" s="3">
        <v>45906</v>
      </c>
      <c r="G203" s="3">
        <v>45906</v>
      </c>
      <c r="H203">
        <v>1</v>
      </c>
    </row>
    <row r="204" spans="1:8" ht="15.75" customHeight="1">
      <c r="A204" t="s">
        <v>1257</v>
      </c>
      <c r="B204" t="s">
        <v>1340</v>
      </c>
      <c r="E204" t="s">
        <v>1172</v>
      </c>
      <c r="F204" s="3">
        <v>45906</v>
      </c>
      <c r="G204" s="3">
        <v>45906</v>
      </c>
      <c r="H204">
        <v>1</v>
      </c>
    </row>
    <row r="205" spans="1:8" ht="15.75" customHeight="1">
      <c r="A205" t="s">
        <v>132</v>
      </c>
      <c r="B205" t="s">
        <v>1341</v>
      </c>
      <c r="C205" t="s">
        <v>93</v>
      </c>
      <c r="D205" t="s">
        <v>131</v>
      </c>
      <c r="E205" t="s">
        <v>1172</v>
      </c>
      <c r="F205" s="3">
        <v>45906</v>
      </c>
      <c r="G205" s="3">
        <v>45906</v>
      </c>
      <c r="H205">
        <v>1</v>
      </c>
    </row>
    <row r="206" spans="1:8" ht="15.75" customHeight="1">
      <c r="A206" t="s">
        <v>631</v>
      </c>
      <c r="B206" t="s">
        <v>1145</v>
      </c>
      <c r="C206" t="s">
        <v>139</v>
      </c>
      <c r="D206" t="s">
        <v>425</v>
      </c>
      <c r="E206" t="s">
        <v>1172</v>
      </c>
      <c r="F206" s="3">
        <v>45906</v>
      </c>
      <c r="G206" s="3">
        <v>45906</v>
      </c>
      <c r="H206">
        <v>1</v>
      </c>
    </row>
    <row r="207" spans="1:8" ht="15.75" customHeight="1">
      <c r="A207" t="s">
        <v>1342</v>
      </c>
      <c r="B207" t="s">
        <v>1343</v>
      </c>
      <c r="E207" t="s">
        <v>1172</v>
      </c>
      <c r="F207" s="3">
        <v>45906</v>
      </c>
      <c r="G207" s="3">
        <v>45906</v>
      </c>
      <c r="H207">
        <v>1</v>
      </c>
    </row>
    <row r="208" spans="1:8" ht="15.75" customHeight="1">
      <c r="A208" t="s">
        <v>1170</v>
      </c>
    </row>
    <row r="209" spans="1:8" ht="15.75" customHeight="1">
      <c r="A209" t="s">
        <v>540</v>
      </c>
      <c r="B209" t="s">
        <v>1246</v>
      </c>
      <c r="C209" t="s">
        <v>39</v>
      </c>
      <c r="D209" t="s">
        <v>425</v>
      </c>
      <c r="E209" t="s">
        <v>1344</v>
      </c>
      <c r="F209" s="3">
        <v>45937</v>
      </c>
      <c r="G209" s="3">
        <v>45937</v>
      </c>
      <c r="H209">
        <v>1</v>
      </c>
    </row>
    <row r="210" spans="1:8" ht="15.75" customHeight="1">
      <c r="A210" t="s">
        <v>578</v>
      </c>
      <c r="B210" t="s">
        <v>1230</v>
      </c>
      <c r="C210" t="s">
        <v>139</v>
      </c>
      <c r="D210" t="s">
        <v>425</v>
      </c>
      <c r="E210" t="s">
        <v>1344</v>
      </c>
      <c r="F210" s="3">
        <v>45937</v>
      </c>
      <c r="G210" s="3">
        <v>45937</v>
      </c>
      <c r="H210">
        <v>1</v>
      </c>
    </row>
    <row r="211" spans="1:8" ht="15.75" customHeight="1">
      <c r="A211" t="s">
        <v>664</v>
      </c>
      <c r="B211" t="s">
        <v>1279</v>
      </c>
      <c r="C211" t="s">
        <v>39</v>
      </c>
      <c r="D211" t="s">
        <v>425</v>
      </c>
      <c r="E211" t="s">
        <v>1344</v>
      </c>
      <c r="F211" s="3">
        <v>45937</v>
      </c>
      <c r="G211" s="3">
        <v>45937</v>
      </c>
      <c r="H211">
        <v>1</v>
      </c>
    </row>
    <row r="212" spans="1:8" ht="15.75" customHeight="1">
      <c r="A212" t="s">
        <v>546</v>
      </c>
      <c r="B212" t="s">
        <v>1192</v>
      </c>
      <c r="C212" t="s">
        <v>39</v>
      </c>
      <c r="D212" t="s">
        <v>425</v>
      </c>
      <c r="E212" t="s">
        <v>1344</v>
      </c>
      <c r="F212" s="3">
        <v>45937</v>
      </c>
      <c r="G212" s="3">
        <v>45937</v>
      </c>
      <c r="H212">
        <v>1</v>
      </c>
    </row>
    <row r="213" spans="1:8" ht="15.75" customHeight="1">
      <c r="A213" t="s">
        <v>488</v>
      </c>
      <c r="B213" t="s">
        <v>1251</v>
      </c>
      <c r="C213" t="s">
        <v>461</v>
      </c>
      <c r="D213" t="s">
        <v>425</v>
      </c>
      <c r="E213" t="s">
        <v>1344</v>
      </c>
      <c r="F213" s="3">
        <v>45937</v>
      </c>
      <c r="G213" s="3">
        <v>45937</v>
      </c>
      <c r="H213">
        <v>1</v>
      </c>
    </row>
    <row r="214" spans="1:8" ht="15.75" customHeight="1">
      <c r="A214" t="s">
        <v>453</v>
      </c>
      <c r="B214" t="s">
        <v>1196</v>
      </c>
      <c r="C214" t="s">
        <v>93</v>
      </c>
      <c r="D214" t="s">
        <v>425</v>
      </c>
      <c r="E214" t="s">
        <v>1344</v>
      </c>
      <c r="F214" s="3">
        <v>45938</v>
      </c>
      <c r="G214" s="3">
        <v>45938</v>
      </c>
      <c r="H214">
        <v>1</v>
      </c>
    </row>
    <row r="215" spans="1:8" ht="15.75" customHeight="1">
      <c r="A215" t="s">
        <v>558</v>
      </c>
      <c r="B215" t="s">
        <v>1229</v>
      </c>
      <c r="C215" t="s">
        <v>139</v>
      </c>
      <c r="D215" t="s">
        <v>425</v>
      </c>
      <c r="E215" t="s">
        <v>1344</v>
      </c>
      <c r="F215" s="3">
        <v>45938</v>
      </c>
      <c r="G215" s="3">
        <v>45938</v>
      </c>
      <c r="H215">
        <v>1</v>
      </c>
    </row>
    <row r="216" spans="1:8" ht="15.75" customHeight="1">
      <c r="A216" t="s">
        <v>544</v>
      </c>
      <c r="B216" t="s">
        <v>1248</v>
      </c>
      <c r="C216" t="s">
        <v>39</v>
      </c>
      <c r="D216" t="s">
        <v>425</v>
      </c>
      <c r="E216" t="s">
        <v>1344</v>
      </c>
      <c r="F216" s="3">
        <v>45938</v>
      </c>
      <c r="G216" s="3">
        <v>45938</v>
      </c>
      <c r="H216">
        <v>1</v>
      </c>
    </row>
    <row r="217" spans="1:8" ht="15.75" customHeight="1">
      <c r="A217" t="s">
        <v>431</v>
      </c>
      <c r="B217" t="s">
        <v>1267</v>
      </c>
      <c r="C217" t="s">
        <v>139</v>
      </c>
      <c r="D217" t="s">
        <v>425</v>
      </c>
      <c r="E217" t="s">
        <v>1344</v>
      </c>
      <c r="F217" s="3">
        <v>45938</v>
      </c>
      <c r="G217" s="3">
        <v>45938</v>
      </c>
      <c r="H217">
        <v>1</v>
      </c>
    </row>
    <row r="218" spans="1:8" ht="15.75" customHeight="1">
      <c r="A218" t="s">
        <v>666</v>
      </c>
      <c r="B218" t="s">
        <v>1345</v>
      </c>
      <c r="C218" t="s">
        <v>39</v>
      </c>
      <c r="D218" t="s">
        <v>425</v>
      </c>
      <c r="E218" t="s">
        <v>1344</v>
      </c>
      <c r="F218" s="3">
        <v>45938</v>
      </c>
      <c r="G218" s="3">
        <v>45938</v>
      </c>
      <c r="H218">
        <v>1</v>
      </c>
    </row>
    <row r="219" spans="1:8" ht="15.75" customHeight="1">
      <c r="A219" t="s">
        <v>484</v>
      </c>
      <c r="B219" t="s">
        <v>1157</v>
      </c>
      <c r="C219" t="s">
        <v>461</v>
      </c>
      <c r="D219" t="s">
        <v>425</v>
      </c>
      <c r="E219" t="s">
        <v>1344</v>
      </c>
      <c r="F219" s="3">
        <v>45938</v>
      </c>
      <c r="G219" s="3">
        <v>45938</v>
      </c>
      <c r="H219">
        <v>1</v>
      </c>
    </row>
    <row r="220" spans="1:8" ht="15.75" customHeight="1">
      <c r="A220" t="s">
        <v>556</v>
      </c>
      <c r="B220" t="s">
        <v>1268</v>
      </c>
      <c r="C220" t="s">
        <v>39</v>
      </c>
      <c r="D220" t="s">
        <v>425</v>
      </c>
      <c r="E220" t="s">
        <v>1344</v>
      </c>
      <c r="F220" s="3">
        <v>45939</v>
      </c>
      <c r="G220" s="3">
        <v>45939</v>
      </c>
      <c r="H220">
        <v>1</v>
      </c>
    </row>
    <row r="221" spans="1:8" ht="15.75" customHeight="1">
      <c r="A221" t="s">
        <v>570</v>
      </c>
      <c r="B221" t="s">
        <v>1153</v>
      </c>
      <c r="C221" t="s">
        <v>139</v>
      </c>
      <c r="D221" t="s">
        <v>425</v>
      </c>
      <c r="E221" t="s">
        <v>1344</v>
      </c>
      <c r="F221" s="3">
        <v>45939</v>
      </c>
      <c r="G221" s="3">
        <v>45939</v>
      </c>
      <c r="H221">
        <v>1</v>
      </c>
    </row>
    <row r="222" spans="1:8" ht="15.75" customHeight="1">
      <c r="A222" t="s">
        <v>482</v>
      </c>
      <c r="B222" t="s">
        <v>1163</v>
      </c>
      <c r="C222" t="s">
        <v>461</v>
      </c>
      <c r="D222" t="s">
        <v>425</v>
      </c>
      <c r="E222" t="s">
        <v>1344</v>
      </c>
      <c r="F222" s="3">
        <v>45939</v>
      </c>
      <c r="G222" s="3">
        <v>45939</v>
      </c>
      <c r="H222">
        <v>1</v>
      </c>
    </row>
    <row r="223" spans="1:8" ht="15.75" customHeight="1">
      <c r="A223" t="s">
        <v>603</v>
      </c>
      <c r="B223" t="s">
        <v>1155</v>
      </c>
      <c r="C223" t="s">
        <v>15</v>
      </c>
      <c r="D223" t="s">
        <v>425</v>
      </c>
      <c r="E223" t="s">
        <v>1344</v>
      </c>
      <c r="F223" s="3">
        <v>45939</v>
      </c>
      <c r="G223" s="3">
        <v>45939</v>
      </c>
      <c r="H223">
        <v>1</v>
      </c>
    </row>
    <row r="224" spans="1:8" ht="15.75" customHeight="1">
      <c r="A224" t="s">
        <v>508</v>
      </c>
      <c r="B224" t="s">
        <v>1158</v>
      </c>
      <c r="C224" t="s">
        <v>461</v>
      </c>
      <c r="D224" t="s">
        <v>425</v>
      </c>
      <c r="E224" t="s">
        <v>1344</v>
      </c>
      <c r="F224" s="3">
        <v>45939</v>
      </c>
      <c r="G224" s="3">
        <v>45939</v>
      </c>
      <c r="H224">
        <v>1</v>
      </c>
    </row>
    <row r="225" spans="1:8" ht="15.75" customHeight="1">
      <c r="A225" t="s">
        <v>542</v>
      </c>
      <c r="B225" t="s">
        <v>1150</v>
      </c>
      <c r="C225" t="s">
        <v>39</v>
      </c>
      <c r="D225" t="s">
        <v>425</v>
      </c>
      <c r="E225" t="s">
        <v>1344</v>
      </c>
      <c r="F225" s="3">
        <v>45939</v>
      </c>
      <c r="G225" s="3">
        <v>45939</v>
      </c>
      <c r="H225">
        <v>1</v>
      </c>
    </row>
    <row r="226" spans="1:8" ht="15.75" customHeight="1">
      <c r="A226" t="s">
        <v>580</v>
      </c>
      <c r="B226" t="s">
        <v>1161</v>
      </c>
      <c r="C226" t="s">
        <v>139</v>
      </c>
      <c r="D226" t="s">
        <v>425</v>
      </c>
      <c r="E226" t="s">
        <v>1344</v>
      </c>
      <c r="F226" s="3">
        <v>45940</v>
      </c>
      <c r="G226" s="3">
        <v>45940</v>
      </c>
      <c r="H226">
        <v>1</v>
      </c>
    </row>
    <row r="227" spans="1:8" ht="15.75" customHeight="1">
      <c r="A227" t="s">
        <v>572</v>
      </c>
      <c r="B227" t="s">
        <v>1162</v>
      </c>
      <c r="C227" t="s">
        <v>139</v>
      </c>
      <c r="D227" t="s">
        <v>425</v>
      </c>
      <c r="E227" t="s">
        <v>1344</v>
      </c>
      <c r="F227" s="3">
        <v>45940</v>
      </c>
      <c r="G227" s="3">
        <v>45940</v>
      </c>
      <c r="H227">
        <v>1</v>
      </c>
    </row>
    <row r="228" spans="1:8" ht="15.75" customHeight="1">
      <c r="A228" t="s">
        <v>548</v>
      </c>
      <c r="B228" t="s">
        <v>1174</v>
      </c>
      <c r="C228" t="s">
        <v>39</v>
      </c>
      <c r="D228" t="s">
        <v>425</v>
      </c>
      <c r="E228" t="s">
        <v>1344</v>
      </c>
      <c r="F228" s="3">
        <v>45940</v>
      </c>
      <c r="G228" s="3">
        <v>45940</v>
      </c>
      <c r="H228">
        <v>1</v>
      </c>
    </row>
    <row r="229" spans="1:8" ht="15.75" customHeight="1">
      <c r="A229" t="s">
        <v>459</v>
      </c>
      <c r="B229" t="s">
        <v>1176</v>
      </c>
      <c r="C229" t="s">
        <v>461</v>
      </c>
      <c r="D229" t="s">
        <v>425</v>
      </c>
      <c r="E229" t="s">
        <v>1344</v>
      </c>
      <c r="F229" s="3">
        <v>45940</v>
      </c>
      <c r="G229" s="3">
        <v>45940</v>
      </c>
      <c r="H229">
        <v>1</v>
      </c>
    </row>
    <row r="230" spans="1:8" ht="15.75" customHeight="1">
      <c r="A230" t="s">
        <v>524</v>
      </c>
      <c r="B230" t="s">
        <v>1253</v>
      </c>
      <c r="C230" t="s">
        <v>461</v>
      </c>
      <c r="D230" t="s">
        <v>425</v>
      </c>
      <c r="E230" t="s">
        <v>1344</v>
      </c>
      <c r="F230" s="3">
        <v>45940</v>
      </c>
      <c r="G230" s="3">
        <v>45940</v>
      </c>
      <c r="H230">
        <v>1</v>
      </c>
    </row>
    <row r="231" spans="1:8" ht="15.75" customHeight="1">
      <c r="A231" t="s">
        <v>590</v>
      </c>
      <c r="B231" t="s">
        <v>1245</v>
      </c>
      <c r="C231" t="s">
        <v>592</v>
      </c>
      <c r="D231" t="s">
        <v>425</v>
      </c>
      <c r="E231" t="s">
        <v>1344</v>
      </c>
      <c r="F231" s="3">
        <v>45941</v>
      </c>
      <c r="G231" s="3">
        <v>45941</v>
      </c>
      <c r="H231">
        <v>1</v>
      </c>
    </row>
    <row r="232" spans="1:8" ht="15.75" customHeight="1">
      <c r="A232" t="s">
        <v>464</v>
      </c>
      <c r="B232" t="s">
        <v>1280</v>
      </c>
      <c r="C232" t="s">
        <v>461</v>
      </c>
      <c r="D232" t="s">
        <v>425</v>
      </c>
      <c r="E232" t="s">
        <v>1344</v>
      </c>
      <c r="F232" s="3">
        <v>45941</v>
      </c>
      <c r="G232" s="3">
        <v>45941</v>
      </c>
      <c r="H232">
        <v>1</v>
      </c>
    </row>
    <row r="233" spans="1:8" ht="15.75" customHeight="1">
      <c r="A233" t="s">
        <v>466</v>
      </c>
      <c r="B233" t="s">
        <v>1232</v>
      </c>
      <c r="C233" t="s">
        <v>461</v>
      </c>
      <c r="D233" t="s">
        <v>425</v>
      </c>
      <c r="E233" t="s">
        <v>1344</v>
      </c>
      <c r="F233" s="3">
        <v>45941</v>
      </c>
      <c r="G233" s="3">
        <v>45941</v>
      </c>
      <c r="H233">
        <v>1</v>
      </c>
    </row>
    <row r="234" spans="1:8" ht="15.75" customHeight="1">
      <c r="A234" t="s">
        <v>470</v>
      </c>
      <c r="B234" t="s">
        <v>1329</v>
      </c>
      <c r="C234" t="s">
        <v>461</v>
      </c>
      <c r="D234" t="s">
        <v>425</v>
      </c>
      <c r="E234" t="s">
        <v>1344</v>
      </c>
      <c r="F234" s="3">
        <v>45941</v>
      </c>
      <c r="G234" s="3">
        <v>45941</v>
      </c>
      <c r="H234">
        <v>1</v>
      </c>
    </row>
    <row r="235" spans="1:8" ht="15.75" customHeight="1">
      <c r="A235" t="s">
        <v>528</v>
      </c>
      <c r="B235" t="s">
        <v>1284</v>
      </c>
      <c r="C235" t="s">
        <v>461</v>
      </c>
      <c r="D235" t="s">
        <v>425</v>
      </c>
      <c r="E235" t="s">
        <v>1344</v>
      </c>
      <c r="F235" s="3">
        <v>45941</v>
      </c>
      <c r="G235" s="3">
        <v>45941</v>
      </c>
      <c r="H235">
        <v>1</v>
      </c>
    </row>
    <row r="236" spans="1:8" ht="15.75" customHeight="1">
      <c r="A236" t="s">
        <v>447</v>
      </c>
      <c r="B236" t="s">
        <v>1235</v>
      </c>
      <c r="C236" t="s">
        <v>444</v>
      </c>
      <c r="D236" t="s">
        <v>425</v>
      </c>
      <c r="E236" t="s">
        <v>1344</v>
      </c>
      <c r="F236" s="3">
        <v>45941</v>
      </c>
      <c r="G236" s="3">
        <v>45941</v>
      </c>
      <c r="H236">
        <v>1</v>
      </c>
    </row>
    <row r="237" spans="1:8" ht="15.75" customHeight="1">
      <c r="A237" t="s">
        <v>518</v>
      </c>
      <c r="B237" t="s">
        <v>1181</v>
      </c>
      <c r="C237" t="s">
        <v>461</v>
      </c>
      <c r="D237" t="s">
        <v>425</v>
      </c>
      <c r="E237" t="s">
        <v>1344</v>
      </c>
      <c r="F237" s="3">
        <v>45941</v>
      </c>
      <c r="G237" s="3">
        <v>45941</v>
      </c>
      <c r="H237">
        <v>1</v>
      </c>
    </row>
    <row r="238" spans="1:8" ht="15.75" customHeight="1">
      <c r="A238" t="s">
        <v>520</v>
      </c>
      <c r="B238" t="s">
        <v>1301</v>
      </c>
      <c r="C238" t="s">
        <v>461</v>
      </c>
      <c r="D238" t="s">
        <v>425</v>
      </c>
      <c r="E238" t="s">
        <v>1344</v>
      </c>
      <c r="F238" s="3">
        <v>45941</v>
      </c>
      <c r="G238" s="3">
        <v>45941</v>
      </c>
      <c r="H238">
        <v>1</v>
      </c>
    </row>
    <row r="239" spans="1:8" ht="15.75" customHeight="1">
      <c r="A239" t="s">
        <v>451</v>
      </c>
      <c r="B239" t="s">
        <v>1318</v>
      </c>
      <c r="C239" t="s">
        <v>444</v>
      </c>
      <c r="D239" t="s">
        <v>425</v>
      </c>
      <c r="E239" t="s">
        <v>1344</v>
      </c>
      <c r="F239" s="3">
        <v>45941</v>
      </c>
      <c r="G239" s="3">
        <v>45941</v>
      </c>
      <c r="H239">
        <v>1</v>
      </c>
    </row>
    <row r="240" spans="1:8" ht="15.75" customHeight="1">
      <c r="A240" t="s">
        <v>445</v>
      </c>
      <c r="B240" t="s">
        <v>1216</v>
      </c>
      <c r="C240" t="s">
        <v>444</v>
      </c>
      <c r="D240" t="s">
        <v>425</v>
      </c>
      <c r="E240" t="s">
        <v>1344</v>
      </c>
      <c r="F240" s="3">
        <v>45942</v>
      </c>
      <c r="G240" s="3">
        <v>45942</v>
      </c>
      <c r="H240">
        <v>1</v>
      </c>
    </row>
    <row r="241" spans="1:8" ht="15.75" customHeight="1">
      <c r="A241" t="s">
        <v>492</v>
      </c>
      <c r="B241" t="s">
        <v>1179</v>
      </c>
      <c r="C241" t="s">
        <v>461</v>
      </c>
      <c r="D241" t="s">
        <v>425</v>
      </c>
      <c r="E241" t="s">
        <v>1344</v>
      </c>
      <c r="F241" s="3">
        <v>45942</v>
      </c>
      <c r="G241" s="3">
        <v>45942</v>
      </c>
      <c r="H241">
        <v>1</v>
      </c>
    </row>
    <row r="242" spans="1:8" ht="15.75" customHeight="1">
      <c r="A242" t="s">
        <v>498</v>
      </c>
      <c r="B242" t="s">
        <v>1215</v>
      </c>
      <c r="C242" t="s">
        <v>461</v>
      </c>
      <c r="D242" t="s">
        <v>425</v>
      </c>
      <c r="E242" t="s">
        <v>1344</v>
      </c>
      <c r="F242" s="3">
        <v>45942</v>
      </c>
      <c r="G242" s="3">
        <v>45942</v>
      </c>
      <c r="H242">
        <v>1</v>
      </c>
    </row>
    <row r="243" spans="1:8" ht="15.75" customHeight="1">
      <c r="A243" t="s">
        <v>516</v>
      </c>
      <c r="B243" t="s">
        <v>1270</v>
      </c>
      <c r="C243" t="s">
        <v>461</v>
      </c>
      <c r="D243" t="s">
        <v>425</v>
      </c>
      <c r="E243" t="s">
        <v>1344</v>
      </c>
      <c r="F243" s="3">
        <v>45942</v>
      </c>
      <c r="G243" s="3">
        <v>45942</v>
      </c>
      <c r="H243">
        <v>1</v>
      </c>
    </row>
    <row r="244" spans="1:8" ht="15.75" customHeight="1">
      <c r="A244" t="s">
        <v>457</v>
      </c>
      <c r="B244" t="s">
        <v>1286</v>
      </c>
      <c r="C244" t="s">
        <v>93</v>
      </c>
      <c r="D244" t="s">
        <v>425</v>
      </c>
      <c r="E244" t="s">
        <v>1344</v>
      </c>
      <c r="F244" s="3">
        <v>45942</v>
      </c>
      <c r="G244" s="3">
        <v>45942</v>
      </c>
      <c r="H244">
        <v>1</v>
      </c>
    </row>
    <row r="245" spans="1:8" ht="15.75" customHeight="1">
      <c r="A245" t="s">
        <v>530</v>
      </c>
      <c r="B245" t="s">
        <v>1149</v>
      </c>
      <c r="C245" t="s">
        <v>461</v>
      </c>
      <c r="D245" t="s">
        <v>425</v>
      </c>
      <c r="E245" t="s">
        <v>1344</v>
      </c>
      <c r="F245" s="3">
        <v>45942</v>
      </c>
      <c r="G245" s="3">
        <v>45942</v>
      </c>
      <c r="H245">
        <v>1</v>
      </c>
    </row>
    <row r="246" spans="1:8" ht="15.75" customHeight="1">
      <c r="A246" t="s">
        <v>522</v>
      </c>
      <c r="B246" t="s">
        <v>1233</v>
      </c>
      <c r="C246" t="s">
        <v>461</v>
      </c>
      <c r="D246" t="s">
        <v>425</v>
      </c>
      <c r="E246" t="s">
        <v>1344</v>
      </c>
      <c r="F246" s="3">
        <v>45942</v>
      </c>
      <c r="G246" s="3">
        <v>45942</v>
      </c>
      <c r="H246">
        <v>1</v>
      </c>
    </row>
    <row r="247" spans="1:8" ht="15.75" customHeight="1">
      <c r="A247" t="s">
        <v>506</v>
      </c>
      <c r="B247" t="s">
        <v>1314</v>
      </c>
      <c r="C247" t="s">
        <v>461</v>
      </c>
      <c r="D247" t="s">
        <v>425</v>
      </c>
      <c r="E247" t="s">
        <v>1344</v>
      </c>
      <c r="F247" s="3">
        <v>45942</v>
      </c>
      <c r="G247" s="3">
        <v>45942</v>
      </c>
      <c r="H247">
        <v>1</v>
      </c>
    </row>
    <row r="248" spans="1:8" ht="15.75" customHeight="1">
      <c r="A248" t="s">
        <v>595</v>
      </c>
      <c r="B248" t="s">
        <v>1346</v>
      </c>
      <c r="C248" t="s">
        <v>592</v>
      </c>
      <c r="D248" t="s">
        <v>425</v>
      </c>
      <c r="E248" t="s">
        <v>1344</v>
      </c>
      <c r="F248" s="3">
        <v>45943</v>
      </c>
      <c r="G248" s="3">
        <v>45943</v>
      </c>
      <c r="H248">
        <v>1</v>
      </c>
    </row>
    <row r="249" spans="1:8" ht="15.75" customHeight="1">
      <c r="A249" t="s">
        <v>480</v>
      </c>
      <c r="B249" t="s">
        <v>1330</v>
      </c>
      <c r="C249" t="s">
        <v>461</v>
      </c>
      <c r="D249" t="s">
        <v>425</v>
      </c>
      <c r="E249" t="s">
        <v>1344</v>
      </c>
      <c r="F249" s="3">
        <v>45943</v>
      </c>
      <c r="G249" s="3">
        <v>45943</v>
      </c>
      <c r="H249">
        <v>1</v>
      </c>
    </row>
    <row r="250" spans="1:8" ht="15.75" customHeight="1">
      <c r="A250" t="s">
        <v>504</v>
      </c>
      <c r="B250" t="s">
        <v>1299</v>
      </c>
      <c r="C250" t="s">
        <v>461</v>
      </c>
      <c r="D250" t="s">
        <v>425</v>
      </c>
      <c r="E250" t="s">
        <v>1344</v>
      </c>
      <c r="F250" s="3">
        <v>45943</v>
      </c>
      <c r="G250" s="3">
        <v>45943</v>
      </c>
      <c r="H250">
        <v>1</v>
      </c>
    </row>
    <row r="251" spans="1:8" ht="15.75" customHeight="1">
      <c r="A251" t="s">
        <v>494</v>
      </c>
      <c r="B251" t="s">
        <v>1297</v>
      </c>
      <c r="C251" t="s">
        <v>461</v>
      </c>
      <c r="D251" t="s">
        <v>425</v>
      </c>
      <c r="E251" t="s">
        <v>1344</v>
      </c>
      <c r="F251" s="3">
        <v>45943</v>
      </c>
      <c r="G251" s="3">
        <v>45943</v>
      </c>
      <c r="H251">
        <v>1</v>
      </c>
    </row>
    <row r="252" spans="1:8" ht="15.75" customHeight="1">
      <c r="A252" t="s">
        <v>510</v>
      </c>
      <c r="B252" t="s">
        <v>1300</v>
      </c>
      <c r="C252" t="s">
        <v>461</v>
      </c>
      <c r="D252" t="s">
        <v>425</v>
      </c>
      <c r="E252" t="s">
        <v>1344</v>
      </c>
      <c r="F252" s="3">
        <v>45943</v>
      </c>
      <c r="G252" s="3">
        <v>45943</v>
      </c>
      <c r="H252">
        <v>1</v>
      </c>
    </row>
    <row r="253" spans="1:8" ht="15.75" customHeight="1">
      <c r="A253" t="s">
        <v>514</v>
      </c>
      <c r="B253" t="s">
        <v>1148</v>
      </c>
      <c r="C253" t="s">
        <v>93</v>
      </c>
      <c r="D253" t="s">
        <v>425</v>
      </c>
      <c r="E253" t="s">
        <v>1344</v>
      </c>
      <c r="F253" s="3">
        <v>45943</v>
      </c>
      <c r="G253" s="3">
        <v>45943</v>
      </c>
      <c r="H253">
        <v>1</v>
      </c>
    </row>
    <row r="254" spans="1:8" ht="15.75" customHeight="1">
      <c r="A254" t="s">
        <v>449</v>
      </c>
      <c r="B254" t="s">
        <v>1199</v>
      </c>
      <c r="C254" t="s">
        <v>444</v>
      </c>
      <c r="D254" t="s">
        <v>425</v>
      </c>
      <c r="E254" t="s">
        <v>1344</v>
      </c>
      <c r="F254" s="3">
        <v>45943</v>
      </c>
      <c r="G254" s="3">
        <v>45943</v>
      </c>
      <c r="H254">
        <v>1</v>
      </c>
    </row>
    <row r="255" spans="1:8" ht="15.75" customHeight="1">
      <c r="A255" t="s">
        <v>536</v>
      </c>
      <c r="B255" t="s">
        <v>1347</v>
      </c>
      <c r="C255" t="s">
        <v>461</v>
      </c>
      <c r="D255" t="s">
        <v>425</v>
      </c>
      <c r="E255" t="s">
        <v>1344</v>
      </c>
      <c r="F255" s="3">
        <v>45943</v>
      </c>
      <c r="G255" s="3">
        <v>45943</v>
      </c>
      <c r="H255">
        <v>1</v>
      </c>
    </row>
  </sheetData>
  <autoFilter ref="A3:H255" xr:uid="{00000000-0009-0000-0000-000005000000}"/>
  <hyperlinks>
    <hyperlink ref="A1" location="Dashboard!A1" display="&lt;&lt; Back to Dashboard" xr:uid="{00000000-0004-0000-0500-000000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"/>
  <sheetViews>
    <sheetView workbookViewId="0"/>
  </sheetViews>
  <sheetFormatPr defaultColWidth="14.44140625" defaultRowHeight="15" customHeight="1"/>
  <cols>
    <col min="1" max="10" width="24.6640625" customWidth="1"/>
    <col min="11" max="11" width="8.6640625" customWidth="1"/>
  </cols>
  <sheetData>
    <row r="1" spans="1:10" ht="30" customHeight="1">
      <c r="A1" s="12" t="s">
        <v>1</v>
      </c>
    </row>
    <row r="3" spans="1:10" ht="24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1348</v>
      </c>
      <c r="F3" s="7" t="s">
        <v>1349</v>
      </c>
      <c r="G3" s="7" t="s">
        <v>1350</v>
      </c>
      <c r="H3" s="7" t="s">
        <v>1140</v>
      </c>
      <c r="I3" s="7" t="s">
        <v>1141</v>
      </c>
      <c r="J3" s="7" t="s">
        <v>1351</v>
      </c>
    </row>
    <row r="4" spans="1:10" ht="14.4" customHeight="1">
      <c r="A4" t="s">
        <v>459</v>
      </c>
      <c r="B4" t="s">
        <v>1352</v>
      </c>
      <c r="C4" t="s">
        <v>461</v>
      </c>
      <c r="D4" t="s">
        <v>425</v>
      </c>
      <c r="E4" t="s">
        <v>1353</v>
      </c>
      <c r="F4" t="s">
        <v>1354</v>
      </c>
      <c r="G4" t="s">
        <v>1355</v>
      </c>
      <c r="H4" s="3">
        <v>45157</v>
      </c>
      <c r="I4" s="3">
        <v>45163</v>
      </c>
      <c r="J4">
        <v>7</v>
      </c>
    </row>
    <row r="5" spans="1:10" ht="14.4" customHeight="1">
      <c r="A5" t="s">
        <v>462</v>
      </c>
      <c r="B5" t="s">
        <v>1356</v>
      </c>
      <c r="C5" t="s">
        <v>461</v>
      </c>
      <c r="D5" t="s">
        <v>425</v>
      </c>
      <c r="E5" t="s">
        <v>1353</v>
      </c>
      <c r="F5" t="s">
        <v>1354</v>
      </c>
      <c r="G5" t="s">
        <v>1355</v>
      </c>
      <c r="H5" s="3">
        <v>45157</v>
      </c>
      <c r="I5" s="3">
        <v>45163</v>
      </c>
      <c r="J5">
        <v>7</v>
      </c>
    </row>
    <row r="6" spans="1:10" ht="14.4" customHeight="1">
      <c r="A6" t="s">
        <v>466</v>
      </c>
      <c r="B6" t="s">
        <v>467</v>
      </c>
      <c r="C6" t="s">
        <v>461</v>
      </c>
      <c r="D6" t="s">
        <v>425</v>
      </c>
      <c r="E6" t="s">
        <v>1353</v>
      </c>
      <c r="F6" t="s">
        <v>1354</v>
      </c>
      <c r="G6" t="s">
        <v>1355</v>
      </c>
      <c r="H6" s="3">
        <v>45157</v>
      </c>
      <c r="I6" s="3">
        <v>45163</v>
      </c>
      <c r="J6">
        <v>7</v>
      </c>
    </row>
    <row r="7" spans="1:10" ht="14.4" customHeight="1">
      <c r="A7" t="s">
        <v>468</v>
      </c>
      <c r="B7" t="s">
        <v>1357</v>
      </c>
      <c r="C7" t="s">
        <v>461</v>
      </c>
      <c r="D7" t="s">
        <v>425</v>
      </c>
      <c r="E7" t="s">
        <v>1353</v>
      </c>
      <c r="F7" t="s">
        <v>1354</v>
      </c>
      <c r="G7" t="s">
        <v>1355</v>
      </c>
      <c r="H7" s="3">
        <v>45157</v>
      </c>
      <c r="I7" s="3">
        <v>45163</v>
      </c>
      <c r="J7">
        <v>7</v>
      </c>
    </row>
    <row r="8" spans="1:10" ht="14.4" customHeight="1">
      <c r="A8" t="s">
        <v>470</v>
      </c>
      <c r="B8" t="s">
        <v>1329</v>
      </c>
      <c r="C8" t="s">
        <v>461</v>
      </c>
      <c r="D8" t="s">
        <v>425</v>
      </c>
      <c r="E8" t="s">
        <v>1353</v>
      </c>
      <c r="F8" t="s">
        <v>1354</v>
      </c>
      <c r="G8" t="s">
        <v>1355</v>
      </c>
      <c r="H8" s="3">
        <v>45157</v>
      </c>
      <c r="I8" s="3">
        <v>45163</v>
      </c>
      <c r="J8">
        <v>7</v>
      </c>
    </row>
    <row r="9" spans="1:10" ht="14.4" customHeight="1">
      <c r="A9" t="s">
        <v>474</v>
      </c>
      <c r="B9" t="s">
        <v>1358</v>
      </c>
      <c r="C9" t="s">
        <v>461</v>
      </c>
      <c r="D9" t="s">
        <v>425</v>
      </c>
      <c r="E9" t="s">
        <v>1353</v>
      </c>
      <c r="F9" t="s">
        <v>1354</v>
      </c>
      <c r="G9" t="s">
        <v>1355</v>
      </c>
      <c r="H9" s="3">
        <v>45157</v>
      </c>
      <c r="I9" s="3">
        <v>45163</v>
      </c>
      <c r="J9">
        <v>7</v>
      </c>
    </row>
    <row r="10" spans="1:10" ht="14.4" customHeight="1">
      <c r="A10" t="s">
        <v>476</v>
      </c>
      <c r="B10" t="s">
        <v>477</v>
      </c>
      <c r="C10" t="s">
        <v>461</v>
      </c>
      <c r="D10" t="s">
        <v>425</v>
      </c>
      <c r="E10" t="s">
        <v>1353</v>
      </c>
      <c r="F10" t="s">
        <v>1354</v>
      </c>
      <c r="G10" t="s">
        <v>1355</v>
      </c>
      <c r="H10" s="3">
        <v>45157</v>
      </c>
      <c r="I10" s="3">
        <v>45163</v>
      </c>
      <c r="J10">
        <v>7</v>
      </c>
    </row>
    <row r="11" spans="1:10" ht="14.4" customHeight="1">
      <c r="A11" t="s">
        <v>478</v>
      </c>
      <c r="B11" t="s">
        <v>1359</v>
      </c>
      <c r="C11" t="s">
        <v>461</v>
      </c>
      <c r="D11" t="s">
        <v>425</v>
      </c>
      <c r="E11" t="s">
        <v>1353</v>
      </c>
      <c r="F11" t="s">
        <v>1354</v>
      </c>
      <c r="G11" t="s">
        <v>1355</v>
      </c>
      <c r="H11" s="3">
        <v>45157</v>
      </c>
      <c r="I11" s="3">
        <v>45163</v>
      </c>
      <c r="J11">
        <v>7</v>
      </c>
    </row>
    <row r="12" spans="1:10" ht="14.4" customHeight="1">
      <c r="A12" t="s">
        <v>480</v>
      </c>
      <c r="B12" t="s">
        <v>1360</v>
      </c>
      <c r="C12" t="s">
        <v>461</v>
      </c>
      <c r="D12" t="s">
        <v>425</v>
      </c>
      <c r="E12" t="s">
        <v>1353</v>
      </c>
      <c r="F12" t="s">
        <v>1354</v>
      </c>
      <c r="G12" t="s">
        <v>1355</v>
      </c>
      <c r="H12" s="3">
        <v>45157</v>
      </c>
      <c r="I12" s="3">
        <v>45163</v>
      </c>
      <c r="J12">
        <v>7</v>
      </c>
    </row>
    <row r="13" spans="1:10" ht="14.4" customHeight="1">
      <c r="A13" t="s">
        <v>603</v>
      </c>
      <c r="B13" t="s">
        <v>1361</v>
      </c>
      <c r="C13" t="s">
        <v>15</v>
      </c>
      <c r="D13" t="s">
        <v>425</v>
      </c>
      <c r="E13" t="s">
        <v>1353</v>
      </c>
      <c r="F13" t="s">
        <v>1354</v>
      </c>
      <c r="G13" t="s">
        <v>1355</v>
      </c>
      <c r="H13" s="3">
        <v>45157</v>
      </c>
      <c r="I13" s="3">
        <v>45163</v>
      </c>
      <c r="J13">
        <v>7</v>
      </c>
    </row>
    <row r="14" spans="1:10" ht="14.4" customHeight="1">
      <c r="A14" t="s">
        <v>614</v>
      </c>
      <c r="B14" t="s">
        <v>615</v>
      </c>
      <c r="C14" t="s">
        <v>461</v>
      </c>
      <c r="D14" t="s">
        <v>425</v>
      </c>
      <c r="E14" t="s">
        <v>1353</v>
      </c>
      <c r="F14" t="s">
        <v>1354</v>
      </c>
      <c r="G14" t="s">
        <v>1355</v>
      </c>
      <c r="H14" s="3">
        <v>45157</v>
      </c>
      <c r="I14" s="3">
        <v>45163</v>
      </c>
      <c r="J14">
        <v>7</v>
      </c>
    </row>
    <row r="15" spans="1:10" ht="14.4" customHeight="1">
      <c r="A15" t="s">
        <v>1362</v>
      </c>
      <c r="B15" t="s">
        <v>1363</v>
      </c>
      <c r="E15" t="s">
        <v>1353</v>
      </c>
      <c r="F15" t="s">
        <v>1354</v>
      </c>
      <c r="G15" t="s">
        <v>1364</v>
      </c>
      <c r="H15" s="3">
        <v>45493</v>
      </c>
      <c r="I15" s="3">
        <v>45499</v>
      </c>
      <c r="J15">
        <v>7</v>
      </c>
    </row>
    <row r="16" spans="1:10" ht="14.4" customHeight="1">
      <c r="A16" t="s">
        <v>482</v>
      </c>
      <c r="B16" t="s">
        <v>1365</v>
      </c>
      <c r="C16" t="s">
        <v>461</v>
      </c>
      <c r="D16" t="s">
        <v>425</v>
      </c>
      <c r="E16" t="s">
        <v>1353</v>
      </c>
      <c r="F16" t="s">
        <v>1354</v>
      </c>
      <c r="G16" t="s">
        <v>1364</v>
      </c>
      <c r="H16" s="3">
        <v>45493</v>
      </c>
      <c r="I16" s="3">
        <v>45499</v>
      </c>
      <c r="J16">
        <v>7</v>
      </c>
    </row>
    <row r="17" spans="1:10" ht="14.4" customHeight="1">
      <c r="A17" t="s">
        <v>542</v>
      </c>
      <c r="B17" t="s">
        <v>1366</v>
      </c>
      <c r="C17" t="s">
        <v>39</v>
      </c>
      <c r="D17" t="s">
        <v>425</v>
      </c>
      <c r="E17" t="s">
        <v>1353</v>
      </c>
      <c r="F17" t="s">
        <v>1354</v>
      </c>
      <c r="G17" t="s">
        <v>1364</v>
      </c>
      <c r="H17" s="3">
        <v>45493</v>
      </c>
      <c r="I17" s="3">
        <v>45499</v>
      </c>
      <c r="J17">
        <v>7</v>
      </c>
    </row>
    <row r="18" spans="1:10" ht="14.4" customHeight="1">
      <c r="A18" t="s">
        <v>486</v>
      </c>
      <c r="B18" t="s">
        <v>1250</v>
      </c>
      <c r="C18" t="s">
        <v>461</v>
      </c>
      <c r="D18" t="s">
        <v>425</v>
      </c>
      <c r="E18" t="s">
        <v>1353</v>
      </c>
      <c r="F18" t="s">
        <v>1354</v>
      </c>
      <c r="G18" t="s">
        <v>1364</v>
      </c>
      <c r="H18" s="3">
        <v>45493</v>
      </c>
      <c r="I18" s="3">
        <v>45499</v>
      </c>
      <c r="J18">
        <v>7</v>
      </c>
    </row>
    <row r="19" spans="1:10" ht="14.4" customHeight="1">
      <c r="A19" t="s">
        <v>1331</v>
      </c>
      <c r="B19" t="s">
        <v>1367</v>
      </c>
      <c r="E19" t="s">
        <v>1353</v>
      </c>
      <c r="F19" t="s">
        <v>1354</v>
      </c>
      <c r="G19" t="s">
        <v>1364</v>
      </c>
      <c r="H19" s="3">
        <v>45493</v>
      </c>
      <c r="I19" s="3">
        <v>45499</v>
      </c>
      <c r="J19">
        <v>7</v>
      </c>
    </row>
    <row r="20" spans="1:10" ht="14.4" customHeight="1">
      <c r="A20" t="s">
        <v>610</v>
      </c>
      <c r="B20" t="s">
        <v>1326</v>
      </c>
      <c r="C20" t="s">
        <v>461</v>
      </c>
      <c r="D20" t="s">
        <v>425</v>
      </c>
      <c r="E20" t="s">
        <v>1353</v>
      </c>
      <c r="F20" t="s">
        <v>1354</v>
      </c>
      <c r="G20" t="s">
        <v>1364</v>
      </c>
      <c r="H20" s="3">
        <v>45493</v>
      </c>
      <c r="I20" s="3">
        <v>45499</v>
      </c>
      <c r="J20">
        <v>7</v>
      </c>
    </row>
    <row r="21" spans="1:10" ht="15.75" customHeight="1">
      <c r="A21" t="s">
        <v>612</v>
      </c>
      <c r="B21" t="s">
        <v>1368</v>
      </c>
      <c r="C21" t="s">
        <v>461</v>
      </c>
      <c r="D21" t="s">
        <v>425</v>
      </c>
      <c r="E21" t="s">
        <v>1353</v>
      </c>
      <c r="F21" t="s">
        <v>1354</v>
      </c>
      <c r="G21" t="s">
        <v>1364</v>
      </c>
      <c r="H21" s="3">
        <v>45496</v>
      </c>
      <c r="I21" s="3">
        <v>45502</v>
      </c>
      <c r="J21">
        <v>7</v>
      </c>
    </row>
    <row r="22" spans="1:10" ht="15.75" customHeight="1">
      <c r="A22" t="s">
        <v>488</v>
      </c>
      <c r="B22" t="s">
        <v>1369</v>
      </c>
      <c r="C22" t="s">
        <v>461</v>
      </c>
      <c r="D22" t="s">
        <v>425</v>
      </c>
      <c r="E22" t="s">
        <v>1353</v>
      </c>
      <c r="F22" t="s">
        <v>1354</v>
      </c>
      <c r="G22" t="s">
        <v>1364</v>
      </c>
      <c r="H22" s="3">
        <v>45496</v>
      </c>
      <c r="I22" s="3">
        <v>45502</v>
      </c>
      <c r="J22">
        <v>7</v>
      </c>
    </row>
    <row r="23" spans="1:10" ht="15.75" customHeight="1">
      <c r="A23" t="s">
        <v>490</v>
      </c>
      <c r="B23" t="s">
        <v>491</v>
      </c>
      <c r="C23" t="s">
        <v>461</v>
      </c>
      <c r="D23" t="s">
        <v>425</v>
      </c>
      <c r="E23" t="s">
        <v>1353</v>
      </c>
      <c r="F23" t="s">
        <v>1354</v>
      </c>
      <c r="G23" t="s">
        <v>1364</v>
      </c>
      <c r="H23" s="3">
        <v>45496</v>
      </c>
      <c r="I23" s="3">
        <v>45502</v>
      </c>
      <c r="J23">
        <v>7</v>
      </c>
    </row>
    <row r="24" spans="1:10" ht="15.75" customHeight="1">
      <c r="A24" t="s">
        <v>492</v>
      </c>
      <c r="B24" t="s">
        <v>1370</v>
      </c>
      <c r="C24" t="s">
        <v>461</v>
      </c>
      <c r="D24" t="s">
        <v>425</v>
      </c>
      <c r="E24" t="s">
        <v>1353</v>
      </c>
      <c r="F24" t="s">
        <v>1354</v>
      </c>
      <c r="G24" t="s">
        <v>1364</v>
      </c>
      <c r="H24" s="3">
        <v>45496</v>
      </c>
      <c r="I24" s="3">
        <v>45502</v>
      </c>
      <c r="J24">
        <v>7</v>
      </c>
    </row>
    <row r="25" spans="1:10" ht="15.75" customHeight="1">
      <c r="A25" t="s">
        <v>494</v>
      </c>
      <c r="B25" t="s">
        <v>1371</v>
      </c>
      <c r="C25" t="s">
        <v>461</v>
      </c>
      <c r="D25" t="s">
        <v>425</v>
      </c>
      <c r="E25" t="s">
        <v>1353</v>
      </c>
      <c r="F25" t="s">
        <v>1354</v>
      </c>
      <c r="G25" t="s">
        <v>1364</v>
      </c>
      <c r="H25" s="3">
        <v>45496</v>
      </c>
      <c r="I25" s="3">
        <v>45502</v>
      </c>
      <c r="J25">
        <v>7</v>
      </c>
    </row>
    <row r="26" spans="1:10" ht="15.75" customHeight="1">
      <c r="A26" t="s">
        <v>619</v>
      </c>
      <c r="B26" t="s">
        <v>620</v>
      </c>
      <c r="C26" t="s">
        <v>461</v>
      </c>
      <c r="D26" t="s">
        <v>425</v>
      </c>
      <c r="E26" t="s">
        <v>1353</v>
      </c>
      <c r="F26" t="s">
        <v>1354</v>
      </c>
      <c r="G26" t="s">
        <v>1364</v>
      </c>
      <c r="H26" s="3">
        <v>45496</v>
      </c>
      <c r="I26" s="3">
        <v>45502</v>
      </c>
      <c r="J26">
        <v>7</v>
      </c>
    </row>
    <row r="27" spans="1:10" ht="15.75" customHeight="1">
      <c r="A27" t="s">
        <v>1020</v>
      </c>
      <c r="B27" t="s">
        <v>1372</v>
      </c>
      <c r="C27" t="s">
        <v>1022</v>
      </c>
      <c r="D27" t="s">
        <v>425</v>
      </c>
      <c r="E27" t="s">
        <v>1373</v>
      </c>
      <c r="F27" t="s">
        <v>1374</v>
      </c>
      <c r="G27" t="s">
        <v>1375</v>
      </c>
      <c r="H27" s="3">
        <v>45488</v>
      </c>
      <c r="I27" s="3">
        <v>45500</v>
      </c>
      <c r="J27">
        <v>13</v>
      </c>
    </row>
    <row r="28" spans="1:10" ht="15.75" customHeight="1">
      <c r="A28" t="s">
        <v>516</v>
      </c>
      <c r="B28" t="s">
        <v>1376</v>
      </c>
      <c r="C28" t="s">
        <v>461</v>
      </c>
      <c r="D28" t="s">
        <v>425</v>
      </c>
      <c r="E28" t="s">
        <v>1353</v>
      </c>
      <c r="F28" t="s">
        <v>1354</v>
      </c>
      <c r="G28" t="s">
        <v>1364</v>
      </c>
      <c r="H28" s="3">
        <v>45850</v>
      </c>
      <c r="I28" s="3">
        <v>45856</v>
      </c>
      <c r="J28">
        <v>7</v>
      </c>
    </row>
    <row r="29" spans="1:10" ht="15.75" customHeight="1">
      <c r="A29" t="s">
        <v>520</v>
      </c>
      <c r="B29" t="s">
        <v>1377</v>
      </c>
      <c r="C29" t="s">
        <v>461</v>
      </c>
      <c r="D29" t="s">
        <v>425</v>
      </c>
      <c r="E29" t="s">
        <v>1353</v>
      </c>
      <c r="F29" t="s">
        <v>1354</v>
      </c>
      <c r="G29" t="s">
        <v>1364</v>
      </c>
      <c r="H29" s="3">
        <v>45850</v>
      </c>
      <c r="I29" s="3">
        <v>45856</v>
      </c>
      <c r="J29">
        <v>7</v>
      </c>
    </row>
    <row r="30" spans="1:10" ht="15.75" customHeight="1">
      <c r="A30" t="s">
        <v>498</v>
      </c>
      <c r="B30" t="s">
        <v>1378</v>
      </c>
      <c r="C30" t="s">
        <v>461</v>
      </c>
      <c r="D30" t="s">
        <v>425</v>
      </c>
      <c r="E30" t="s">
        <v>1353</v>
      </c>
      <c r="F30" t="s">
        <v>1354</v>
      </c>
      <c r="G30" t="s">
        <v>1364</v>
      </c>
      <c r="H30" s="3">
        <v>45850</v>
      </c>
      <c r="I30" s="3">
        <v>45856</v>
      </c>
      <c r="J30">
        <v>7</v>
      </c>
    </row>
    <row r="31" spans="1:10" ht="15.75" customHeight="1">
      <c r="A31" t="s">
        <v>522</v>
      </c>
      <c r="B31" t="s">
        <v>523</v>
      </c>
      <c r="C31" t="s">
        <v>461</v>
      </c>
      <c r="D31" t="s">
        <v>425</v>
      </c>
      <c r="E31" t="s">
        <v>1353</v>
      </c>
      <c r="F31" t="s">
        <v>1354</v>
      </c>
      <c r="G31" t="s">
        <v>1364</v>
      </c>
      <c r="H31" s="3">
        <v>45850</v>
      </c>
      <c r="I31" s="3">
        <v>45856</v>
      </c>
      <c r="J31">
        <v>7</v>
      </c>
    </row>
    <row r="32" spans="1:10" ht="15.75" customHeight="1">
      <c r="A32" t="s">
        <v>524</v>
      </c>
      <c r="B32" t="s">
        <v>1379</v>
      </c>
      <c r="C32" t="s">
        <v>461</v>
      </c>
      <c r="D32" t="s">
        <v>425</v>
      </c>
      <c r="E32" t="s">
        <v>1353</v>
      </c>
      <c r="F32" t="s">
        <v>1354</v>
      </c>
      <c r="G32" t="s">
        <v>1364</v>
      </c>
      <c r="H32" s="3">
        <v>45850</v>
      </c>
      <c r="I32" s="3">
        <v>45856</v>
      </c>
      <c r="J32">
        <v>7</v>
      </c>
    </row>
    <row r="33" spans="1:10" ht="15.75" customHeight="1">
      <c r="A33" t="s">
        <v>530</v>
      </c>
      <c r="B33" t="s">
        <v>531</v>
      </c>
      <c r="C33" t="s">
        <v>461</v>
      </c>
      <c r="D33" t="s">
        <v>425</v>
      </c>
      <c r="E33" t="s">
        <v>1353</v>
      </c>
      <c r="F33" t="s">
        <v>1354</v>
      </c>
      <c r="G33" t="s">
        <v>1364</v>
      </c>
      <c r="H33" s="3">
        <v>45850</v>
      </c>
      <c r="I33" s="3">
        <v>45856</v>
      </c>
      <c r="J33">
        <v>7</v>
      </c>
    </row>
    <row r="34" spans="1:10" ht="15.75" customHeight="1">
      <c r="A34" t="s">
        <v>528</v>
      </c>
      <c r="B34" t="s">
        <v>1380</v>
      </c>
      <c r="C34" t="s">
        <v>461</v>
      </c>
      <c r="D34" t="s">
        <v>425</v>
      </c>
      <c r="E34" t="s">
        <v>1353</v>
      </c>
      <c r="F34" t="s">
        <v>1354</v>
      </c>
      <c r="G34" t="s">
        <v>1364</v>
      </c>
      <c r="H34" s="3">
        <v>45857</v>
      </c>
      <c r="I34" s="3">
        <v>45863</v>
      </c>
      <c r="J34">
        <v>7</v>
      </c>
    </row>
    <row r="35" spans="1:10" ht="15.75" customHeight="1">
      <c r="A35" t="s">
        <v>534</v>
      </c>
      <c r="B35" t="s">
        <v>535</v>
      </c>
      <c r="C35" t="s">
        <v>461</v>
      </c>
      <c r="D35" t="s">
        <v>425</v>
      </c>
      <c r="E35" t="s">
        <v>1353</v>
      </c>
      <c r="F35" t="s">
        <v>1354</v>
      </c>
      <c r="G35" t="s">
        <v>1364</v>
      </c>
      <c r="H35" s="3">
        <v>45857</v>
      </c>
      <c r="I35" s="3">
        <v>45863</v>
      </c>
      <c r="J35">
        <v>7</v>
      </c>
    </row>
    <row r="36" spans="1:10" ht="15.75" customHeight="1">
      <c r="A36" t="s">
        <v>500</v>
      </c>
      <c r="B36" t="s">
        <v>501</v>
      </c>
      <c r="C36" t="s">
        <v>461</v>
      </c>
      <c r="D36" t="s">
        <v>425</v>
      </c>
      <c r="E36" t="s">
        <v>1353</v>
      </c>
      <c r="F36" t="s">
        <v>1354</v>
      </c>
      <c r="G36" t="s">
        <v>1364</v>
      </c>
      <c r="H36" s="3">
        <v>45857</v>
      </c>
      <c r="I36" s="3">
        <v>45863</v>
      </c>
      <c r="J36">
        <v>7</v>
      </c>
    </row>
    <row r="37" spans="1:10" ht="15.75" customHeight="1">
      <c r="A37" t="s">
        <v>484</v>
      </c>
      <c r="B37" t="s">
        <v>1381</v>
      </c>
      <c r="C37" t="s">
        <v>461</v>
      </c>
      <c r="D37" t="s">
        <v>425</v>
      </c>
      <c r="E37" t="s">
        <v>1353</v>
      </c>
      <c r="F37" t="s">
        <v>1382</v>
      </c>
      <c r="G37" t="s">
        <v>1383</v>
      </c>
      <c r="H37" s="3">
        <v>45878</v>
      </c>
      <c r="I37" s="3">
        <v>45884</v>
      </c>
      <c r="J37">
        <v>7</v>
      </c>
    </row>
    <row r="38" spans="1:10" ht="15.75" customHeight="1">
      <c r="A38" t="s">
        <v>586</v>
      </c>
      <c r="B38" t="s">
        <v>1384</v>
      </c>
      <c r="C38" t="s">
        <v>64</v>
      </c>
      <c r="D38" t="s">
        <v>425</v>
      </c>
      <c r="E38" t="s">
        <v>1353</v>
      </c>
      <c r="F38" t="s">
        <v>1382</v>
      </c>
      <c r="G38" t="s">
        <v>1383</v>
      </c>
      <c r="H38" s="3">
        <v>45878</v>
      </c>
      <c r="I38" s="3">
        <v>45884</v>
      </c>
      <c r="J38">
        <v>7</v>
      </c>
    </row>
    <row r="39" spans="1:10" ht="15.75" customHeight="1">
      <c r="A39" t="s">
        <v>627</v>
      </c>
      <c r="B39" t="s">
        <v>1385</v>
      </c>
      <c r="C39" t="s">
        <v>139</v>
      </c>
      <c r="D39" t="s">
        <v>425</v>
      </c>
      <c r="E39" t="s">
        <v>1353</v>
      </c>
      <c r="F39" t="s">
        <v>1382</v>
      </c>
      <c r="G39" t="s">
        <v>1383</v>
      </c>
      <c r="H39" s="3">
        <v>45878</v>
      </c>
      <c r="I39" s="3">
        <v>45884</v>
      </c>
      <c r="J39">
        <v>7</v>
      </c>
    </row>
    <row r="40" spans="1:10" ht="15.75" customHeight="1">
      <c r="A40" t="s">
        <v>633</v>
      </c>
      <c r="B40" t="s">
        <v>634</v>
      </c>
      <c r="C40" t="s">
        <v>168</v>
      </c>
      <c r="D40" t="s">
        <v>425</v>
      </c>
      <c r="E40" t="s">
        <v>1353</v>
      </c>
      <c r="F40" t="s">
        <v>1382</v>
      </c>
      <c r="G40" t="s">
        <v>1383</v>
      </c>
      <c r="H40" s="3">
        <v>45878</v>
      </c>
      <c r="I40" s="3">
        <v>45884</v>
      </c>
      <c r="J40">
        <v>7</v>
      </c>
    </row>
    <row r="41" spans="1:10" ht="15.75" customHeight="1">
      <c r="A41" t="s">
        <v>514</v>
      </c>
      <c r="B41" t="s">
        <v>515</v>
      </c>
      <c r="C41" t="s">
        <v>93</v>
      </c>
      <c r="D41" t="s">
        <v>425</v>
      </c>
      <c r="E41" t="s">
        <v>1353</v>
      </c>
      <c r="F41" t="s">
        <v>1382</v>
      </c>
      <c r="G41" t="s">
        <v>1383</v>
      </c>
      <c r="H41" s="3">
        <v>45878</v>
      </c>
      <c r="I41" s="3">
        <v>45884</v>
      </c>
      <c r="J41">
        <v>7</v>
      </c>
    </row>
    <row r="42" spans="1:10" ht="15.75" customHeight="1">
      <c r="A42" t="s">
        <v>558</v>
      </c>
      <c r="B42" t="s">
        <v>1386</v>
      </c>
      <c r="C42" t="s">
        <v>139</v>
      </c>
      <c r="D42" t="s">
        <v>425</v>
      </c>
      <c r="E42" t="s">
        <v>1353</v>
      </c>
      <c r="F42" t="s">
        <v>1387</v>
      </c>
      <c r="G42" t="s">
        <v>1383</v>
      </c>
      <c r="H42" s="3">
        <v>45907</v>
      </c>
      <c r="I42" s="3">
        <v>45913</v>
      </c>
      <c r="J42">
        <v>7</v>
      </c>
    </row>
    <row r="43" spans="1:10" ht="15.75" customHeight="1">
      <c r="A43" t="s">
        <v>540</v>
      </c>
      <c r="B43" t="s">
        <v>541</v>
      </c>
      <c r="C43" t="s">
        <v>39</v>
      </c>
      <c r="D43" t="s">
        <v>425</v>
      </c>
      <c r="E43" t="s">
        <v>1353</v>
      </c>
      <c r="F43" t="s">
        <v>1387</v>
      </c>
      <c r="G43" t="s">
        <v>1383</v>
      </c>
      <c r="H43" s="3">
        <v>45907</v>
      </c>
      <c r="I43" s="3">
        <v>45913</v>
      </c>
      <c r="J43">
        <v>7</v>
      </c>
    </row>
    <row r="44" spans="1:10" ht="15.75" customHeight="1">
      <c r="A44" t="s">
        <v>453</v>
      </c>
      <c r="B44" t="s">
        <v>1388</v>
      </c>
      <c r="C44" t="s">
        <v>93</v>
      </c>
      <c r="D44" t="s">
        <v>425</v>
      </c>
      <c r="E44" t="s">
        <v>1353</v>
      </c>
      <c r="F44" t="s">
        <v>1387</v>
      </c>
      <c r="G44" t="s">
        <v>1383</v>
      </c>
      <c r="H44" s="3">
        <v>45907</v>
      </c>
      <c r="I44" s="3">
        <v>45913</v>
      </c>
      <c r="J44">
        <v>7</v>
      </c>
    </row>
    <row r="45" spans="1:10" ht="15.75" customHeight="1">
      <c r="A45" t="s">
        <v>618</v>
      </c>
      <c r="B45" t="s">
        <v>289</v>
      </c>
      <c r="C45" t="s">
        <v>461</v>
      </c>
      <c r="D45" t="s">
        <v>425</v>
      </c>
      <c r="E45" t="s">
        <v>1353</v>
      </c>
      <c r="F45" t="s">
        <v>1387</v>
      </c>
      <c r="G45" t="s">
        <v>1383</v>
      </c>
      <c r="H45" s="3">
        <v>45907</v>
      </c>
      <c r="I45" s="3">
        <v>45913</v>
      </c>
      <c r="J45">
        <v>7</v>
      </c>
    </row>
    <row r="46" spans="1:10" ht="15.75" customHeight="1">
      <c r="A46" t="s">
        <v>536</v>
      </c>
      <c r="B46" t="s">
        <v>1347</v>
      </c>
      <c r="C46" t="s">
        <v>461</v>
      </c>
      <c r="D46" t="s">
        <v>425</v>
      </c>
      <c r="E46" t="s">
        <v>1353</v>
      </c>
      <c r="F46" t="s">
        <v>1387</v>
      </c>
      <c r="G46" t="s">
        <v>1383</v>
      </c>
      <c r="H46" s="3">
        <v>45907</v>
      </c>
      <c r="I46" s="3">
        <v>45913</v>
      </c>
      <c r="J46">
        <v>7</v>
      </c>
    </row>
    <row r="47" spans="1:10" ht="15.75" customHeight="1">
      <c r="A47" t="s">
        <v>518</v>
      </c>
      <c r="B47" t="s">
        <v>1389</v>
      </c>
      <c r="C47" t="s">
        <v>461</v>
      </c>
      <c r="D47" t="s">
        <v>425</v>
      </c>
      <c r="E47" t="s">
        <v>1353</v>
      </c>
      <c r="F47" t="s">
        <v>1387</v>
      </c>
      <c r="G47" t="s">
        <v>1383</v>
      </c>
      <c r="H47" s="3">
        <v>45907</v>
      </c>
      <c r="I47" s="3">
        <v>45913</v>
      </c>
      <c r="J47">
        <v>7</v>
      </c>
    </row>
    <row r="48" spans="1:10" ht="15.75" customHeight="1">
      <c r="A48" t="s">
        <v>560</v>
      </c>
      <c r="B48" t="s">
        <v>1390</v>
      </c>
      <c r="C48" t="s">
        <v>139</v>
      </c>
      <c r="D48" t="s">
        <v>425</v>
      </c>
      <c r="E48" t="s">
        <v>1353</v>
      </c>
      <c r="F48" t="s">
        <v>1382</v>
      </c>
      <c r="G48" t="s">
        <v>1383</v>
      </c>
      <c r="H48" s="3">
        <v>46005</v>
      </c>
      <c r="I48" s="3">
        <v>46011</v>
      </c>
      <c r="J48">
        <v>7</v>
      </c>
    </row>
    <row r="49" spans="1:10" ht="15.75" customHeight="1">
      <c r="A49" t="s">
        <v>593</v>
      </c>
      <c r="B49" t="s">
        <v>1391</v>
      </c>
      <c r="C49" t="s">
        <v>168</v>
      </c>
      <c r="D49" t="s">
        <v>425</v>
      </c>
      <c r="E49" t="s">
        <v>1353</v>
      </c>
      <c r="F49" t="s">
        <v>1382</v>
      </c>
      <c r="G49" t="s">
        <v>1383</v>
      </c>
      <c r="H49" s="3">
        <v>46005</v>
      </c>
      <c r="I49" s="3">
        <v>46011</v>
      </c>
      <c r="J49">
        <v>7</v>
      </c>
    </row>
    <row r="50" spans="1:10" ht="15.75" customHeight="1">
      <c r="A50" t="s">
        <v>502</v>
      </c>
      <c r="B50" t="s">
        <v>503</v>
      </c>
      <c r="C50" t="s">
        <v>461</v>
      </c>
      <c r="D50" t="s">
        <v>425</v>
      </c>
      <c r="E50" t="s">
        <v>1353</v>
      </c>
      <c r="F50" t="s">
        <v>1382</v>
      </c>
      <c r="G50" t="s">
        <v>1383</v>
      </c>
      <c r="H50" s="3">
        <v>46005</v>
      </c>
      <c r="I50" s="3">
        <v>46011</v>
      </c>
      <c r="J50">
        <v>7</v>
      </c>
    </row>
    <row r="51" spans="1:10" ht="15.75" customHeight="1">
      <c r="A51" t="s">
        <v>508</v>
      </c>
      <c r="B51" t="s">
        <v>1392</v>
      </c>
      <c r="C51" t="s">
        <v>461</v>
      </c>
      <c r="D51" t="s">
        <v>425</v>
      </c>
      <c r="E51" t="s">
        <v>1353</v>
      </c>
      <c r="F51" t="s">
        <v>1382</v>
      </c>
      <c r="G51" t="s">
        <v>1383</v>
      </c>
      <c r="H51" s="3">
        <v>46005</v>
      </c>
      <c r="I51" s="3">
        <v>46011</v>
      </c>
      <c r="J51">
        <v>7</v>
      </c>
    </row>
    <row r="52" spans="1:10" ht="15.75" customHeight="1">
      <c r="A52" t="s">
        <v>512</v>
      </c>
      <c r="B52" t="s">
        <v>1393</v>
      </c>
      <c r="C52" t="s">
        <v>461</v>
      </c>
      <c r="D52" t="s">
        <v>425</v>
      </c>
      <c r="E52" t="s">
        <v>1353</v>
      </c>
      <c r="F52" t="s">
        <v>1382</v>
      </c>
      <c r="G52" t="s">
        <v>1383</v>
      </c>
      <c r="H52" s="3">
        <v>46005</v>
      </c>
      <c r="I52" s="3">
        <v>46011</v>
      </c>
      <c r="J52">
        <v>7</v>
      </c>
    </row>
    <row r="53" spans="1:10" ht="15.75" customHeight="1">
      <c r="A53" t="s">
        <v>621</v>
      </c>
      <c r="B53" t="s">
        <v>1223</v>
      </c>
      <c r="C53" t="s">
        <v>461</v>
      </c>
      <c r="D53" t="s">
        <v>425</v>
      </c>
      <c r="E53" t="s">
        <v>1353</v>
      </c>
      <c r="F53" t="s">
        <v>1382</v>
      </c>
      <c r="G53" t="s">
        <v>1383</v>
      </c>
      <c r="H53" s="3">
        <v>46005</v>
      </c>
      <c r="I53" s="3">
        <v>46011</v>
      </c>
      <c r="J53">
        <v>7</v>
      </c>
    </row>
    <row r="54" spans="1:10" ht="15.75" customHeight="1">
      <c r="A54" t="s">
        <v>566</v>
      </c>
      <c r="B54" t="s">
        <v>1394</v>
      </c>
      <c r="C54" t="s">
        <v>139</v>
      </c>
      <c r="D54" t="s">
        <v>425</v>
      </c>
      <c r="E54" t="s">
        <v>1353</v>
      </c>
      <c r="F54" t="s">
        <v>1382</v>
      </c>
      <c r="G54" t="s">
        <v>1395</v>
      </c>
      <c r="H54" s="3">
        <v>46209</v>
      </c>
      <c r="I54">
        <v>46215</v>
      </c>
      <c r="J54">
        <v>7</v>
      </c>
    </row>
    <row r="55" spans="1:10" ht="15.75" customHeight="1">
      <c r="A55" t="s">
        <v>631</v>
      </c>
      <c r="B55" t="s">
        <v>1145</v>
      </c>
      <c r="C55" t="s">
        <v>139</v>
      </c>
      <c r="D55" t="s">
        <v>425</v>
      </c>
      <c r="E55" t="s">
        <v>1353</v>
      </c>
      <c r="F55" t="s">
        <v>1382</v>
      </c>
      <c r="G55" t="s">
        <v>1395</v>
      </c>
      <c r="H55" s="3">
        <v>46209</v>
      </c>
      <c r="I55">
        <v>46215</v>
      </c>
      <c r="J55">
        <v>7</v>
      </c>
    </row>
    <row r="56" spans="1:10" ht="15.75" customHeight="1">
      <c r="A56" t="s">
        <v>574</v>
      </c>
      <c r="B56" t="s">
        <v>1396</v>
      </c>
      <c r="C56" t="s">
        <v>139</v>
      </c>
      <c r="D56" t="s">
        <v>425</v>
      </c>
      <c r="E56" t="s">
        <v>1353</v>
      </c>
      <c r="F56" t="s">
        <v>1382</v>
      </c>
      <c r="G56" t="s">
        <v>1395</v>
      </c>
      <c r="H56" s="3">
        <v>46209</v>
      </c>
      <c r="I56">
        <v>46215</v>
      </c>
      <c r="J56">
        <v>7</v>
      </c>
    </row>
    <row r="57" spans="1:10" ht="15.75" customHeight="1">
      <c r="A57" t="s">
        <v>526</v>
      </c>
      <c r="B57" t="s">
        <v>1397</v>
      </c>
      <c r="C57" t="s">
        <v>461</v>
      </c>
      <c r="D57" t="s">
        <v>425</v>
      </c>
      <c r="E57" t="s">
        <v>1353</v>
      </c>
      <c r="F57" t="s">
        <v>1382</v>
      </c>
      <c r="G57" t="s">
        <v>1395</v>
      </c>
      <c r="H57" s="3">
        <v>46209</v>
      </c>
      <c r="I57">
        <v>46215</v>
      </c>
      <c r="J57">
        <v>7</v>
      </c>
    </row>
    <row r="58" spans="1:10" ht="15.75" customHeight="1">
      <c r="A58" t="s">
        <v>532</v>
      </c>
      <c r="B58" t="s">
        <v>533</v>
      </c>
      <c r="C58" t="s">
        <v>461</v>
      </c>
      <c r="D58" t="s">
        <v>425</v>
      </c>
      <c r="E58" t="s">
        <v>1353</v>
      </c>
      <c r="F58" t="s">
        <v>1382</v>
      </c>
      <c r="G58" t="s">
        <v>1395</v>
      </c>
      <c r="H58" s="3">
        <v>46209</v>
      </c>
      <c r="I58">
        <v>46215</v>
      </c>
      <c r="J58">
        <v>7</v>
      </c>
    </row>
    <row r="59" spans="1:10" ht="15.75" customHeight="1">
      <c r="A59" t="s">
        <v>442</v>
      </c>
      <c r="B59" t="s">
        <v>1398</v>
      </c>
      <c r="C59" t="s">
        <v>444</v>
      </c>
      <c r="D59" t="s">
        <v>425</v>
      </c>
      <c r="E59" t="s">
        <v>1353</v>
      </c>
      <c r="F59" t="s">
        <v>1382</v>
      </c>
      <c r="G59" t="s">
        <v>1395</v>
      </c>
      <c r="H59" s="3">
        <v>46209</v>
      </c>
      <c r="I59">
        <v>46215</v>
      </c>
      <c r="J59">
        <v>7</v>
      </c>
    </row>
    <row r="60" spans="1:10" ht="15.75" customHeight="1">
      <c r="A60" t="s">
        <v>1399</v>
      </c>
      <c r="B60" t="s">
        <v>1400</v>
      </c>
      <c r="E60" t="s">
        <v>1401</v>
      </c>
      <c r="F60" t="s">
        <v>1402</v>
      </c>
      <c r="G60" t="s">
        <v>1403</v>
      </c>
      <c r="H60" s="3">
        <v>46214</v>
      </c>
      <c r="I60" s="3">
        <v>46220</v>
      </c>
      <c r="J60">
        <v>7</v>
      </c>
    </row>
    <row r="61" spans="1:10" ht="15.75" customHeight="1">
      <c r="A61" t="s">
        <v>1047</v>
      </c>
      <c r="B61" t="s">
        <v>1048</v>
      </c>
      <c r="C61" t="s">
        <v>1049</v>
      </c>
      <c r="D61" t="s">
        <v>425</v>
      </c>
      <c r="E61" t="s">
        <v>1401</v>
      </c>
      <c r="F61" t="s">
        <v>1404</v>
      </c>
      <c r="G61" t="s">
        <v>1403</v>
      </c>
      <c r="H61" s="3">
        <v>46214</v>
      </c>
      <c r="I61" s="3">
        <v>46220</v>
      </c>
      <c r="J61">
        <v>7</v>
      </c>
    </row>
    <row r="62" spans="1:10" ht="15.75" customHeight="1">
      <c r="A62" t="s">
        <v>1091</v>
      </c>
      <c r="B62" t="s">
        <v>1405</v>
      </c>
      <c r="C62" t="s">
        <v>1017</v>
      </c>
      <c r="D62" t="s">
        <v>425</v>
      </c>
      <c r="E62" t="s">
        <v>1401</v>
      </c>
      <c r="F62" t="s">
        <v>1406</v>
      </c>
      <c r="G62" t="s">
        <v>1403</v>
      </c>
      <c r="H62" s="3">
        <v>46214</v>
      </c>
      <c r="I62" s="3">
        <v>46220</v>
      </c>
      <c r="J62">
        <v>7</v>
      </c>
    </row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3:J62" xr:uid="{00000000-0009-0000-0000-000006000000}"/>
  <hyperlinks>
    <hyperlink ref="A1" location="Dashboard!A1" display="&lt;&lt; Back to Dashboard" xr:uid="{00000000-0004-0000-0600-000000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"/>
  <sheetViews>
    <sheetView workbookViewId="0"/>
  </sheetViews>
  <sheetFormatPr defaultColWidth="14.44140625" defaultRowHeight="15" customHeight="1"/>
  <cols>
    <col min="1" max="5" width="20.6640625" customWidth="1"/>
    <col min="6" max="16" width="8.6640625" customWidth="1"/>
  </cols>
  <sheetData>
    <row r="1" spans="1:5" ht="30" customHeight="1">
      <c r="A1" s="13" t="s">
        <v>1</v>
      </c>
    </row>
    <row r="4" spans="1:5" ht="14.4" customHeight="1">
      <c r="A4" s="14" t="s">
        <v>1407</v>
      </c>
      <c r="B4" s="14" t="s">
        <v>1408</v>
      </c>
      <c r="C4" s="14" t="s">
        <v>1409</v>
      </c>
      <c r="D4" s="14" t="s">
        <v>1410</v>
      </c>
      <c r="E4" s="14" t="s">
        <v>1411</v>
      </c>
    </row>
    <row r="5" spans="1:5" ht="14.4" customHeight="1">
      <c r="A5" s="15" t="s">
        <v>1412</v>
      </c>
      <c r="B5" s="15">
        <f>COUNTA(Refresher!A4:A5000)</f>
        <v>304</v>
      </c>
      <c r="C5" s="15">
        <f ca="1">COUNTIF(Refresher!G4:G5000, "Valid")</f>
        <v>219</v>
      </c>
      <c r="D5" s="15">
        <f ca="1">B5-C5</f>
        <v>85</v>
      </c>
      <c r="E5" s="16">
        <f ca="1">IF(B5=0, 0, C5/B5)</f>
        <v>0.72039473684210531</v>
      </c>
    </row>
    <row r="6" spans="1:5" ht="14.4" customHeight="1">
      <c r="A6" s="15" t="s">
        <v>1413</v>
      </c>
      <c r="B6" s="15">
        <f>COUNTA(First_Aid!A4:A5000)</f>
        <v>476</v>
      </c>
      <c r="C6" s="15">
        <f ca="1">COUNTIF(First_Aid!H4:H5000, "Valid")</f>
        <v>322</v>
      </c>
      <c r="D6" s="15">
        <f ca="1">B6-C6</f>
        <v>154</v>
      </c>
      <c r="E6" s="16">
        <f ca="1">IF(B6=0, 0, C6/B6)</f>
        <v>0.67647058823529416</v>
      </c>
    </row>
    <row r="7" spans="1:5" ht="14.4" customHeight="1">
      <c r="A7" s="15" t="s">
        <v>0</v>
      </c>
      <c r="B7" s="15">
        <f>COUNTA(Fire_Fighting!A4:A5000)</f>
        <v>476</v>
      </c>
      <c r="C7" s="15">
        <f ca="1">COUNTIF(Fire_Fighting!G4:G5000, "Valid")</f>
        <v>0</v>
      </c>
      <c r="D7" s="15">
        <f ca="1">B7-C7</f>
        <v>476</v>
      </c>
      <c r="E7" s="16">
        <f ca="1">IF(B7=0, 0, C7/B7)</f>
        <v>0</v>
      </c>
    </row>
    <row r="8" spans="1:5" ht="14.4" customHeight="1">
      <c r="A8" s="15" t="s">
        <v>1414</v>
      </c>
      <c r="B8" s="15">
        <f>COUNTA(Supervisor!A4:A5000)</f>
        <v>44</v>
      </c>
      <c r="C8" s="15">
        <f ca="1">COUNTIF(Supervisor!G4:G5000, "Valid")</f>
        <v>0</v>
      </c>
      <c r="D8" s="15">
        <f ca="1">B8-C8</f>
        <v>44</v>
      </c>
      <c r="E8" s="16">
        <f ca="1">IF(B8=0, 0, C8/B8)</f>
        <v>0</v>
      </c>
    </row>
    <row r="11" spans="1:5" ht="14.4" customHeight="1">
      <c r="A11" s="2" t="s">
        <v>1415</v>
      </c>
      <c r="B11" s="2" t="s">
        <v>1416</v>
      </c>
    </row>
    <row r="12" spans="1:5" ht="14.4" customHeight="1">
      <c r="A12" s="15">
        <v>2026</v>
      </c>
      <c r="B12" s="15">
        <f>COUNTIFS(Refresher!F4:F5000, "&gt;=2026-01-01", Refresher!F4:F5000, "&lt;=2026-12-31")</f>
        <v>71</v>
      </c>
    </row>
    <row r="13" spans="1:5" ht="14.4" customHeight="1">
      <c r="A13" s="15">
        <v>2027</v>
      </c>
      <c r="B13" s="15">
        <f>COUNTIFS(Refresher!F4:F5000, "&gt;=2027-01-01", Refresher!F4:F5000, "&lt;=2027-12-31")</f>
        <v>54</v>
      </c>
    </row>
    <row r="14" spans="1:5" ht="14.4" customHeight="1">
      <c r="A14" s="15">
        <v>2028</v>
      </c>
      <c r="B14" s="15">
        <f>COUNTIFS(Refresher!F4:F5000, "&gt;=2028-01-01", Refresher!F4:F5000, "&lt;=2028-12-31")</f>
        <v>43</v>
      </c>
    </row>
    <row r="15" spans="1:5" ht="14.4" customHeight="1">
      <c r="A15" s="15">
        <v>2029</v>
      </c>
      <c r="B15" s="15">
        <f>COUNTIFS(Refresher!F4:F5000, "&gt;=2029-01-01", Refresher!F4:F5000, "&lt;=2029-12-31")</f>
        <v>39</v>
      </c>
    </row>
    <row r="16" spans="1:5" ht="14.4" customHeight="1">
      <c r="A16" s="15">
        <v>2030</v>
      </c>
      <c r="B16" s="15">
        <f>COUNTIFS(Refresher!F4:F5000, "&gt;=2030-01-01", Refresher!F4:F5000, "&lt;=2030-12-31")</f>
        <v>31</v>
      </c>
    </row>
    <row r="17" spans="1:2" ht="14.4" customHeight="1">
      <c r="A17" s="15" t="s">
        <v>1417</v>
      </c>
      <c r="B17" s="15">
        <f>COUNTIF(Refresher!F4:F5000, "") - (5000 - COUNTA(Refresher!A4:A5000))</f>
        <v>63</v>
      </c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hyperlinks>
    <hyperlink ref="A1" location="Dashboard!A1" display="&lt;&lt; Back to Dashboard" xr:uid="{00000000-0004-0000-0700-000000000000}"/>
  </hyperlink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PME</vt:lpstr>
      <vt:lpstr>First_Aid</vt:lpstr>
      <vt:lpstr>Refresher</vt:lpstr>
      <vt:lpstr>Fire_Fighting</vt:lpstr>
      <vt:lpstr>Supervisor</vt:lpstr>
      <vt:lpstr>OEM_Training</vt:lpstr>
      <vt:lpstr>Service_Training</vt:lpstr>
      <vt:lpstr>Compliance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kumar</dc:creator>
  <cp:lastModifiedBy>Amit kumar</cp:lastModifiedBy>
  <dcterms:created xsi:type="dcterms:W3CDTF">2026-08-13T17:01:37Z</dcterms:created>
  <dcterms:modified xsi:type="dcterms:W3CDTF">2026-08-31T06:46:33Z</dcterms:modified>
</cp:coreProperties>
</file>